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dkcu2103-my.sharepoint.com/personal/psp_dreamgruppen_dk/Documents/Projekter/GronREFORM/Landbrug/HistoriskAnalyse/"/>
    </mc:Choice>
  </mc:AlternateContent>
  <xr:revisionPtr revIDLastSave="63" documentId="8_{A0CE504C-DCE3-4D3E-82F0-B85937AD0012}" xr6:coauthVersionLast="47" xr6:coauthVersionMax="47" xr10:uidLastSave="{3B86BBFD-CFAD-496E-86EA-E6DA53D08FFC}"/>
  <bookViews>
    <workbookView xWindow="-120" yWindow="-120" windowWidth="29040" windowHeight="17520" xr2:uid="{00000000-000D-0000-FFFF-FFFF00000000}"/>
  </bookViews>
  <sheets>
    <sheet name="JORD100" sheetId="2" r:id="rId1"/>
    <sheet name="Ark1"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38" i="3" l="1"/>
  <c r="BB38" i="3"/>
  <c r="BA38" i="3"/>
  <c r="AZ38" i="3"/>
  <c r="AY38" i="3"/>
  <c r="AX38"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BC37" i="3"/>
  <c r="BB37" i="3"/>
  <c r="BA37" i="3"/>
  <c r="AZ37" i="3"/>
  <c r="AY37" i="3"/>
  <c r="AX37" i="3"/>
  <c r="AW37" i="3"/>
  <c r="AV37" i="3"/>
  <c r="AU37"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BC36" i="3"/>
  <c r="BB36" i="3"/>
  <c r="BA36" i="3"/>
  <c r="AZ36" i="3"/>
  <c r="AY36" i="3"/>
  <c r="AX36"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BC35" i="3"/>
  <c r="BB35" i="3"/>
  <c r="BA35" i="3"/>
  <c r="AZ35" i="3"/>
  <c r="AY35" i="3"/>
  <c r="AX35"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T35" i="3"/>
  <c r="S35" i="3"/>
  <c r="R35" i="3"/>
  <c r="Q35" i="3"/>
  <c r="P35" i="3"/>
  <c r="O35" i="3"/>
  <c r="N35" i="3"/>
  <c r="M35" i="3"/>
  <c r="L35" i="3"/>
  <c r="K35" i="3"/>
  <c r="J35" i="3"/>
  <c r="I35" i="3"/>
  <c r="H35" i="3"/>
  <c r="G35" i="3"/>
  <c r="F35" i="3"/>
  <c r="E35" i="3"/>
  <c r="BC34" i="3"/>
  <c r="BB34" i="3"/>
  <c r="BA34" i="3"/>
  <c r="AZ34" i="3"/>
  <c r="AY34" i="3"/>
  <c r="AX34" i="3"/>
  <c r="AW34" i="3"/>
  <c r="AV34" i="3"/>
  <c r="AU34" i="3"/>
  <c r="AT34" i="3"/>
  <c r="AS34" i="3"/>
  <c r="AR34" i="3"/>
  <c r="AQ34" i="3"/>
  <c r="AP34" i="3"/>
  <c r="AO34" i="3"/>
  <c r="AN34" i="3"/>
  <c r="AM34" i="3"/>
  <c r="AL34" i="3"/>
  <c r="AK34" i="3"/>
  <c r="AJ34" i="3"/>
  <c r="AI34" i="3"/>
  <c r="AH34" i="3"/>
  <c r="AG34" i="3"/>
  <c r="AF34" i="3"/>
  <c r="AE34" i="3"/>
  <c r="AD34" i="3"/>
  <c r="AC34" i="3"/>
  <c r="AB34" i="3"/>
  <c r="AA34" i="3"/>
  <c r="Z34" i="3"/>
  <c r="Y34" i="3"/>
  <c r="X34" i="3"/>
  <c r="W34" i="3"/>
  <c r="V34" i="3"/>
  <c r="U34" i="3"/>
  <c r="T34" i="3"/>
  <c r="S34" i="3"/>
  <c r="R34" i="3"/>
  <c r="Q34" i="3"/>
  <c r="P34" i="3"/>
  <c r="O34" i="3"/>
  <c r="N34" i="3"/>
  <c r="M34" i="3"/>
  <c r="L34" i="3"/>
  <c r="K34" i="3"/>
  <c r="J34" i="3"/>
  <c r="I34" i="3"/>
  <c r="H34" i="3"/>
  <c r="G34" i="3"/>
  <c r="F34" i="3"/>
  <c r="E34" i="3"/>
  <c r="BC33" i="3"/>
  <c r="BB33" i="3"/>
  <c r="BA33" i="3"/>
  <c r="AZ33" i="3"/>
  <c r="AY33" i="3"/>
  <c r="AX33" i="3"/>
  <c r="AW33" i="3"/>
  <c r="AV33" i="3"/>
  <c r="AU33" i="3"/>
  <c r="AT33" i="3"/>
  <c r="AS33" i="3"/>
  <c r="AR33" i="3"/>
  <c r="AQ33" i="3"/>
  <c r="AP33" i="3"/>
  <c r="AO33" i="3"/>
  <c r="AN33" i="3"/>
  <c r="AM33" i="3"/>
  <c r="AL33" i="3"/>
  <c r="AK33" i="3"/>
  <c r="AJ33" i="3"/>
  <c r="AI33" i="3"/>
  <c r="AH33" i="3"/>
  <c r="AG33" i="3"/>
  <c r="AF33" i="3"/>
  <c r="AE33" i="3"/>
  <c r="AD33" i="3"/>
  <c r="AC33" i="3"/>
  <c r="AB33" i="3"/>
  <c r="AA33" i="3"/>
  <c r="Z33" i="3"/>
  <c r="Y33" i="3"/>
  <c r="X33" i="3"/>
  <c r="W33" i="3"/>
  <c r="V33" i="3"/>
  <c r="U33" i="3"/>
  <c r="T33" i="3"/>
  <c r="S33" i="3"/>
  <c r="R33" i="3"/>
  <c r="Q33" i="3"/>
  <c r="P33" i="3"/>
  <c r="O33" i="3"/>
  <c r="N33" i="3"/>
  <c r="M33" i="3"/>
  <c r="L33" i="3"/>
  <c r="K33" i="3"/>
  <c r="J33" i="3"/>
  <c r="I33" i="3"/>
  <c r="H33" i="3"/>
  <c r="G33" i="3"/>
  <c r="F33" i="3"/>
  <c r="E33" i="3"/>
  <c r="BC32" i="3"/>
  <c r="BB32" i="3"/>
  <c r="BA32" i="3"/>
  <c r="AZ32" i="3"/>
  <c r="AY32" i="3"/>
  <c r="AX32" i="3"/>
  <c r="AW32" i="3"/>
  <c r="AV32" i="3"/>
  <c r="AU32" i="3"/>
  <c r="AT32" i="3"/>
  <c r="AS32" i="3"/>
  <c r="AR32" i="3"/>
  <c r="AQ32" i="3"/>
  <c r="AP32" i="3"/>
  <c r="AO32" i="3"/>
  <c r="AN32" i="3"/>
  <c r="AM32" i="3"/>
  <c r="AL32" i="3"/>
  <c r="AK32" i="3"/>
  <c r="AJ32" i="3"/>
  <c r="AI32" i="3"/>
  <c r="AH32" i="3"/>
  <c r="AG32" i="3"/>
  <c r="AF32" i="3"/>
  <c r="AE32" i="3"/>
  <c r="AD32" i="3"/>
  <c r="AC32" i="3"/>
  <c r="AB32" i="3"/>
  <c r="AA32" i="3"/>
  <c r="Z32" i="3"/>
  <c r="Y32" i="3"/>
  <c r="X32" i="3"/>
  <c r="W32" i="3"/>
  <c r="V32" i="3"/>
  <c r="U32" i="3"/>
  <c r="T32" i="3"/>
  <c r="S32" i="3"/>
  <c r="R32" i="3"/>
  <c r="Q32" i="3"/>
  <c r="P32" i="3"/>
  <c r="O32" i="3"/>
  <c r="N32" i="3"/>
  <c r="M32" i="3"/>
  <c r="L32" i="3"/>
  <c r="K32" i="3"/>
  <c r="J32" i="3"/>
  <c r="I32" i="3"/>
  <c r="H32" i="3"/>
  <c r="G32" i="3"/>
  <c r="F32" i="3"/>
  <c r="E32" i="3"/>
  <c r="BC31" i="3"/>
  <c r="BB31" i="3"/>
  <c r="BA31" i="3"/>
  <c r="AZ31" i="3"/>
  <c r="AY31" i="3"/>
  <c r="AX31" i="3"/>
  <c r="AW31" i="3"/>
  <c r="AV31" i="3"/>
  <c r="AU31" i="3"/>
  <c r="AT31" i="3"/>
  <c r="AS31" i="3"/>
  <c r="AR31" i="3"/>
  <c r="AQ31" i="3"/>
  <c r="AP31" i="3"/>
  <c r="AO31" i="3"/>
  <c r="AN31" i="3"/>
  <c r="AM31" i="3"/>
  <c r="AL31" i="3"/>
  <c r="AK31" i="3"/>
  <c r="AJ31" i="3"/>
  <c r="AI31" i="3"/>
  <c r="AH31" i="3"/>
  <c r="AG31" i="3"/>
  <c r="AF31" i="3"/>
  <c r="AE31" i="3"/>
  <c r="AD31" i="3"/>
  <c r="AC31" i="3"/>
  <c r="AB31" i="3"/>
  <c r="AA31" i="3"/>
  <c r="Z31" i="3"/>
  <c r="Y31" i="3"/>
  <c r="X31" i="3"/>
  <c r="W31" i="3"/>
  <c r="V31" i="3"/>
  <c r="U31" i="3"/>
  <c r="T31" i="3"/>
  <c r="S31" i="3"/>
  <c r="R31" i="3"/>
  <c r="Q31" i="3"/>
  <c r="P31" i="3"/>
  <c r="O31" i="3"/>
  <c r="N31" i="3"/>
  <c r="M31" i="3"/>
  <c r="L31" i="3"/>
  <c r="K31" i="3"/>
  <c r="J31" i="3"/>
  <c r="I31" i="3"/>
  <c r="H31" i="3"/>
  <c r="G31" i="3"/>
  <c r="F31" i="3"/>
  <c r="E31" i="3"/>
  <c r="BC30" i="3"/>
  <c r="BB30" i="3"/>
  <c r="BA30" i="3"/>
  <c r="AZ30" i="3"/>
  <c r="AY30" i="3"/>
  <c r="AX30" i="3"/>
  <c r="AW30" i="3"/>
  <c r="AV30" i="3"/>
  <c r="AU30" i="3"/>
  <c r="AT30" i="3"/>
  <c r="AS30" i="3"/>
  <c r="AR30" i="3"/>
  <c r="AQ30" i="3"/>
  <c r="AP30" i="3"/>
  <c r="AO30" i="3"/>
  <c r="AN30" i="3"/>
  <c r="AM30" i="3"/>
  <c r="AL30" i="3"/>
  <c r="AK30" i="3"/>
  <c r="AJ30" i="3"/>
  <c r="AI30" i="3"/>
  <c r="AH30" i="3"/>
  <c r="AG30" i="3"/>
  <c r="AF30" i="3"/>
  <c r="AE30" i="3"/>
  <c r="AD30" i="3"/>
  <c r="AC30" i="3"/>
  <c r="AB30" i="3"/>
  <c r="AA30" i="3"/>
  <c r="Z30" i="3"/>
  <c r="Y30" i="3"/>
  <c r="X30" i="3"/>
  <c r="W30" i="3"/>
  <c r="V30" i="3"/>
  <c r="U30" i="3"/>
  <c r="T30" i="3"/>
  <c r="S30" i="3"/>
  <c r="R30" i="3"/>
  <c r="Q30" i="3"/>
  <c r="P30" i="3"/>
  <c r="O30" i="3"/>
  <c r="N30" i="3"/>
  <c r="M30" i="3"/>
  <c r="L30" i="3"/>
  <c r="K30" i="3"/>
  <c r="J30" i="3"/>
  <c r="I30" i="3"/>
  <c r="H30" i="3"/>
  <c r="G30" i="3"/>
  <c r="F30" i="3"/>
  <c r="E30" i="3"/>
  <c r="BC29" i="3"/>
  <c r="BB29" i="3"/>
  <c r="BA29" i="3"/>
  <c r="AZ29" i="3"/>
  <c r="AY29" i="3"/>
  <c r="AX29" i="3"/>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BC28" i="3"/>
  <c r="BB28" i="3"/>
  <c r="BA28" i="3"/>
  <c r="AZ28" i="3"/>
  <c r="AY28" i="3"/>
  <c r="AX28"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T28" i="3"/>
  <c r="S28" i="3"/>
  <c r="R28" i="3"/>
  <c r="Q28" i="3"/>
  <c r="P28" i="3"/>
  <c r="O28" i="3"/>
  <c r="N28" i="3"/>
  <c r="M28" i="3"/>
  <c r="L28" i="3"/>
  <c r="K28" i="3"/>
  <c r="J28" i="3"/>
  <c r="I28" i="3"/>
  <c r="H28" i="3"/>
  <c r="G28" i="3"/>
  <c r="F28" i="3"/>
  <c r="E28" i="3"/>
  <c r="BC27" i="3"/>
  <c r="BB27" i="3"/>
  <c r="BA27" i="3"/>
  <c r="AZ27" i="3"/>
  <c r="AY27" i="3"/>
  <c r="AX27"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T27" i="3"/>
  <c r="S27" i="3"/>
  <c r="R27" i="3"/>
  <c r="Q27" i="3"/>
  <c r="P27" i="3"/>
  <c r="O27" i="3"/>
  <c r="N27" i="3"/>
  <c r="M27" i="3"/>
  <c r="L27" i="3"/>
  <c r="K27" i="3"/>
  <c r="J27" i="3"/>
  <c r="I27" i="3"/>
  <c r="H27" i="3"/>
  <c r="G27" i="3"/>
  <c r="F27" i="3"/>
  <c r="E27" i="3"/>
  <c r="BC26" i="3"/>
  <c r="BB26" i="3"/>
  <c r="BA26" i="3"/>
  <c r="AZ26" i="3"/>
  <c r="AY26" i="3"/>
  <c r="AX26" i="3"/>
  <c r="AW26" i="3"/>
  <c r="AV26" i="3"/>
  <c r="AU26" i="3"/>
  <c r="AT26" i="3"/>
  <c r="AS26" i="3"/>
  <c r="AR26" i="3"/>
  <c r="AQ26" i="3"/>
  <c r="AP26" i="3"/>
  <c r="AO26" i="3"/>
  <c r="AN26" i="3"/>
  <c r="AM26" i="3"/>
  <c r="AL26" i="3"/>
  <c r="AK26" i="3"/>
  <c r="AJ26" i="3"/>
  <c r="AI26" i="3"/>
  <c r="AH26" i="3"/>
  <c r="AG26" i="3"/>
  <c r="AF26" i="3"/>
  <c r="AE26" i="3"/>
  <c r="AD26" i="3"/>
  <c r="AC26" i="3"/>
  <c r="AB26" i="3"/>
  <c r="AA26" i="3"/>
  <c r="Z26" i="3"/>
  <c r="Y26" i="3"/>
  <c r="X26" i="3"/>
  <c r="W26" i="3"/>
  <c r="V26" i="3"/>
  <c r="U26" i="3"/>
  <c r="T26" i="3"/>
  <c r="S26" i="3"/>
  <c r="R26" i="3"/>
  <c r="Q26" i="3"/>
  <c r="P26" i="3"/>
  <c r="O26" i="3"/>
  <c r="N26" i="3"/>
  <c r="M26" i="3"/>
  <c r="L26" i="3"/>
  <c r="K26" i="3"/>
  <c r="J26" i="3"/>
  <c r="I26" i="3"/>
  <c r="H26" i="3"/>
  <c r="G26" i="3"/>
  <c r="F26" i="3"/>
  <c r="E26"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BC23" i="3"/>
  <c r="BB23" i="3"/>
  <c r="BA23" i="3"/>
  <c r="AZ23" i="3"/>
  <c r="AY23" i="3"/>
  <c r="AX23" i="3"/>
  <c r="AW23" i="3"/>
  <c r="AV23" i="3"/>
  <c r="AU23" i="3"/>
  <c r="AT23" i="3"/>
  <c r="AS23" i="3"/>
  <c r="AR23" i="3"/>
  <c r="AQ23"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E23" i="3"/>
  <c r="BC22"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E22" i="3"/>
  <c r="BC21" i="3"/>
  <c r="BB21" i="3"/>
  <c r="BA21" i="3"/>
  <c r="AZ21" i="3"/>
  <c r="AY21" i="3"/>
  <c r="AX21"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T21" i="3"/>
  <c r="S21" i="3"/>
  <c r="R21" i="3"/>
  <c r="Q21" i="3"/>
  <c r="P21" i="3"/>
  <c r="O21" i="3"/>
  <c r="N21" i="3"/>
  <c r="M21" i="3"/>
  <c r="L21" i="3"/>
  <c r="K21" i="3"/>
  <c r="J21" i="3"/>
  <c r="I21" i="3"/>
  <c r="H21" i="3"/>
  <c r="G21" i="3"/>
  <c r="F21" i="3"/>
  <c r="E21" i="3"/>
  <c r="BC20" i="3"/>
  <c r="BB20" i="3"/>
  <c r="BA20" i="3"/>
  <c r="AZ20" i="3"/>
  <c r="AY20" i="3"/>
  <c r="AX20" i="3"/>
  <c r="AW20" i="3"/>
  <c r="AV20" i="3"/>
  <c r="AU20" i="3"/>
  <c r="AT20" i="3"/>
  <c r="AS20" i="3"/>
  <c r="AR20" i="3"/>
  <c r="AQ20" i="3"/>
  <c r="AP20" i="3"/>
  <c r="AO20" i="3"/>
  <c r="AN20" i="3"/>
  <c r="AM20" i="3"/>
  <c r="AL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I20" i="3"/>
  <c r="H20" i="3"/>
  <c r="G20" i="3"/>
  <c r="F20" i="3"/>
  <c r="E20"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BC18" i="3"/>
  <c r="BB18" i="3"/>
  <c r="BA18" i="3"/>
  <c r="AZ18" i="3"/>
  <c r="AY18" i="3"/>
  <c r="AX18" i="3"/>
  <c r="AW18" i="3"/>
  <c r="AV18" i="3"/>
  <c r="AU18" i="3"/>
  <c r="AT18" i="3"/>
  <c r="AS18" i="3"/>
  <c r="AR18" i="3"/>
  <c r="AQ18" i="3"/>
  <c r="AP18" i="3"/>
  <c r="AO18" i="3"/>
  <c r="AN18" i="3"/>
  <c r="AM18" i="3"/>
  <c r="AL18" i="3"/>
  <c r="AK18" i="3"/>
  <c r="AJ18" i="3"/>
  <c r="AI18" i="3"/>
  <c r="AH18" i="3"/>
  <c r="AG18" i="3"/>
  <c r="AF18" i="3"/>
  <c r="AE18" i="3"/>
  <c r="AD18" i="3"/>
  <c r="AC18" i="3"/>
  <c r="AB18" i="3"/>
  <c r="AA18" i="3"/>
  <c r="Z18" i="3"/>
  <c r="Y18" i="3"/>
  <c r="X18" i="3"/>
  <c r="W18" i="3"/>
  <c r="V18" i="3"/>
  <c r="U18" i="3"/>
  <c r="T18" i="3"/>
  <c r="S18" i="3"/>
  <c r="R18" i="3"/>
  <c r="Q18" i="3"/>
  <c r="P18" i="3"/>
  <c r="O18" i="3"/>
  <c r="N18" i="3"/>
  <c r="M18" i="3"/>
  <c r="L18" i="3"/>
  <c r="K18" i="3"/>
  <c r="J18" i="3"/>
  <c r="I18" i="3"/>
  <c r="H18" i="3"/>
  <c r="G18" i="3"/>
  <c r="F18" i="3"/>
  <c r="E18" i="3"/>
  <c r="BC17" i="3"/>
  <c r="BB17" i="3"/>
  <c r="BA17" i="3"/>
  <c r="AZ17" i="3"/>
  <c r="AY17" i="3"/>
  <c r="AX17"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T17" i="3"/>
  <c r="S17" i="3"/>
  <c r="R17" i="3"/>
  <c r="Q17" i="3"/>
  <c r="P17" i="3"/>
  <c r="O17" i="3"/>
  <c r="N17" i="3"/>
  <c r="M17" i="3"/>
  <c r="L17" i="3"/>
  <c r="K17" i="3"/>
  <c r="J17" i="3"/>
  <c r="I17" i="3"/>
  <c r="H17" i="3"/>
  <c r="G17" i="3"/>
  <c r="F17" i="3"/>
  <c r="E17" i="3"/>
  <c r="BC16" i="3"/>
  <c r="BB16" i="3"/>
  <c r="BA16" i="3"/>
  <c r="AZ16" i="3"/>
  <c r="AY16" i="3"/>
  <c r="AX16"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T16" i="3"/>
  <c r="S16" i="3"/>
  <c r="R16" i="3"/>
  <c r="Q16" i="3"/>
  <c r="P16" i="3"/>
  <c r="O16" i="3"/>
  <c r="N16" i="3"/>
  <c r="M16" i="3"/>
  <c r="L16" i="3"/>
  <c r="K16" i="3"/>
  <c r="J16" i="3"/>
  <c r="I16" i="3"/>
  <c r="H16" i="3"/>
  <c r="G16" i="3"/>
  <c r="F16" i="3"/>
  <c r="E16"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T13" i="3"/>
  <c r="S13" i="3"/>
  <c r="R13" i="3"/>
  <c r="Q13" i="3"/>
  <c r="P13" i="3"/>
  <c r="O13" i="3"/>
  <c r="N13" i="3"/>
  <c r="M13" i="3"/>
  <c r="L13" i="3"/>
  <c r="K13" i="3"/>
  <c r="J13" i="3"/>
  <c r="I13" i="3"/>
  <c r="H13" i="3"/>
  <c r="G13" i="3"/>
  <c r="F13" i="3"/>
  <c r="E13" i="3"/>
  <c r="BC12" i="3"/>
  <c r="BB12" i="3"/>
  <c r="BA12" i="3"/>
  <c r="AZ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E12" i="3"/>
  <c r="BC11" i="3"/>
  <c r="BB11" i="3"/>
  <c r="BA11" i="3"/>
  <c r="AZ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E11" i="3"/>
  <c r="BC10" i="3"/>
  <c r="BB10" i="3"/>
  <c r="BA10" i="3"/>
  <c r="AZ10" i="3"/>
  <c r="AY10" i="3"/>
  <c r="AX10" i="3"/>
  <c r="AW10" i="3"/>
  <c r="AV10" i="3"/>
  <c r="AU10" i="3"/>
  <c r="AT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E10"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E9"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37" i="3"/>
  <c r="D36" i="3"/>
  <c r="D35" i="3"/>
  <c r="D34" i="3"/>
  <c r="D33" i="3"/>
  <c r="D32" i="3"/>
  <c r="D31" i="3"/>
  <c r="D29" i="3"/>
  <c r="D28" i="3"/>
  <c r="D27" i="3"/>
  <c r="D26" i="3"/>
  <c r="D25" i="3"/>
  <c r="D24" i="3"/>
  <c r="D23" i="3"/>
  <c r="D21" i="3"/>
  <c r="D20" i="3"/>
  <c r="D19" i="3"/>
  <c r="D18" i="3"/>
  <c r="D17" i="3"/>
  <c r="D16" i="3"/>
  <c r="D13" i="3"/>
  <c r="D12" i="3"/>
  <c r="D11" i="3"/>
  <c r="D10" i="3"/>
  <c r="D9" i="3"/>
  <c r="D8" i="3"/>
  <c r="D38" i="3"/>
  <c r="D30" i="3"/>
  <c r="D22" i="3"/>
  <c r="D14" i="3"/>
  <c r="BD4" i="3"/>
  <c r="BC4" i="3"/>
  <c r="BB4" i="3"/>
  <c r="BA4" i="3"/>
  <c r="AZ4" i="3"/>
  <c r="AY4" i="3"/>
  <c r="AX4" i="3"/>
  <c r="AW4" i="3"/>
  <c r="AV4" i="3"/>
  <c r="AU4" i="3"/>
  <c r="AT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E2" i="3"/>
  <c r="F2" i="3" s="1"/>
  <c r="G2" i="3" s="1"/>
  <c r="H2" i="3" s="1"/>
  <c r="I2" i="3" s="1"/>
  <c r="J2" i="3" s="1"/>
  <c r="K2" i="3" s="1"/>
  <c r="L2" i="3" s="1"/>
  <c r="M2" i="3" s="1"/>
  <c r="N2" i="3" s="1"/>
  <c r="O2" i="3" s="1"/>
  <c r="P2" i="3" s="1"/>
  <c r="Q2" i="3" s="1"/>
  <c r="R2" i="3" s="1"/>
  <c r="S2" i="3" s="1"/>
  <c r="T2" i="3" s="1"/>
  <c r="U2" i="3" s="1"/>
  <c r="V2" i="3" s="1"/>
  <c r="W2" i="3" s="1"/>
  <c r="X2" i="3" s="1"/>
  <c r="Y2" i="3" s="1"/>
  <c r="Z2" i="3" s="1"/>
  <c r="AA2" i="3" s="1"/>
  <c r="AB2" i="3" s="1"/>
  <c r="AC2" i="3" s="1"/>
  <c r="AD2" i="3" s="1"/>
  <c r="AE2" i="3" s="1"/>
  <c r="AF2" i="3" s="1"/>
  <c r="AG2" i="3" s="1"/>
  <c r="AH2" i="3" s="1"/>
  <c r="AI2" i="3" s="1"/>
  <c r="AJ2" i="3" s="1"/>
  <c r="AK2" i="3" s="1"/>
  <c r="AL2" i="3" s="1"/>
  <c r="AM2" i="3" s="1"/>
  <c r="AN2" i="3" s="1"/>
  <c r="AO2" i="3" s="1"/>
  <c r="AP2" i="3" s="1"/>
  <c r="AQ2" i="3" s="1"/>
  <c r="AR2" i="3" s="1"/>
  <c r="AS2" i="3" s="1"/>
  <c r="AT2" i="3" s="1"/>
  <c r="AU2" i="3" s="1"/>
  <c r="AV2" i="3" s="1"/>
  <c r="AW2" i="3" s="1"/>
  <c r="AX2" i="3" s="1"/>
  <c r="AY2" i="3" s="1"/>
  <c r="AZ2" i="3" s="1"/>
  <c r="BA2" i="3" s="1"/>
  <c r="BB2" i="3" s="1"/>
  <c r="BC2" i="3" s="1"/>
  <c r="BD2" i="3" s="1"/>
  <c r="D42" i="2"/>
</calcChain>
</file>

<file path=xl/sharedStrings.xml><?xml version="1.0" encoding="utf-8"?>
<sst xmlns="http://schemas.openxmlformats.org/spreadsheetml/2006/main" count="393" uniqueCount="70">
  <si>
    <t>Regnskabsstatistik i 100 år efter enhed, bedriftstype, regnskabsposter og tid</t>
  </si>
  <si>
    <t>Enhed: -</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</si>
  <si>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</si>
  <si>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</si>
  <si>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</si>
  <si>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</si>
  <si>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</si>
  <si>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</si>
  <si>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</si>
  <si>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</si>
  <si>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</si>
  <si>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</si>
  <si>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</si>
  <si>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</si>
  <si>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</si>
  <si>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</si>
  <si>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</si>
  <si>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</si>
  <si>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</si>
  <si>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</si>
  <si>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</si>
  <si>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</si>
  <si>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</si>
  <si>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</si>
  <si>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</si>
  <si>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</si>
  <si>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</si>
  <si>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</si>
  <si>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</si>
  <si>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</si>
  <si>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</si>
  <si>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</si>
  <si>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</si>
  <si>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</si>
  <si>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</si>
  <si>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</si>
  <si>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</si>
  <si>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</si>
  <si>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</si>
  <si>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</si>
  <si>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</si>
  <si>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</si>
  <si>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</si>
  <si>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</si>
  <si>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</si>
  <si>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</si>
  <si>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</si>
  <si>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</si>
  <si>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</si>
  <si>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</si>
  <si>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</si>
  <si>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</si>
  <si>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</si>
  <si>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</si>
  <si>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Pr. ha (kr.)</t>
  </si>
  <si>
    <t>Heltidslandbrug (1973- )</t>
  </si>
  <si>
    <t>Areal, ha</t>
  </si>
  <si>
    <t>..</t>
  </si>
  <si>
    <t>Landbrugsaktiver, primo</t>
  </si>
  <si>
    <t>Bruttoudbytte</t>
  </si>
  <si>
    <t>Driftsomkostninger</t>
  </si>
  <si>
    <t>Lejet arbejdskraft</t>
  </si>
  <si>
    <t>Ejeraflønning</t>
  </si>
  <si>
    <t>Nettoudbytte</t>
  </si>
  <si>
    <t>Afkastningsgrad, pct.</t>
  </si>
  <si>
    <t>Deltidslandbrug (1973- )</t>
  </si>
  <si>
    <t>Pr. bedrift (1.000 kr.)</t>
  </si>
  <si>
    <t xml:space="preserve">Data er samlet fra tilgængelige tidsserier og publikationer for perioden 1916/17 og frem. Det har ikke været muligt at korrigere for ændret afgrænsning i statistikken. Data er vist pr. hektar for alle landbrug for hele perioden. Fra 1973 er det tillige muligt at se data pr. bedrift for alle landbrug og forskellige inddellinger heraf, fx. driftsformer. Fra 2020 er bundgrænsen for medtagne bedrifter øget fra 15.000 til 25.000 Euro. </t>
  </si>
  <si>
    <t>Forbrugerprisindeks</t>
  </si>
  <si>
    <t>1973=1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</si>
</sst>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3"/>
      <color rgb="FF000000"/>
      <name val="Calibri"/>
      <family val="2"/>
    </font>
    <font>
      <i/>
      <sz val="11"/>
      <color rgb="FF000000"/>
      <name val="Calibri"/>
      <family val="2"/>
    </font>
    <font>
      <b/>
      <sz val="11"/>
      <color rgb="FF000000"/>
      <name val="Calibri"/>
      <family val="2"/>
    </font>
  </fonts>
  <fills count="3">
    <fill>
      <patternFill patternType="none"/>
    </fill>
    <fill>
      <patternFill patternType="gray125"/>
    </fill>
    <fill>
      <patternFill patternType="solid">
        <fgColor rgb="FFFFA07A"/>
        <bgColor rgb="FFFFA07A"/>
      </patternFill>
    </fill>
  </fills>
  <borders count="1">
    <border>
      <left/>
      <right/>
      <top/>
      <bottom/>
      <diagonal/>
    </border>
  </borders>
  <cellStyleXfs count="1">
    <xf numFmtId="0" fontId="0" fillId="0" borderId="0" applyNumberFormat="0" applyBorder="0" applyAlignment="0"/>
  </cellStyleXfs>
  <cellXfs count="9">
    <xf numFmtId="0" fontId="0" fillId="0" borderId="0" xfId="0" applyFill="1" applyProtection="1"/>
    <xf numFmtId="0" fontId="1" fillId="0" borderId="0" xfId="0" applyFont="1" applyFill="1" applyProtection="1"/>
    <xf numFmtId="0" fontId="2" fillId="0" borderId="0" xfId="0" applyFont="1" applyFill="1" applyProtection="1"/>
    <xf numFmtId="0" fontId="3" fillId="0" borderId="0" xfId="0" applyFont="1" applyFill="1" applyAlignment="1" applyProtection="1">
      <alignment horizontal="left"/>
    </xf>
    <xf numFmtId="0" fontId="0" fillId="2" borderId="0" xfId="0" applyFill="1" applyAlignment="1" applyProtection="1">
      <alignment horizontal="right"/>
    </xf>
    <xf numFmtId="0" fontId="0" fillId="0" borderId="0" xfId="0" applyFill="1" applyAlignment="1" applyProtection="1">
      <alignment horizontal="right"/>
    </xf>
    <xf numFmtId="0" fontId="2" fillId="0" borderId="0" xfId="0" applyFont="1" applyFill="1" applyAlignment="1" applyProtection="1">
      <alignment wrapText="1"/>
    </xf>
    <xf numFmtId="0" fontId="0" fillId="0" borderId="0" xfId="0" applyAlignment="1">
      <alignment horizontal="right"/>
    </xf>
    <xf numFmtId="0" fontId="0" fillId="0" borderId="0" xfId="0" quotePrefix="1"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tx>
            <c:strRef>
              <c:f>JORD100!$C$23</c:f>
              <c:strCache>
                <c:ptCount val="1"/>
                <c:pt idx="0">
                  <c:v>Driftsomkostninger</c:v>
                </c:pt>
              </c:strCache>
            </c:strRef>
          </c:tx>
          <c:spPr>
            <a:ln w="28575" cap="rnd">
              <a:solidFill>
                <a:schemeClr val="accent1"/>
              </a:solidFill>
              <a:round/>
            </a:ln>
            <a:effectLst/>
          </c:spPr>
          <c:marker>
            <c:symbol val="none"/>
          </c:marker>
          <c:cat>
            <c:strRef>
              <c:f>JORD100!$D$3:$BC$3</c:f>
              <c:strCache>
                <c:ptCount val="52"/>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pt idx="27">
                  <c:v>2000</c:v>
                </c:pt>
                <c:pt idx="28">
                  <c:v>2001</c:v>
                </c:pt>
                <c:pt idx="29">
                  <c:v>2002</c:v>
                </c:pt>
                <c:pt idx="30">
                  <c:v>2003</c:v>
                </c:pt>
                <c:pt idx="31">
                  <c:v>2004</c:v>
                </c:pt>
                <c:pt idx="32">
                  <c:v>2005</c:v>
                </c:pt>
                <c:pt idx="33">
                  <c:v>2006</c:v>
                </c:pt>
                <c:pt idx="34">
                  <c:v>2007</c:v>
                </c:pt>
                <c:pt idx="35">
                  <c:v>2008</c:v>
                </c:pt>
                <c:pt idx="36">
                  <c:v>2009</c:v>
                </c:pt>
                <c:pt idx="37">
                  <c:v>2010</c:v>
                </c:pt>
                <c:pt idx="38">
                  <c:v>2011</c:v>
                </c:pt>
                <c:pt idx="39">
                  <c:v>2012</c:v>
                </c:pt>
                <c:pt idx="40">
                  <c:v>2013</c:v>
                </c:pt>
                <c:pt idx="41">
                  <c:v>2014</c:v>
                </c:pt>
                <c:pt idx="42">
                  <c:v>2015</c:v>
                </c:pt>
                <c:pt idx="43">
                  <c:v>2016</c:v>
                </c:pt>
                <c:pt idx="44">
                  <c:v>2017</c:v>
                </c:pt>
                <c:pt idx="45">
                  <c:v>2018</c:v>
                </c:pt>
                <c:pt idx="46">
                  <c:v>2019</c:v>
                </c:pt>
                <c:pt idx="47">
                  <c:v>2020</c:v>
                </c:pt>
                <c:pt idx="48">
                  <c:v>2021</c:v>
                </c:pt>
                <c:pt idx="49">
                  <c:v>2022</c:v>
                </c:pt>
                <c:pt idx="50">
                  <c:v>2023</c:v>
                </c:pt>
                <c:pt idx="51">
                  <c:v>2024</c:v>
                </c:pt>
              </c:strCache>
            </c:strRef>
          </c:cat>
          <c:val>
            <c:numRef>
              <c:f>JORD100!$D$23:$BC$23</c:f>
              <c:numCache>
                <c:formatCode>General</c:formatCode>
                <c:ptCount val="52"/>
                <c:pt idx="0">
                  <c:v>126.8</c:v>
                </c:pt>
                <c:pt idx="1">
                  <c:v>147.1</c:v>
                </c:pt>
                <c:pt idx="2">
                  <c:v>177.3</c:v>
                </c:pt>
                <c:pt idx="3">
                  <c:v>215</c:v>
                </c:pt>
                <c:pt idx="4">
                  <c:v>237</c:v>
                </c:pt>
                <c:pt idx="5">
                  <c:v>287.39999999999998</c:v>
                </c:pt>
                <c:pt idx="6">
                  <c:v>334.7</c:v>
                </c:pt>
                <c:pt idx="7">
                  <c:v>394.7</c:v>
                </c:pt>
                <c:pt idx="8">
                  <c:v>458.1</c:v>
                </c:pt>
                <c:pt idx="9">
                  <c:v>544</c:v>
                </c:pt>
                <c:pt idx="10">
                  <c:v>649.6</c:v>
                </c:pt>
                <c:pt idx="11">
                  <c:v>659.2</c:v>
                </c:pt>
                <c:pt idx="12">
                  <c:v>691.6</c:v>
                </c:pt>
                <c:pt idx="13">
                  <c:v>693</c:v>
                </c:pt>
                <c:pt idx="14">
                  <c:v>695.2</c:v>
                </c:pt>
                <c:pt idx="15">
                  <c:v>761.7</c:v>
                </c:pt>
                <c:pt idx="16">
                  <c:v>813.7</c:v>
                </c:pt>
                <c:pt idx="17">
                  <c:v>850</c:v>
                </c:pt>
                <c:pt idx="18">
                  <c:v>876.4</c:v>
                </c:pt>
                <c:pt idx="19">
                  <c:v>938.9</c:v>
                </c:pt>
                <c:pt idx="20">
                  <c:v>964.4</c:v>
                </c:pt>
                <c:pt idx="21">
                  <c:v>959</c:v>
                </c:pt>
                <c:pt idx="22">
                  <c:v>1031.8</c:v>
                </c:pt>
                <c:pt idx="23">
                  <c:v>1104.5999999999999</c:v>
                </c:pt>
                <c:pt idx="24">
                  <c:v>1217</c:v>
                </c:pt>
                <c:pt idx="25">
                  <c:v>1293.0999999999999</c:v>
                </c:pt>
                <c:pt idx="26">
                  <c:v>1353.4</c:v>
                </c:pt>
                <c:pt idx="27">
                  <c:v>1459.7</c:v>
                </c:pt>
                <c:pt idx="28">
                  <c:v>1665.6</c:v>
                </c:pt>
                <c:pt idx="29">
                  <c:v>1797.2</c:v>
                </c:pt>
                <c:pt idx="30">
                  <c:v>1908.3</c:v>
                </c:pt>
                <c:pt idx="31">
                  <c:v>2092</c:v>
                </c:pt>
                <c:pt idx="32">
                  <c:v>2293.1</c:v>
                </c:pt>
                <c:pt idx="33">
                  <c:v>2759.2</c:v>
                </c:pt>
                <c:pt idx="34">
                  <c:v>3258.3</c:v>
                </c:pt>
                <c:pt idx="35">
                  <c:v>3914</c:v>
                </c:pt>
                <c:pt idx="36">
                  <c:v>3795.8</c:v>
                </c:pt>
                <c:pt idx="37">
                  <c:v>4085.8</c:v>
                </c:pt>
                <c:pt idx="38">
                  <c:v>4717.8</c:v>
                </c:pt>
                <c:pt idx="39">
                  <c:v>5031.3999999999996</c:v>
                </c:pt>
                <c:pt idx="40">
                  <c:v>5416.2</c:v>
                </c:pt>
                <c:pt idx="41">
                  <c:v>5303.2</c:v>
                </c:pt>
                <c:pt idx="42">
                  <c:v>5461.4</c:v>
                </c:pt>
                <c:pt idx="43">
                  <c:v>5940.6</c:v>
                </c:pt>
                <c:pt idx="44">
                  <c:v>6079.7</c:v>
                </c:pt>
                <c:pt idx="45">
                  <c:v>6232.4</c:v>
                </c:pt>
                <c:pt idx="46">
                  <c:v>6635.5</c:v>
                </c:pt>
                <c:pt idx="47">
                  <c:v>7050.2</c:v>
                </c:pt>
                <c:pt idx="48">
                  <c:v>8022.4</c:v>
                </c:pt>
                <c:pt idx="49">
                  <c:v>9649.5</c:v>
                </c:pt>
                <c:pt idx="50">
                  <c:v>10672.9</c:v>
                </c:pt>
                <c:pt idx="51">
                  <c:v>11345.2</c:v>
                </c:pt>
              </c:numCache>
            </c:numRef>
          </c:val>
          <c:smooth val="0"/>
          <c:extLst>
            <c:ext xmlns:c16="http://schemas.microsoft.com/office/drawing/2014/chart" uri="{C3380CC4-5D6E-409C-BE32-E72D297353CC}">
              <c16:uniqueId val="{00000000-C663-4C2F-A27F-EB969E1FFE73}"/>
            </c:ext>
          </c:extLst>
        </c:ser>
        <c:dLbls>
          <c:showLegendKey val="0"/>
          <c:showVal val="0"/>
          <c:showCatName val="0"/>
          <c:showSerName val="0"/>
          <c:showPercent val="0"/>
          <c:showBubbleSize val="0"/>
        </c:dLbls>
        <c:smooth val="0"/>
        <c:axId val="1108544159"/>
        <c:axId val="1108543199"/>
      </c:lineChart>
      <c:catAx>
        <c:axId val="110854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108543199"/>
        <c:crosses val="autoZero"/>
        <c:auto val="1"/>
        <c:lblAlgn val="ctr"/>
        <c:lblOffset val="100"/>
        <c:noMultiLvlLbl val="0"/>
      </c:catAx>
      <c:valAx>
        <c:axId val="1108543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10854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tx>
            <c:strRef>
              <c:f>'Ark1'!$C$8</c:f>
              <c:strCache>
                <c:ptCount val="1"/>
                <c:pt idx="0">
                  <c:v>Landbrugsaktiver, primo</c:v>
                </c:pt>
              </c:strCache>
            </c:strRef>
          </c:tx>
          <c:spPr>
            <a:ln w="28575" cap="rnd">
              <a:solidFill>
                <a:schemeClr val="accent1"/>
              </a:solidFill>
              <a:round/>
            </a:ln>
            <a:effectLst/>
          </c:spPr>
          <c:marker>
            <c:symbol val="none"/>
          </c:marker>
          <c:cat>
            <c:strRef>
              <c:f>'Ark1'!$D$6:$BC$6</c:f>
              <c:strCache>
                <c:ptCount val="52"/>
                <c:pt idx="0">
                  <c:v>1973</c:v>
                </c:pt>
                <c:pt idx="1">
                  <c:v>1974</c:v>
                </c:pt>
                <c:pt idx="2">
                  <c:v>1975</c:v>
                </c:pt>
                <c:pt idx="3">
                  <c:v>1976</c:v>
                </c:pt>
                <c:pt idx="4">
                  <c:v>1977</c:v>
                </c:pt>
                <c:pt idx="5">
                  <c:v>1978</c:v>
                </c:pt>
                <c:pt idx="6">
                  <c:v>1979</c:v>
                </c:pt>
                <c:pt idx="7">
                  <c:v>1980</c:v>
                </c:pt>
                <c:pt idx="8">
                  <c:v>1981</c:v>
                </c:pt>
                <c:pt idx="9">
                  <c:v>1982</c:v>
                </c:pt>
                <c:pt idx="10">
                  <c:v>1983</c:v>
                </c:pt>
                <c:pt idx="11">
                  <c:v>1984</c:v>
                </c:pt>
                <c:pt idx="12">
                  <c:v>1985</c:v>
                </c:pt>
                <c:pt idx="13">
                  <c:v>1986</c:v>
                </c:pt>
                <c:pt idx="14">
                  <c:v>1987</c:v>
                </c:pt>
                <c:pt idx="15">
                  <c:v>1988</c:v>
                </c:pt>
                <c:pt idx="16">
                  <c:v>1989</c:v>
                </c:pt>
                <c:pt idx="17">
                  <c:v>1990</c:v>
                </c:pt>
                <c:pt idx="18">
                  <c:v>1991</c:v>
                </c:pt>
                <c:pt idx="19">
                  <c:v>1992</c:v>
                </c:pt>
                <c:pt idx="20">
                  <c:v>1993</c:v>
                </c:pt>
                <c:pt idx="21">
                  <c:v>1994</c:v>
                </c:pt>
                <c:pt idx="22">
                  <c:v>1995</c:v>
                </c:pt>
                <c:pt idx="23">
                  <c:v>1996</c:v>
                </c:pt>
                <c:pt idx="24">
                  <c:v>1997</c:v>
                </c:pt>
                <c:pt idx="25">
                  <c:v>1998</c:v>
                </c:pt>
                <c:pt idx="26">
                  <c:v>1999</c:v>
                </c:pt>
                <c:pt idx="27">
                  <c:v>2000</c:v>
                </c:pt>
                <c:pt idx="28">
                  <c:v>2001</c:v>
                </c:pt>
                <c:pt idx="29">
                  <c:v>2002</c:v>
                </c:pt>
                <c:pt idx="30">
                  <c:v>2003</c:v>
                </c:pt>
                <c:pt idx="31">
                  <c:v>2004</c:v>
                </c:pt>
                <c:pt idx="32">
                  <c:v>2005</c:v>
                </c:pt>
                <c:pt idx="33">
                  <c:v>2006</c:v>
                </c:pt>
                <c:pt idx="34">
                  <c:v>2007</c:v>
                </c:pt>
                <c:pt idx="35">
                  <c:v>2008</c:v>
                </c:pt>
                <c:pt idx="36">
                  <c:v>2009</c:v>
                </c:pt>
                <c:pt idx="37">
                  <c:v>2010</c:v>
                </c:pt>
                <c:pt idx="38">
                  <c:v>2011</c:v>
                </c:pt>
                <c:pt idx="39">
                  <c:v>2012</c:v>
                </c:pt>
                <c:pt idx="40">
                  <c:v>2013</c:v>
                </c:pt>
                <c:pt idx="41">
                  <c:v>2014</c:v>
                </c:pt>
                <c:pt idx="42">
                  <c:v>2015</c:v>
                </c:pt>
                <c:pt idx="43">
                  <c:v>2016</c:v>
                </c:pt>
                <c:pt idx="44">
                  <c:v>2017</c:v>
                </c:pt>
                <c:pt idx="45">
                  <c:v>2018</c:v>
                </c:pt>
                <c:pt idx="46">
                  <c:v>2019</c:v>
                </c:pt>
                <c:pt idx="47">
                  <c:v>2020</c:v>
                </c:pt>
                <c:pt idx="48">
                  <c:v>2021</c:v>
                </c:pt>
                <c:pt idx="49">
                  <c:v>2022</c:v>
                </c:pt>
                <c:pt idx="50">
                  <c:v>2023</c:v>
                </c:pt>
                <c:pt idx="51">
                  <c:v>2024</c:v>
                </c:pt>
              </c:strCache>
            </c:strRef>
          </c:cat>
          <c:val>
            <c:numRef>
              <c:f>'Ark1'!$D$8:$BC$8</c:f>
              <c:numCache>
                <c:formatCode>General</c:formatCode>
                <c:ptCount val="52"/>
                <c:pt idx="0">
                  <c:v>19244.900000000001</c:v>
                </c:pt>
                <c:pt idx="1">
                  <c:v>19704.293173293321</c:v>
                </c:pt>
                <c:pt idx="2">
                  <c:v>20853.179739904175</c:v>
                </c:pt>
                <c:pt idx="3">
                  <c:v>23053.050753768843</c:v>
                </c:pt>
                <c:pt idx="4">
                  <c:v>22090.578405879023</c:v>
                </c:pt>
                <c:pt idx="5">
                  <c:v>23230.610071942447</c:v>
                </c:pt>
                <c:pt idx="6">
                  <c:v>24247.276136896391</c:v>
                </c:pt>
                <c:pt idx="7">
                  <c:v>21599.155592654424</c:v>
                </c:pt>
                <c:pt idx="8">
                  <c:v>16240.871572655959</c:v>
                </c:pt>
                <c:pt idx="9">
                  <c:v>14571.991723202169</c:v>
                </c:pt>
                <c:pt idx="10">
                  <c:v>13838.698984771572</c:v>
                </c:pt>
                <c:pt idx="11">
                  <c:v>14682.40776119403</c:v>
                </c:pt>
                <c:pt idx="12">
                  <c:v>15513.440889649273</c:v>
                </c:pt>
                <c:pt idx="13">
                  <c:v>17439.258305830583</c:v>
                </c:pt>
                <c:pt idx="14">
                  <c:v>16349.055526176626</c:v>
                </c:pt>
                <c:pt idx="15">
                  <c:v>15367.255147988868</c:v>
                </c:pt>
                <c:pt idx="16">
                  <c:v>14818.959922742637</c:v>
                </c:pt>
                <c:pt idx="17">
                  <c:v>13681.18249823571</c:v>
                </c:pt>
                <c:pt idx="18">
                  <c:v>14032.161635653571</c:v>
                </c:pt>
                <c:pt idx="19">
                  <c:v>13424.215793025871</c:v>
                </c:pt>
                <c:pt idx="20">
                  <c:v>13200.723644444444</c:v>
                </c:pt>
                <c:pt idx="21">
                  <c:v>13134.199999999999</c:v>
                </c:pt>
                <c:pt idx="22">
                  <c:v>14602.75185659411</c:v>
                </c:pt>
                <c:pt idx="23">
                  <c:v>14742.829174503657</c:v>
                </c:pt>
                <c:pt idx="24">
                  <c:v>16618.504703476483</c:v>
                </c:pt>
                <c:pt idx="25">
                  <c:v>17899.986827309236</c:v>
                </c:pt>
                <c:pt idx="26">
                  <c:v>19029.449608150469</c:v>
                </c:pt>
                <c:pt idx="27">
                  <c:v>19263.189644012946</c:v>
                </c:pt>
                <c:pt idx="28">
                  <c:v>21050.916942533011</c:v>
                </c:pt>
                <c:pt idx="29">
                  <c:v>20424.92674777556</c:v>
                </c:pt>
                <c:pt idx="30">
                  <c:v>20291.480611881892</c:v>
                </c:pt>
                <c:pt idx="31">
                  <c:v>21954.141375065941</c:v>
                </c:pt>
                <c:pt idx="32">
                  <c:v>24428.975336787564</c:v>
                </c:pt>
                <c:pt idx="33">
                  <c:v>32479.407050847458</c:v>
                </c:pt>
                <c:pt idx="34">
                  <c:v>31993.036827195465</c:v>
                </c:pt>
                <c:pt idx="35">
                  <c:v>29786.291506849317</c:v>
                </c:pt>
                <c:pt idx="36">
                  <c:v>47011.322474948305</c:v>
                </c:pt>
                <c:pt idx="37">
                  <c:v>42448.959825870646</c:v>
                </c:pt>
                <c:pt idx="38">
                  <c:v>40985.018853079135</c:v>
                </c:pt>
                <c:pt idx="39">
                  <c:v>39135.877836879437</c:v>
                </c:pt>
                <c:pt idx="40">
                  <c:v>38634.1436739481</c:v>
                </c:pt>
                <c:pt idx="41">
                  <c:v>38258.797376093295</c:v>
                </c:pt>
                <c:pt idx="42">
                  <c:v>38494.850326512838</c:v>
                </c:pt>
                <c:pt idx="43">
                  <c:v>38107.124214792304</c:v>
                </c:pt>
                <c:pt idx="44">
                  <c:v>37221.992386949059</c:v>
                </c:pt>
                <c:pt idx="45">
                  <c:v>36964.744982256918</c:v>
                </c:pt>
                <c:pt idx="46">
                  <c:v>36094.886672302062</c:v>
                </c:pt>
                <c:pt idx="47">
                  <c:v>36239.870202020204</c:v>
                </c:pt>
                <c:pt idx="48">
                  <c:v>34899.560385674929</c:v>
                </c:pt>
                <c:pt idx="49">
                  <c:v>32398.145594065736</c:v>
                </c:pt>
                <c:pt idx="50">
                  <c:v>32090.571449795716</c:v>
                </c:pt>
                <c:pt idx="51">
                  <c:v>32973.530532486562</c:v>
                </c:pt>
              </c:numCache>
            </c:numRef>
          </c:val>
          <c:smooth val="0"/>
          <c:extLst>
            <c:ext xmlns:c16="http://schemas.microsoft.com/office/drawing/2014/chart" uri="{C3380CC4-5D6E-409C-BE32-E72D297353CC}">
              <c16:uniqueId val="{00000000-EAC2-4566-97A1-32F77BF7C485}"/>
            </c:ext>
          </c:extLst>
        </c:ser>
        <c:dLbls>
          <c:showLegendKey val="0"/>
          <c:showVal val="0"/>
          <c:showCatName val="0"/>
          <c:showSerName val="0"/>
          <c:showPercent val="0"/>
          <c:showBubbleSize val="0"/>
        </c:dLbls>
        <c:smooth val="0"/>
        <c:axId val="138061583"/>
        <c:axId val="138059663"/>
      </c:lineChart>
      <c:catAx>
        <c:axId val="13806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8059663"/>
        <c:crosses val="autoZero"/>
        <c:auto val="1"/>
        <c:lblAlgn val="ctr"/>
        <c:lblOffset val="100"/>
        <c:noMultiLvlLbl val="0"/>
      </c:catAx>
      <c:valAx>
        <c:axId val="13805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806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638174</xdr:colOff>
      <xdr:row>12</xdr:row>
      <xdr:rowOff>190499</xdr:rowOff>
    </xdr:from>
    <xdr:to>
      <xdr:col>17</xdr:col>
      <xdr:colOff>285749</xdr:colOff>
      <xdr:row>30</xdr:row>
      <xdr:rowOff>47624</xdr:rowOff>
    </xdr:to>
    <xdr:graphicFrame macro="">
      <xdr:nvGraphicFramePr>
        <xdr:cNvPr id="5" name="Diagram 4">
          <a:extLst>
            <a:ext uri="{FF2B5EF4-FFF2-40B4-BE49-F238E27FC236}">
              <a16:creationId xmlns:a16="http://schemas.microsoft.com/office/drawing/2014/main" id="{79DDB5EB-8E1D-4480-8885-7C01DA0AC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9</xdr:row>
      <xdr:rowOff>0</xdr:rowOff>
    </xdr:from>
    <xdr:to>
      <xdr:col>14</xdr:col>
      <xdr:colOff>304800</xdr:colOff>
      <xdr:row>23</xdr:row>
      <xdr:rowOff>76200</xdr:rowOff>
    </xdr:to>
    <xdr:graphicFrame macro="">
      <xdr:nvGraphicFramePr>
        <xdr:cNvPr id="4" name="Diagram 3">
          <a:extLst>
            <a:ext uri="{FF2B5EF4-FFF2-40B4-BE49-F238E27FC236}">
              <a16:creationId xmlns:a16="http://schemas.microsoft.com/office/drawing/2014/main" id="{B8ECA33D-B6E9-4F92-AFD7-738EA5938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2"/>
  <sheetViews>
    <sheetView tabSelected="1" topLeftCell="AE1" workbookViewId="0">
      <selection activeCell="D10" sqref="D10:BC10"/>
    </sheetView>
  </sheetViews>
  <sheetFormatPr defaultRowHeight="15" x14ac:dyDescent="0.25"/>
  <cols>
    <col min="1" max="1" width="40.7109375" customWidth="1"/>
    <col min="2" max="2" width="24.140625" customWidth="1"/>
    <col min="3" max="3" width="24.28515625" customWidth="1"/>
    <col min="4" max="34" width="9.5703125" customWidth="1"/>
    <col min="35" max="55" width="10.5703125" customWidth="1"/>
  </cols>
  <sheetData>
    <row r="1" spans="1:55" ht="17.25" x14ac:dyDescent="0.3">
      <c r="A1" s="1" t="s">
        <v>0</v>
      </c>
    </row>
    <row r="2" spans="1:55" x14ac:dyDescent="0.25">
      <c r="A2" s="2" t="s">
        <v>1</v>
      </c>
    </row>
    <row r="3" spans="1:55" x14ac:dyDescent="0.25">
      <c r="D3" s="3" t="s">
        <v>2</v>
      </c>
      <c r="E3" s="3" t="s">
        <v>3</v>
      </c>
      <c r="F3" s="3" t="s">
        <v>4</v>
      </c>
      <c r="G3" s="3" t="s">
        <v>5</v>
      </c>
      <c r="H3" s="3" t="s">
        <v>6</v>
      </c>
      <c r="I3" s="3" t="s">
        <v>7</v>
      </c>
      <c r="J3" s="3" t="s">
        <v>8</v>
      </c>
      <c r="K3" s="3" t="s">
        <v>9</v>
      </c>
      <c r="L3" s="3" t="s">
        <v>10</v>
      </c>
      <c r="M3" s="3" t="s">
        <v>11</v>
      </c>
      <c r="N3" s="3" t="s">
        <v>12</v>
      </c>
      <c r="O3" s="3" t="s">
        <v>13</v>
      </c>
      <c r="P3" s="3" t="s">
        <v>14</v>
      </c>
      <c r="Q3" s="3" t="s">
        <v>15</v>
      </c>
      <c r="R3" s="3" t="s">
        <v>16</v>
      </c>
      <c r="S3" s="3" t="s">
        <v>17</v>
      </c>
      <c r="T3" s="3" t="s">
        <v>18</v>
      </c>
      <c r="U3" s="3" t="s">
        <v>19</v>
      </c>
      <c r="V3" s="3" t="s">
        <v>20</v>
      </c>
      <c r="W3" s="3" t="s">
        <v>21</v>
      </c>
      <c r="X3" s="3" t="s">
        <v>22</v>
      </c>
      <c r="Y3" s="3" t="s">
        <v>23</v>
      </c>
      <c r="Z3" s="3" t="s">
        <v>24</v>
      </c>
      <c r="AA3" s="3" t="s">
        <v>25</v>
      </c>
      <c r="AB3" s="3" t="s">
        <v>26</v>
      </c>
      <c r="AC3" s="3" t="s">
        <v>27</v>
      </c>
      <c r="AD3" s="3" t="s">
        <v>28</v>
      </c>
      <c r="AE3" s="3" t="s">
        <v>29</v>
      </c>
      <c r="AF3" s="3" t="s">
        <v>30</v>
      </c>
      <c r="AG3" s="3" t="s">
        <v>31</v>
      </c>
      <c r="AH3" s="3" t="s">
        <v>32</v>
      </c>
      <c r="AI3" s="3" t="s">
        <v>33</v>
      </c>
      <c r="AJ3" s="3" t="s">
        <v>34</v>
      </c>
      <c r="AK3" s="3" t="s">
        <v>35</v>
      </c>
      <c r="AL3" s="3" t="s">
        <v>36</v>
      </c>
      <c r="AM3" s="3" t="s">
        <v>37</v>
      </c>
      <c r="AN3" s="3" t="s">
        <v>38</v>
      </c>
      <c r="AO3" s="3" t="s">
        <v>39</v>
      </c>
      <c r="AP3" s="3" t="s">
        <v>40</v>
      </c>
      <c r="AQ3" s="3" t="s">
        <v>41</v>
      </c>
      <c r="AR3" s="3" t="s">
        <v>42</v>
      </c>
      <c r="AS3" s="3" t="s">
        <v>43</v>
      </c>
      <c r="AT3" s="3" t="s">
        <v>44</v>
      </c>
      <c r="AU3" s="3" t="s">
        <v>45</v>
      </c>
      <c r="AV3" s="3" t="s">
        <v>46</v>
      </c>
      <c r="AW3" s="3" t="s">
        <v>47</v>
      </c>
      <c r="AX3" s="3" t="s">
        <v>48</v>
      </c>
      <c r="AY3" s="3" t="s">
        <v>49</v>
      </c>
      <c r="AZ3" s="3" t="s">
        <v>50</v>
      </c>
      <c r="BA3" s="3" t="s">
        <v>51</v>
      </c>
      <c r="BB3" s="3" t="s">
        <v>52</v>
      </c>
      <c r="BC3" s="3" t="s">
        <v>53</v>
      </c>
    </row>
    <row r="4" spans="1:55" x14ac:dyDescent="0.25">
      <c r="A4" s="3" t="s">
        <v>54</v>
      </c>
      <c r="B4" s="3" t="s">
        <v>55</v>
      </c>
      <c r="C4" s="3" t="s">
        <v>56</v>
      </c>
      <c r="D4" s="4" t="s">
        <v>57</v>
      </c>
      <c r="E4" s="4" t="s">
        <v>57</v>
      </c>
      <c r="F4" s="4" t="s">
        <v>57</v>
      </c>
      <c r="G4" s="4" t="s">
        <v>57</v>
      </c>
      <c r="H4" s="4" t="s">
        <v>57</v>
      </c>
      <c r="I4" s="4" t="s">
        <v>57</v>
      </c>
      <c r="J4" s="4" t="s">
        <v>57</v>
      </c>
      <c r="K4" s="4" t="s">
        <v>57</v>
      </c>
      <c r="L4" s="4" t="s">
        <v>57</v>
      </c>
      <c r="M4" s="4" t="s">
        <v>57</v>
      </c>
      <c r="N4" s="4" t="s">
        <v>57</v>
      </c>
      <c r="O4" s="4" t="s">
        <v>57</v>
      </c>
      <c r="P4" s="4" t="s">
        <v>57</v>
      </c>
      <c r="Q4" s="4" t="s">
        <v>57</v>
      </c>
      <c r="R4" s="4" t="s">
        <v>57</v>
      </c>
      <c r="S4" s="4" t="s">
        <v>57</v>
      </c>
      <c r="T4" s="4" t="s">
        <v>57</v>
      </c>
      <c r="U4" s="4" t="s">
        <v>57</v>
      </c>
      <c r="V4" s="4" t="s">
        <v>57</v>
      </c>
      <c r="W4" s="4" t="s">
        <v>57</v>
      </c>
      <c r="X4" s="4" t="s">
        <v>57</v>
      </c>
      <c r="Y4" s="4" t="s">
        <v>57</v>
      </c>
      <c r="Z4" s="4" t="s">
        <v>57</v>
      </c>
      <c r="AA4" s="4" t="s">
        <v>57</v>
      </c>
      <c r="AB4" s="4" t="s">
        <v>57</v>
      </c>
      <c r="AC4" s="4" t="s">
        <v>57</v>
      </c>
      <c r="AD4" s="4" t="s">
        <v>57</v>
      </c>
      <c r="AE4" s="4" t="s">
        <v>57</v>
      </c>
      <c r="AF4" s="4" t="s">
        <v>57</v>
      </c>
      <c r="AG4" s="4" t="s">
        <v>57</v>
      </c>
      <c r="AH4" s="4" t="s">
        <v>57</v>
      </c>
      <c r="AI4" s="4" t="s">
        <v>57</v>
      </c>
      <c r="AJ4" s="4" t="s">
        <v>57</v>
      </c>
      <c r="AK4" s="4" t="s">
        <v>57</v>
      </c>
      <c r="AL4" s="4" t="s">
        <v>57</v>
      </c>
      <c r="AM4" s="4" t="s">
        <v>57</v>
      </c>
      <c r="AN4" s="4" t="s">
        <v>57</v>
      </c>
      <c r="AO4" s="4" t="s">
        <v>57</v>
      </c>
      <c r="AP4" s="4" t="s">
        <v>57</v>
      </c>
      <c r="AQ4" s="4" t="s">
        <v>57</v>
      </c>
      <c r="AR4" s="4" t="s">
        <v>57</v>
      </c>
      <c r="AS4" s="4" t="s">
        <v>57</v>
      </c>
      <c r="AT4" s="4" t="s">
        <v>57</v>
      </c>
      <c r="AU4" s="4" t="s">
        <v>57</v>
      </c>
      <c r="AV4" s="4" t="s">
        <v>57</v>
      </c>
      <c r="AW4" s="4" t="s">
        <v>57</v>
      </c>
      <c r="AX4" s="4" t="s">
        <v>57</v>
      </c>
      <c r="AY4" s="4" t="s">
        <v>57</v>
      </c>
      <c r="AZ4" s="4" t="s">
        <v>57</v>
      </c>
      <c r="BA4" s="4" t="s">
        <v>57</v>
      </c>
      <c r="BB4" s="4" t="s">
        <v>57</v>
      </c>
      <c r="BC4" s="4" t="s">
        <v>57</v>
      </c>
    </row>
    <row r="5" spans="1:55" x14ac:dyDescent="0.25">
      <c r="C5" s="3" t="s">
        <v>58</v>
      </c>
      <c r="D5" s="5">
        <v>19244.900000000001</v>
      </c>
      <c r="E5" s="5">
        <v>22721.3</v>
      </c>
      <c r="F5" s="5">
        <v>26355.1</v>
      </c>
      <c r="G5" s="5">
        <v>31747.8</v>
      </c>
      <c r="H5" s="5">
        <v>33804.699999999997</v>
      </c>
      <c r="I5" s="5">
        <v>39106.199999999997</v>
      </c>
      <c r="J5" s="5">
        <v>44740</v>
      </c>
      <c r="K5" s="5">
        <v>44767.8</v>
      </c>
      <c r="L5" s="5">
        <v>37609.699999999997</v>
      </c>
      <c r="M5" s="5">
        <v>37161.1</v>
      </c>
      <c r="N5" s="5">
        <v>37733.199999999997</v>
      </c>
      <c r="O5" s="5">
        <v>42548.5</v>
      </c>
      <c r="P5" s="5">
        <v>47063.7</v>
      </c>
      <c r="Q5" s="5">
        <v>54852.2</v>
      </c>
      <c r="R5" s="5">
        <v>53488</v>
      </c>
      <c r="S5" s="5">
        <v>52549.1</v>
      </c>
      <c r="T5" s="5">
        <v>53097</v>
      </c>
      <c r="U5" s="5">
        <v>50310.3</v>
      </c>
      <c r="V5" s="5">
        <v>52839.1</v>
      </c>
      <c r="W5" s="5">
        <v>51618.2</v>
      </c>
      <c r="X5" s="5">
        <v>51386.9</v>
      </c>
      <c r="Y5" s="5">
        <v>52150.5</v>
      </c>
      <c r="Z5" s="5">
        <v>59194.2</v>
      </c>
      <c r="AA5" s="5">
        <v>61024.6</v>
      </c>
      <c r="AB5" s="5">
        <v>70298</v>
      </c>
      <c r="AC5" s="5">
        <v>77112.399999999994</v>
      </c>
      <c r="AD5" s="5">
        <v>84019.3</v>
      </c>
      <c r="AE5" s="5">
        <v>87534.2</v>
      </c>
      <c r="AF5" s="5">
        <v>97915.9</v>
      </c>
      <c r="AG5" s="5">
        <v>97301.1</v>
      </c>
      <c r="AH5" s="5">
        <v>98684</v>
      </c>
      <c r="AI5" s="5">
        <v>108004.5</v>
      </c>
      <c r="AJ5" s="5">
        <v>122356.2</v>
      </c>
      <c r="AK5" s="5">
        <v>165768.6</v>
      </c>
      <c r="AL5" s="5">
        <v>166081.5</v>
      </c>
      <c r="AM5" s="5">
        <v>159882.29999999999</v>
      </c>
      <c r="AN5" s="5">
        <v>255674.9</v>
      </c>
      <c r="AO5" s="5">
        <v>236186.6</v>
      </c>
      <c r="AP5" s="5">
        <v>234316.6</v>
      </c>
      <c r="AQ5" s="5">
        <v>229127.7</v>
      </c>
      <c r="AR5" s="5">
        <v>227961.5</v>
      </c>
      <c r="AS5" s="5">
        <v>227037.5</v>
      </c>
      <c r="AT5" s="5">
        <v>229470.6</v>
      </c>
      <c r="AU5" s="5">
        <v>227752.7</v>
      </c>
      <c r="AV5" s="5">
        <v>225006.3</v>
      </c>
      <c r="AW5" s="5">
        <v>225273.9</v>
      </c>
      <c r="AX5" s="5">
        <v>221627.6</v>
      </c>
      <c r="AY5" s="5">
        <v>223458.3</v>
      </c>
      <c r="AZ5" s="5">
        <v>219178.9</v>
      </c>
      <c r="BA5" s="5">
        <v>219135.9</v>
      </c>
      <c r="BB5" s="5">
        <v>224217.60000000001</v>
      </c>
      <c r="BC5" s="5">
        <v>233553</v>
      </c>
    </row>
    <row r="6" spans="1:55" x14ac:dyDescent="0.25">
      <c r="C6" s="3" t="s">
        <v>59</v>
      </c>
      <c r="D6" s="5">
        <v>6860.5</v>
      </c>
      <c r="E6" s="5">
        <v>7206.6</v>
      </c>
      <c r="F6" s="5">
        <v>8146.4</v>
      </c>
      <c r="G6" s="5">
        <v>8673.6</v>
      </c>
      <c r="H6" s="5">
        <v>10285.700000000001</v>
      </c>
      <c r="I6" s="5">
        <v>11388.3</v>
      </c>
      <c r="J6" s="5">
        <v>12487.9</v>
      </c>
      <c r="K6" s="5">
        <v>13862.8</v>
      </c>
      <c r="L6" s="5">
        <v>16586.7</v>
      </c>
      <c r="M6" s="5">
        <v>19024</v>
      </c>
      <c r="N6" s="5">
        <v>19793.5</v>
      </c>
      <c r="O6" s="5">
        <v>21634.400000000001</v>
      </c>
      <c r="P6" s="5">
        <v>20813.2</v>
      </c>
      <c r="Q6" s="5">
        <v>19798.8</v>
      </c>
      <c r="R6" s="5">
        <v>18562.3</v>
      </c>
      <c r="S6" s="5">
        <v>20229.3</v>
      </c>
      <c r="T6" s="5">
        <v>22638.1</v>
      </c>
      <c r="U6" s="5">
        <v>21088.7</v>
      </c>
      <c r="V6" s="5">
        <v>21550.2</v>
      </c>
      <c r="W6" s="5">
        <v>20965.3</v>
      </c>
      <c r="X6" s="5">
        <v>21031.9</v>
      </c>
      <c r="Y6" s="5">
        <v>21222.6</v>
      </c>
      <c r="Z6" s="5">
        <v>21502.2</v>
      </c>
      <c r="AA6" s="5">
        <v>21926.1</v>
      </c>
      <c r="AB6" s="5">
        <v>23233.599999999999</v>
      </c>
      <c r="AC6" s="5">
        <v>21211.9</v>
      </c>
      <c r="AD6" s="5">
        <v>20844.400000000001</v>
      </c>
      <c r="AE6" s="5">
        <v>23265.4</v>
      </c>
      <c r="AF6" s="5">
        <v>25894.9</v>
      </c>
      <c r="AG6" s="5">
        <v>23191.3</v>
      </c>
      <c r="AH6" s="5">
        <v>22881.5</v>
      </c>
      <c r="AI6" s="5">
        <v>23832.1</v>
      </c>
      <c r="AJ6" s="5">
        <v>25731.8</v>
      </c>
      <c r="AK6" s="5">
        <v>29018.2</v>
      </c>
      <c r="AL6" s="5">
        <v>29618.2</v>
      </c>
      <c r="AM6" s="5">
        <v>31567.4</v>
      </c>
      <c r="AN6" s="5">
        <v>27007.1</v>
      </c>
      <c r="AO6" s="5">
        <v>32692.2</v>
      </c>
      <c r="AP6" s="5">
        <v>38133.5</v>
      </c>
      <c r="AQ6" s="5">
        <v>42767.4</v>
      </c>
      <c r="AR6" s="5">
        <v>42847.7</v>
      </c>
      <c r="AS6" s="5">
        <v>39103.599999999999</v>
      </c>
      <c r="AT6" s="5">
        <v>39033.599999999999</v>
      </c>
      <c r="AU6" s="5">
        <v>37919.9</v>
      </c>
      <c r="AV6" s="5">
        <v>41522.400000000001</v>
      </c>
      <c r="AW6" s="5">
        <v>37602.6</v>
      </c>
      <c r="AX6" s="5">
        <v>43990.1</v>
      </c>
      <c r="AY6" s="5">
        <v>44234.400000000001</v>
      </c>
      <c r="AZ6" s="5">
        <v>43053.8</v>
      </c>
      <c r="BA6" s="5">
        <v>53971</v>
      </c>
      <c r="BB6" s="5">
        <v>51034.2</v>
      </c>
      <c r="BC6" s="5">
        <v>52604.5</v>
      </c>
    </row>
    <row r="7" spans="1:55" x14ac:dyDescent="0.25">
      <c r="C7" s="3" t="s">
        <v>60</v>
      </c>
      <c r="D7" s="5">
        <v>5949</v>
      </c>
      <c r="E7" s="5">
        <v>6852.5</v>
      </c>
      <c r="F7" s="5">
        <v>7710.3</v>
      </c>
      <c r="G7" s="5">
        <v>8718.1</v>
      </c>
      <c r="H7" s="5">
        <v>9621</v>
      </c>
      <c r="I7" s="5">
        <v>11248.6</v>
      </c>
      <c r="J7" s="5">
        <v>12469.2</v>
      </c>
      <c r="K7" s="5">
        <v>13992.1</v>
      </c>
      <c r="L7" s="5">
        <v>15533.2</v>
      </c>
      <c r="M7" s="5">
        <v>16980.8</v>
      </c>
      <c r="N7" s="5">
        <v>19123</v>
      </c>
      <c r="O7" s="5">
        <v>18462.599999999999</v>
      </c>
      <c r="P7" s="5">
        <v>18522.3</v>
      </c>
      <c r="Q7" s="5">
        <v>18170.400000000001</v>
      </c>
      <c r="R7" s="5">
        <v>18126.5</v>
      </c>
      <c r="S7" s="5">
        <v>19052</v>
      </c>
      <c r="T7" s="5">
        <v>19488.8</v>
      </c>
      <c r="U7" s="5">
        <v>19333.3</v>
      </c>
      <c r="V7" s="5">
        <v>19484.400000000001</v>
      </c>
      <c r="W7" s="5">
        <v>19856.2</v>
      </c>
      <c r="X7" s="5">
        <v>19633.8</v>
      </c>
      <c r="Y7" s="5">
        <v>19992.2</v>
      </c>
      <c r="Z7" s="5">
        <v>20077.400000000001</v>
      </c>
      <c r="AA7" s="5">
        <v>19963.099999999999</v>
      </c>
      <c r="AB7" s="5">
        <v>21224.2</v>
      </c>
      <c r="AC7" s="5">
        <v>20381.099999999999</v>
      </c>
      <c r="AD7" s="5">
        <v>19980.7</v>
      </c>
      <c r="AE7" s="5">
        <v>20254</v>
      </c>
      <c r="AF7" s="5">
        <v>22153.8</v>
      </c>
      <c r="AG7" s="5">
        <v>21716.2</v>
      </c>
      <c r="AH7" s="5">
        <v>21781.3</v>
      </c>
      <c r="AI7" s="5">
        <v>22134.5</v>
      </c>
      <c r="AJ7" s="5">
        <v>23335.1</v>
      </c>
      <c r="AK7" s="5">
        <v>24963.599999999999</v>
      </c>
      <c r="AL7" s="5">
        <v>27100.1</v>
      </c>
      <c r="AM7" s="5">
        <v>29382.3</v>
      </c>
      <c r="AN7" s="5">
        <v>27334.2</v>
      </c>
      <c r="AO7" s="5">
        <v>28047.3</v>
      </c>
      <c r="AP7" s="5">
        <v>32677.1</v>
      </c>
      <c r="AQ7" s="5">
        <v>34529.699999999997</v>
      </c>
      <c r="AR7" s="5">
        <v>35765.800000000003</v>
      </c>
      <c r="AS7" s="5">
        <v>34235.9</v>
      </c>
      <c r="AT7" s="5">
        <v>35411.9</v>
      </c>
      <c r="AU7" s="5">
        <v>34248.400000000001</v>
      </c>
      <c r="AV7" s="5">
        <v>34160.6</v>
      </c>
      <c r="AW7" s="5">
        <v>34623.300000000003</v>
      </c>
      <c r="AX7" s="5">
        <v>35227</v>
      </c>
      <c r="AY7" s="5">
        <v>35695.599999999999</v>
      </c>
      <c r="AZ7" s="5">
        <v>35777</v>
      </c>
      <c r="BA7" s="5">
        <v>40887.9</v>
      </c>
      <c r="BB7" s="5">
        <v>41091.1</v>
      </c>
      <c r="BC7" s="5">
        <v>41935.4</v>
      </c>
    </row>
    <row r="8" spans="1:55" x14ac:dyDescent="0.25">
      <c r="C8" s="3" t="s">
        <v>61</v>
      </c>
      <c r="D8" s="5">
        <v>316.3</v>
      </c>
      <c r="E8" s="5">
        <v>367.2</v>
      </c>
      <c r="F8" s="5">
        <v>429.9</v>
      </c>
      <c r="G8" s="5">
        <v>454</v>
      </c>
      <c r="H8" s="5">
        <v>460.6</v>
      </c>
      <c r="I8" s="5">
        <v>636.9</v>
      </c>
      <c r="J8" s="5">
        <v>624.70000000000005</v>
      </c>
      <c r="K8" s="5">
        <v>662.3</v>
      </c>
      <c r="L8" s="5">
        <v>673.5</v>
      </c>
      <c r="M8" s="5">
        <v>769.2</v>
      </c>
      <c r="N8" s="5">
        <v>830.6</v>
      </c>
      <c r="O8" s="5">
        <v>883.3</v>
      </c>
      <c r="P8" s="5">
        <v>1025.5</v>
      </c>
      <c r="Q8" s="5">
        <v>1045.2</v>
      </c>
      <c r="R8" s="5">
        <v>1054.2</v>
      </c>
      <c r="S8" s="5">
        <v>1075.0999999999999</v>
      </c>
      <c r="T8" s="5">
        <v>1125</v>
      </c>
      <c r="U8" s="5">
        <v>1198.5999999999999</v>
      </c>
      <c r="V8" s="5">
        <v>1221.5</v>
      </c>
      <c r="W8" s="5">
        <v>1259.5</v>
      </c>
      <c r="X8" s="5">
        <v>1215</v>
      </c>
      <c r="Y8" s="5">
        <v>1233.5</v>
      </c>
      <c r="Z8" s="5">
        <v>1268.5999999999999</v>
      </c>
      <c r="AA8" s="5">
        <v>1280.4000000000001</v>
      </c>
      <c r="AB8" s="5">
        <v>1406.7</v>
      </c>
      <c r="AC8" s="5">
        <v>1410.9</v>
      </c>
      <c r="AD8" s="5">
        <v>1434.3</v>
      </c>
      <c r="AE8" s="5">
        <v>1449.9</v>
      </c>
      <c r="AF8" s="5">
        <v>1552</v>
      </c>
      <c r="AG8" s="5">
        <v>1594.1</v>
      </c>
      <c r="AH8" s="5">
        <v>1701.4</v>
      </c>
      <c r="AI8" s="5">
        <v>1698.6</v>
      </c>
      <c r="AJ8" s="5">
        <v>1860.2</v>
      </c>
      <c r="AK8" s="5">
        <v>1902.5</v>
      </c>
      <c r="AL8" s="5">
        <v>2040</v>
      </c>
      <c r="AM8" s="5">
        <v>2106.8000000000002</v>
      </c>
      <c r="AN8" s="5">
        <v>2263.6</v>
      </c>
      <c r="AO8" s="5">
        <v>2392.4</v>
      </c>
      <c r="AP8" s="5">
        <v>2546.1</v>
      </c>
      <c r="AQ8" s="5">
        <v>2663.7</v>
      </c>
      <c r="AR8" s="5">
        <v>2895.4</v>
      </c>
      <c r="AS8" s="5">
        <v>2979.8</v>
      </c>
      <c r="AT8" s="5">
        <v>3343.5</v>
      </c>
      <c r="AU8" s="5">
        <v>3339.7</v>
      </c>
      <c r="AV8" s="5">
        <v>3444.2</v>
      </c>
      <c r="AW8" s="5">
        <v>3554</v>
      </c>
      <c r="AX8" s="5">
        <v>3659.3</v>
      </c>
      <c r="AY8" s="5">
        <v>3862.2</v>
      </c>
      <c r="AZ8" s="5">
        <v>3908.4</v>
      </c>
      <c r="BA8" s="5">
        <v>4096</v>
      </c>
      <c r="BB8" s="5">
        <v>4251.8</v>
      </c>
      <c r="BC8" s="5">
        <v>4857.7</v>
      </c>
    </row>
    <row r="9" spans="1:55" x14ac:dyDescent="0.25">
      <c r="C9" s="3" t="s">
        <v>62</v>
      </c>
      <c r="D9" s="5">
        <v>1636.1</v>
      </c>
      <c r="E9" s="5">
        <v>2029.5</v>
      </c>
      <c r="F9" s="5">
        <v>2186.9</v>
      </c>
      <c r="G9" s="5">
        <v>2338.3000000000002</v>
      </c>
      <c r="H9" s="5">
        <v>2711.4</v>
      </c>
      <c r="I9" s="5">
        <v>3220.7</v>
      </c>
      <c r="J9" s="5">
        <v>3496</v>
      </c>
      <c r="K9" s="5">
        <v>3577.8</v>
      </c>
      <c r="L9" s="5">
        <v>3846.9</v>
      </c>
      <c r="M9" s="5">
        <v>3903.9</v>
      </c>
      <c r="N9" s="5">
        <v>4051</v>
      </c>
      <c r="O9" s="5">
        <v>3942.7</v>
      </c>
      <c r="P9" s="5">
        <v>3838.6</v>
      </c>
      <c r="Q9" s="5">
        <v>3940.5</v>
      </c>
      <c r="R9" s="5">
        <v>4166.7</v>
      </c>
      <c r="S9" s="5">
        <v>4375.7</v>
      </c>
      <c r="T9" s="5">
        <v>4307.8</v>
      </c>
      <c r="U9" s="5">
        <v>4262.3999999999996</v>
      </c>
      <c r="V9" s="5">
        <v>4321.8</v>
      </c>
      <c r="W9" s="5">
        <v>4337.2</v>
      </c>
      <c r="X9" s="5">
        <v>4277.1000000000004</v>
      </c>
      <c r="Y9" s="5">
        <v>4960.8</v>
      </c>
      <c r="Z9" s="5">
        <v>5014.6000000000004</v>
      </c>
      <c r="AA9" s="5">
        <v>4852.3</v>
      </c>
      <c r="AB9" s="5">
        <v>4888.6000000000004</v>
      </c>
      <c r="AC9" s="5">
        <v>3674.4</v>
      </c>
      <c r="AD9" s="5">
        <v>3655</v>
      </c>
      <c r="AE9" s="5">
        <v>3628.7</v>
      </c>
      <c r="AF9" s="5">
        <v>3729</v>
      </c>
      <c r="AG9" s="5">
        <v>3433.4</v>
      </c>
      <c r="AH9" s="5">
        <v>3396.9</v>
      </c>
      <c r="AI9" s="5">
        <v>3253.6</v>
      </c>
      <c r="AJ9" s="5">
        <v>3167.1</v>
      </c>
      <c r="AK9" s="5">
        <v>3099.8</v>
      </c>
      <c r="AL9" s="5">
        <v>2946.6</v>
      </c>
      <c r="AM9" s="5">
        <v>2756.5</v>
      </c>
      <c r="AN9" s="5">
        <v>2750</v>
      </c>
      <c r="AO9" s="5">
        <v>2638.1</v>
      </c>
      <c r="AP9" s="5">
        <v>2684.7</v>
      </c>
      <c r="AQ9" s="5">
        <v>2725.7</v>
      </c>
      <c r="AR9" s="5">
        <v>2639.1</v>
      </c>
      <c r="AS9" s="5">
        <v>2650.4</v>
      </c>
      <c r="AT9" s="5">
        <v>2669.7</v>
      </c>
      <c r="AU9" s="5">
        <v>2514.4</v>
      </c>
      <c r="AV9" s="5">
        <v>2462.5</v>
      </c>
      <c r="AW9" s="5">
        <v>2414.5</v>
      </c>
      <c r="AX9" s="5">
        <v>2410.5</v>
      </c>
      <c r="AY9" s="5">
        <v>2313.9</v>
      </c>
      <c r="AZ9" s="5">
        <v>2083.6</v>
      </c>
      <c r="BA9" s="5">
        <v>1978.6</v>
      </c>
      <c r="BB9" s="5">
        <v>1867</v>
      </c>
      <c r="BC9" s="5">
        <v>1874.7</v>
      </c>
    </row>
    <row r="10" spans="1:55" x14ac:dyDescent="0.25">
      <c r="C10" s="3" t="s">
        <v>63</v>
      </c>
      <c r="D10" s="5">
        <v>911.6</v>
      </c>
      <c r="E10" s="5">
        <v>354.1</v>
      </c>
      <c r="F10" s="5">
        <v>436.1</v>
      </c>
      <c r="G10" s="5">
        <v>-44.5</v>
      </c>
      <c r="H10" s="5">
        <v>664.7</v>
      </c>
      <c r="I10" s="5">
        <v>139.69999999999999</v>
      </c>
      <c r="J10" s="5">
        <v>18.8</v>
      </c>
      <c r="K10" s="5">
        <v>-129.30000000000001</v>
      </c>
      <c r="L10" s="5">
        <v>1053.5999999999999</v>
      </c>
      <c r="M10" s="5">
        <v>2043.3</v>
      </c>
      <c r="N10" s="5">
        <v>670.5</v>
      </c>
      <c r="O10" s="5">
        <v>3171.8</v>
      </c>
      <c r="P10" s="5">
        <v>2290.9</v>
      </c>
      <c r="Q10" s="5">
        <v>1628.3</v>
      </c>
      <c r="R10" s="5">
        <v>435.7</v>
      </c>
      <c r="S10" s="5">
        <v>1177.3</v>
      </c>
      <c r="T10" s="5">
        <v>3149.3</v>
      </c>
      <c r="U10" s="5">
        <v>1755.3</v>
      </c>
      <c r="V10" s="5">
        <v>2065.6999999999998</v>
      </c>
      <c r="W10" s="5">
        <v>1109.0999999999999</v>
      </c>
      <c r="X10" s="5">
        <v>1398.1</v>
      </c>
      <c r="Y10" s="5">
        <v>1230.4000000000001</v>
      </c>
      <c r="Z10" s="5">
        <v>1424.8</v>
      </c>
      <c r="AA10" s="5">
        <v>1963.1</v>
      </c>
      <c r="AB10" s="5">
        <v>2009.4</v>
      </c>
      <c r="AC10" s="5">
        <v>830.8</v>
      </c>
      <c r="AD10" s="5">
        <v>863.7</v>
      </c>
      <c r="AE10" s="5">
        <v>3011.4</v>
      </c>
      <c r="AF10" s="5">
        <v>3741.2</v>
      </c>
      <c r="AG10" s="5">
        <v>1475.1</v>
      </c>
      <c r="AH10" s="5">
        <v>1100.2</v>
      </c>
      <c r="AI10" s="5">
        <v>1697.7</v>
      </c>
      <c r="AJ10" s="5">
        <v>2396.6999999999998</v>
      </c>
      <c r="AK10" s="5">
        <v>4054.7</v>
      </c>
      <c r="AL10" s="5">
        <v>2518.1999999999998</v>
      </c>
      <c r="AM10" s="5">
        <v>2185</v>
      </c>
      <c r="AN10" s="5">
        <v>-327.10000000000002</v>
      </c>
      <c r="AO10" s="5">
        <v>4644.8999999999996</v>
      </c>
      <c r="AP10" s="5">
        <v>5456.5</v>
      </c>
      <c r="AQ10" s="5">
        <v>8237.7000000000007</v>
      </c>
      <c r="AR10" s="5">
        <v>7082</v>
      </c>
      <c r="AS10" s="5">
        <v>4867.8</v>
      </c>
      <c r="AT10" s="5">
        <v>3621.7</v>
      </c>
      <c r="AU10" s="5">
        <v>3671.5</v>
      </c>
      <c r="AV10" s="5">
        <v>7361.8</v>
      </c>
      <c r="AW10" s="5">
        <v>2979.3</v>
      </c>
      <c r="AX10" s="5">
        <v>8763.1</v>
      </c>
      <c r="AY10" s="5">
        <v>8538.7999999999993</v>
      </c>
      <c r="AZ10" s="5">
        <v>7276.8</v>
      </c>
      <c r="BA10" s="5">
        <v>13083.1</v>
      </c>
      <c r="BB10" s="5">
        <v>9943</v>
      </c>
      <c r="BC10" s="5">
        <v>10669.1</v>
      </c>
    </row>
    <row r="11" spans="1:55" x14ac:dyDescent="0.25">
      <c r="C11" s="3" t="s">
        <v>64</v>
      </c>
      <c r="D11" s="5">
        <v>4.7</v>
      </c>
      <c r="E11" s="5">
        <v>1.6</v>
      </c>
      <c r="F11" s="5">
        <v>1.7</v>
      </c>
      <c r="G11" s="5">
        <v>-0.1</v>
      </c>
      <c r="H11" s="5">
        <v>2</v>
      </c>
      <c r="I11" s="5">
        <v>0.4</v>
      </c>
      <c r="J11" s="5">
        <v>0</v>
      </c>
      <c r="K11" s="5">
        <v>-0.3</v>
      </c>
      <c r="L11" s="5">
        <v>2.8</v>
      </c>
      <c r="M11" s="5">
        <v>5.5</v>
      </c>
      <c r="N11" s="5">
        <v>1.8</v>
      </c>
      <c r="O11" s="5">
        <v>7.5</v>
      </c>
      <c r="P11" s="5">
        <v>4.9000000000000004</v>
      </c>
      <c r="Q11" s="5">
        <v>3</v>
      </c>
      <c r="R11" s="5">
        <v>0.8</v>
      </c>
      <c r="S11" s="5">
        <v>2.2000000000000002</v>
      </c>
      <c r="T11" s="5">
        <v>5.9</v>
      </c>
      <c r="U11" s="5">
        <v>3.5</v>
      </c>
      <c r="V11" s="5">
        <v>3.9</v>
      </c>
      <c r="W11" s="5">
        <v>2.2000000000000002</v>
      </c>
      <c r="X11" s="5">
        <v>2.7</v>
      </c>
      <c r="Y11" s="5">
        <v>2.4</v>
      </c>
      <c r="Z11" s="5">
        <v>2.4</v>
      </c>
      <c r="AA11" s="5">
        <v>3.2</v>
      </c>
      <c r="AB11" s="5">
        <v>2.9</v>
      </c>
      <c r="AC11" s="5">
        <v>1.1000000000000001</v>
      </c>
      <c r="AD11" s="5">
        <v>1</v>
      </c>
      <c r="AE11" s="5">
        <v>3.4</v>
      </c>
      <c r="AF11" s="5">
        <v>3.8</v>
      </c>
      <c r="AG11" s="5">
        <v>1.5</v>
      </c>
      <c r="AH11" s="5">
        <v>1.1000000000000001</v>
      </c>
      <c r="AI11" s="5">
        <v>1.6</v>
      </c>
      <c r="AJ11" s="5">
        <v>2</v>
      </c>
      <c r="AK11" s="5">
        <v>2.5</v>
      </c>
      <c r="AL11" s="5">
        <v>1.5</v>
      </c>
      <c r="AM11" s="5">
        <v>1.4</v>
      </c>
      <c r="AN11" s="5">
        <v>-0.1</v>
      </c>
      <c r="AO11" s="5">
        <v>2</v>
      </c>
      <c r="AP11" s="5">
        <v>2.2999999999999998</v>
      </c>
      <c r="AQ11" s="5">
        <v>3.6</v>
      </c>
      <c r="AR11" s="5">
        <v>3.1</v>
      </c>
      <c r="AS11" s="5">
        <v>2.1</v>
      </c>
      <c r="AT11" s="5">
        <v>1.6</v>
      </c>
      <c r="AU11" s="5">
        <v>1.6</v>
      </c>
      <c r="AV11" s="5">
        <v>3.3</v>
      </c>
      <c r="AW11" s="5">
        <v>1.3</v>
      </c>
      <c r="AX11" s="5">
        <v>4</v>
      </c>
      <c r="AY11" s="5">
        <v>3.8</v>
      </c>
      <c r="AZ11" s="5">
        <v>3.3</v>
      </c>
      <c r="BA11" s="5">
        <v>6</v>
      </c>
      <c r="BB11" s="5">
        <v>4.4000000000000004</v>
      </c>
      <c r="BC11" s="5">
        <v>4.5999999999999996</v>
      </c>
    </row>
    <row r="12" spans="1:55" x14ac:dyDescent="0.25">
      <c r="B12" s="3" t="s">
        <v>65</v>
      </c>
      <c r="C12" s="3" t="s">
        <v>56</v>
      </c>
      <c r="D12" s="4" t="s">
        <v>57</v>
      </c>
      <c r="E12" s="4" t="s">
        <v>57</v>
      </c>
      <c r="F12" s="4" t="s">
        <v>57</v>
      </c>
      <c r="G12" s="4" t="s">
        <v>57</v>
      </c>
      <c r="H12" s="4" t="s">
        <v>57</v>
      </c>
      <c r="I12" s="4" t="s">
        <v>57</v>
      </c>
      <c r="J12" s="4" t="s">
        <v>57</v>
      </c>
      <c r="K12" s="4" t="s">
        <v>57</v>
      </c>
      <c r="L12" s="4" t="s">
        <v>57</v>
      </c>
      <c r="M12" s="4" t="s">
        <v>57</v>
      </c>
      <c r="N12" s="4" t="s">
        <v>57</v>
      </c>
      <c r="O12" s="4" t="s">
        <v>57</v>
      </c>
      <c r="P12" s="4" t="s">
        <v>57</v>
      </c>
      <c r="Q12" s="4" t="s">
        <v>57</v>
      </c>
      <c r="R12" s="4" t="s">
        <v>57</v>
      </c>
      <c r="S12" s="4" t="s">
        <v>57</v>
      </c>
      <c r="T12" s="4" t="s">
        <v>57</v>
      </c>
      <c r="U12" s="4" t="s">
        <v>57</v>
      </c>
      <c r="V12" s="4" t="s">
        <v>57</v>
      </c>
      <c r="W12" s="4" t="s">
        <v>57</v>
      </c>
      <c r="X12" s="4" t="s">
        <v>57</v>
      </c>
      <c r="Y12" s="4" t="s">
        <v>57</v>
      </c>
      <c r="Z12" s="4" t="s">
        <v>57</v>
      </c>
      <c r="AA12" s="4" t="s">
        <v>57</v>
      </c>
      <c r="AB12" s="4" t="s">
        <v>57</v>
      </c>
      <c r="AC12" s="4" t="s">
        <v>57</v>
      </c>
      <c r="AD12" s="4" t="s">
        <v>57</v>
      </c>
      <c r="AE12" s="4" t="s">
        <v>57</v>
      </c>
      <c r="AF12" s="4" t="s">
        <v>57</v>
      </c>
      <c r="AG12" s="4" t="s">
        <v>57</v>
      </c>
      <c r="AH12" s="4" t="s">
        <v>57</v>
      </c>
      <c r="AI12" s="4" t="s">
        <v>57</v>
      </c>
      <c r="AJ12" s="4" t="s">
        <v>57</v>
      </c>
      <c r="AK12" s="4" t="s">
        <v>57</v>
      </c>
      <c r="AL12" s="4" t="s">
        <v>57</v>
      </c>
      <c r="AM12" s="4" t="s">
        <v>57</v>
      </c>
      <c r="AN12" s="4" t="s">
        <v>57</v>
      </c>
      <c r="AO12" s="4" t="s">
        <v>57</v>
      </c>
      <c r="AP12" s="4" t="s">
        <v>57</v>
      </c>
      <c r="AQ12" s="4" t="s">
        <v>57</v>
      </c>
      <c r="AR12" s="4" t="s">
        <v>57</v>
      </c>
      <c r="AS12" s="4" t="s">
        <v>57</v>
      </c>
      <c r="AT12" s="4" t="s">
        <v>57</v>
      </c>
      <c r="AU12" s="4" t="s">
        <v>57</v>
      </c>
      <c r="AV12" s="4" t="s">
        <v>57</v>
      </c>
      <c r="AW12" s="4" t="s">
        <v>57</v>
      </c>
      <c r="AX12" s="4" t="s">
        <v>57</v>
      </c>
      <c r="AY12" s="4" t="s">
        <v>57</v>
      </c>
      <c r="AZ12" s="4" t="s">
        <v>57</v>
      </c>
      <c r="BA12" s="4" t="s">
        <v>57</v>
      </c>
      <c r="BB12" s="4" t="s">
        <v>57</v>
      </c>
      <c r="BC12" s="4" t="s">
        <v>57</v>
      </c>
    </row>
    <row r="13" spans="1:55" x14ac:dyDescent="0.25">
      <c r="C13" s="3" t="s">
        <v>58</v>
      </c>
      <c r="D13" s="5">
        <v>20477.599999999999</v>
      </c>
      <c r="E13" s="5">
        <v>22029.200000000001</v>
      </c>
      <c r="F13" s="5">
        <v>25292.9</v>
      </c>
      <c r="G13" s="5">
        <v>30036</v>
      </c>
      <c r="H13" s="5">
        <v>30401.4</v>
      </c>
      <c r="I13" s="5">
        <v>34234.5</v>
      </c>
      <c r="J13" s="5">
        <v>40074.800000000003</v>
      </c>
      <c r="K13" s="5">
        <v>38410.6</v>
      </c>
      <c r="L13" s="5">
        <v>31490.5</v>
      </c>
      <c r="M13" s="5">
        <v>31961.3</v>
      </c>
      <c r="N13" s="5">
        <v>31327</v>
      </c>
      <c r="O13" s="5">
        <v>36740.699999999997</v>
      </c>
      <c r="P13" s="5">
        <v>41668.699999999997</v>
      </c>
      <c r="Q13" s="5">
        <v>49927.3</v>
      </c>
      <c r="R13" s="5">
        <v>49806.1</v>
      </c>
      <c r="S13" s="5">
        <v>50912.800000000003</v>
      </c>
      <c r="T13" s="5">
        <v>51241.2</v>
      </c>
      <c r="U13" s="5">
        <v>46976.6</v>
      </c>
      <c r="V13" s="5">
        <v>47711.6</v>
      </c>
      <c r="W13" s="5">
        <v>45892</v>
      </c>
      <c r="X13" s="5">
        <v>43731.8</v>
      </c>
      <c r="Y13" s="5">
        <v>47028.6</v>
      </c>
      <c r="Z13" s="5">
        <v>51680.4</v>
      </c>
      <c r="AA13" s="5">
        <v>52936.9</v>
      </c>
      <c r="AB13" s="5">
        <v>58211.7</v>
      </c>
      <c r="AC13" s="5">
        <v>61654</v>
      </c>
      <c r="AD13" s="5">
        <v>67265.3</v>
      </c>
      <c r="AE13" s="5">
        <v>75552.899999999994</v>
      </c>
      <c r="AF13" s="5">
        <v>82817.5</v>
      </c>
      <c r="AG13" s="5">
        <v>86784.6</v>
      </c>
      <c r="AH13" s="5">
        <v>86078.399999999994</v>
      </c>
      <c r="AI13" s="5">
        <v>102805.2</v>
      </c>
      <c r="AJ13" s="5">
        <v>109849.5</v>
      </c>
      <c r="AK13" s="5">
        <v>151797.9</v>
      </c>
      <c r="AL13" s="5">
        <v>159729.5</v>
      </c>
      <c r="AM13" s="5">
        <v>157730.6</v>
      </c>
      <c r="AN13" s="5">
        <v>241503.4</v>
      </c>
      <c r="AO13" s="5">
        <v>217550.8</v>
      </c>
      <c r="AP13" s="5">
        <v>202251.4</v>
      </c>
      <c r="AQ13" s="5">
        <v>197412.6</v>
      </c>
      <c r="AR13" s="5">
        <v>197324.9</v>
      </c>
      <c r="AS13" s="5">
        <v>203542.6</v>
      </c>
      <c r="AT13" s="5">
        <v>221806.7</v>
      </c>
      <c r="AU13" s="5">
        <v>225838.9</v>
      </c>
      <c r="AV13" s="5">
        <v>214838.8</v>
      </c>
      <c r="AW13" s="5">
        <v>223548.7</v>
      </c>
      <c r="AX13" s="5">
        <v>215446.6</v>
      </c>
      <c r="AY13" s="5">
        <v>204917.7</v>
      </c>
      <c r="AZ13" s="5">
        <v>219286</v>
      </c>
      <c r="BA13" s="5">
        <v>229315.3</v>
      </c>
      <c r="BB13" s="5">
        <v>220817.9</v>
      </c>
      <c r="BC13" s="5">
        <v>207961.5</v>
      </c>
    </row>
    <row r="14" spans="1:55" x14ac:dyDescent="0.25">
      <c r="C14" s="3" t="s">
        <v>59</v>
      </c>
      <c r="D14" s="5">
        <v>4365.7</v>
      </c>
      <c r="E14" s="5">
        <v>4496.3999999999996</v>
      </c>
      <c r="F14" s="5">
        <v>4678.6000000000004</v>
      </c>
      <c r="G14" s="5">
        <v>4863.3</v>
      </c>
      <c r="H14" s="5">
        <v>5577.5</v>
      </c>
      <c r="I14" s="5">
        <v>5944.8</v>
      </c>
      <c r="J14" s="5">
        <v>6809.5</v>
      </c>
      <c r="K14" s="5">
        <v>6728.5</v>
      </c>
      <c r="L14" s="5">
        <v>7636.9</v>
      </c>
      <c r="M14" s="5">
        <v>9303.2000000000007</v>
      </c>
      <c r="N14" s="5">
        <v>8717</v>
      </c>
      <c r="O14" s="5">
        <v>11043.2</v>
      </c>
      <c r="P14" s="5">
        <v>10445.799999999999</v>
      </c>
      <c r="Q14" s="5">
        <v>10206.1</v>
      </c>
      <c r="R14" s="5">
        <v>9181.7999999999993</v>
      </c>
      <c r="S14" s="5">
        <v>10075.6</v>
      </c>
      <c r="T14" s="5">
        <v>10952.9</v>
      </c>
      <c r="U14" s="5">
        <v>10514</v>
      </c>
      <c r="V14" s="5">
        <v>10567.4</v>
      </c>
      <c r="W14" s="5">
        <v>8798.1</v>
      </c>
      <c r="X14" s="5">
        <v>9240.9</v>
      </c>
      <c r="Y14" s="5">
        <v>9914.2999999999993</v>
      </c>
      <c r="Z14" s="5">
        <v>9707.7999999999993</v>
      </c>
      <c r="AA14" s="5">
        <v>9779.2999999999993</v>
      </c>
      <c r="AB14" s="5">
        <v>9815.2999999999993</v>
      </c>
      <c r="AC14" s="5">
        <v>9211</v>
      </c>
      <c r="AD14" s="5">
        <v>8853.1</v>
      </c>
      <c r="AE14" s="5">
        <v>9601.6</v>
      </c>
      <c r="AF14" s="5">
        <v>9908.7000000000007</v>
      </c>
      <c r="AG14" s="5">
        <v>9096.2000000000007</v>
      </c>
      <c r="AH14" s="5">
        <v>9634.2999999999993</v>
      </c>
      <c r="AI14" s="5">
        <v>9917.6</v>
      </c>
      <c r="AJ14" s="5">
        <v>10197.1</v>
      </c>
      <c r="AK14" s="5">
        <v>11271.8</v>
      </c>
      <c r="AL14" s="5">
        <v>12743.8</v>
      </c>
      <c r="AM14" s="5">
        <v>12646.5</v>
      </c>
      <c r="AN14" s="5">
        <v>11010.3</v>
      </c>
      <c r="AO14" s="5">
        <v>12981.5</v>
      </c>
      <c r="AP14" s="5">
        <v>13265.7</v>
      </c>
      <c r="AQ14" s="5">
        <v>15292.3</v>
      </c>
      <c r="AR14" s="5">
        <v>14299.7</v>
      </c>
      <c r="AS14" s="5">
        <v>13460.2</v>
      </c>
      <c r="AT14" s="5">
        <v>13958.8</v>
      </c>
      <c r="AU14" s="5">
        <v>13900</v>
      </c>
      <c r="AV14" s="5">
        <v>13786.9</v>
      </c>
      <c r="AW14" s="5">
        <v>14081.1</v>
      </c>
      <c r="AX14" s="5">
        <v>13983</v>
      </c>
      <c r="AY14" s="5">
        <v>14379.1</v>
      </c>
      <c r="AZ14" s="5">
        <v>16780</v>
      </c>
      <c r="BA14" s="5">
        <v>20102.8</v>
      </c>
      <c r="BB14" s="5">
        <v>16068.7</v>
      </c>
      <c r="BC14" s="5">
        <v>15276.9</v>
      </c>
    </row>
    <row r="15" spans="1:55" x14ac:dyDescent="0.25">
      <c r="C15" s="3" t="s">
        <v>60</v>
      </c>
      <c r="D15" s="5">
        <v>4276.1000000000004</v>
      </c>
      <c r="E15" s="5">
        <v>4635</v>
      </c>
      <c r="F15" s="5">
        <v>5207.1000000000004</v>
      </c>
      <c r="G15" s="5">
        <v>5748.2</v>
      </c>
      <c r="H15" s="5">
        <v>6077.5</v>
      </c>
      <c r="I15" s="5">
        <v>7462.1</v>
      </c>
      <c r="J15" s="5">
        <v>8598.6</v>
      </c>
      <c r="K15" s="5">
        <v>8933.7999999999993</v>
      </c>
      <c r="L15" s="5">
        <v>9573.2999999999993</v>
      </c>
      <c r="M15" s="5">
        <v>11019.4</v>
      </c>
      <c r="N15" s="5">
        <v>11654.1</v>
      </c>
      <c r="O15" s="5">
        <v>12271.6</v>
      </c>
      <c r="P15" s="5">
        <v>12722.9</v>
      </c>
      <c r="Q15" s="5">
        <v>12763.6</v>
      </c>
      <c r="R15" s="5">
        <v>12697</v>
      </c>
      <c r="S15" s="5">
        <v>13779.1</v>
      </c>
      <c r="T15" s="5">
        <v>14258.8</v>
      </c>
      <c r="U15" s="5">
        <v>12771</v>
      </c>
      <c r="V15" s="5">
        <v>12907</v>
      </c>
      <c r="W15" s="5">
        <v>12248.8</v>
      </c>
      <c r="X15" s="5">
        <v>12022.7</v>
      </c>
      <c r="Y15" s="5">
        <v>12695.2</v>
      </c>
      <c r="Z15" s="5">
        <v>12488.6</v>
      </c>
      <c r="AA15" s="5">
        <v>12729.7</v>
      </c>
      <c r="AB15" s="5">
        <v>12946</v>
      </c>
      <c r="AC15" s="5">
        <v>11810.1</v>
      </c>
      <c r="AD15" s="5">
        <v>11408.2</v>
      </c>
      <c r="AE15" s="5">
        <v>12561</v>
      </c>
      <c r="AF15" s="5">
        <v>12984.1</v>
      </c>
      <c r="AG15" s="5">
        <v>13011.5</v>
      </c>
      <c r="AH15" s="5">
        <v>13018.7</v>
      </c>
      <c r="AI15" s="5">
        <v>13546.8</v>
      </c>
      <c r="AJ15" s="5">
        <v>13828</v>
      </c>
      <c r="AK15" s="5">
        <v>14331</v>
      </c>
      <c r="AL15" s="5">
        <v>15729.5</v>
      </c>
      <c r="AM15" s="5">
        <v>15670</v>
      </c>
      <c r="AN15" s="5">
        <v>17239.7</v>
      </c>
      <c r="AO15" s="5">
        <v>16227.7</v>
      </c>
      <c r="AP15" s="5">
        <v>15860</v>
      </c>
      <c r="AQ15" s="5">
        <v>16088.8</v>
      </c>
      <c r="AR15" s="5">
        <v>16571.400000000001</v>
      </c>
      <c r="AS15" s="5">
        <v>16423.3</v>
      </c>
      <c r="AT15" s="5">
        <v>15835.1</v>
      </c>
      <c r="AU15" s="5">
        <v>17158.3</v>
      </c>
      <c r="AV15" s="5">
        <v>16743.2</v>
      </c>
      <c r="AW15" s="5">
        <v>17305.400000000001</v>
      </c>
      <c r="AX15" s="5">
        <v>16259.7</v>
      </c>
      <c r="AY15" s="5">
        <v>14385.9</v>
      </c>
      <c r="AZ15" s="5">
        <v>15030.5</v>
      </c>
      <c r="BA15" s="5">
        <v>16179.4</v>
      </c>
      <c r="BB15" s="5">
        <v>16914.099999999999</v>
      </c>
      <c r="BC15" s="5">
        <v>15595.4</v>
      </c>
    </row>
    <row r="16" spans="1:55" x14ac:dyDescent="0.25">
      <c r="C16" s="3" t="s">
        <v>61</v>
      </c>
      <c r="D16" s="5">
        <v>22.4</v>
      </c>
      <c r="E16" s="5">
        <v>36.5</v>
      </c>
      <c r="F16" s="5">
        <v>35.700000000000003</v>
      </c>
      <c r="G16" s="5">
        <v>43.2</v>
      </c>
      <c r="H16" s="5">
        <v>35.200000000000003</v>
      </c>
      <c r="I16" s="5">
        <v>34.5</v>
      </c>
      <c r="J16" s="5">
        <v>34</v>
      </c>
      <c r="K16" s="5">
        <v>39.700000000000003</v>
      </c>
      <c r="L16" s="5">
        <v>38.200000000000003</v>
      </c>
      <c r="M16" s="5">
        <v>83.9</v>
      </c>
      <c r="N16" s="5">
        <v>81.8</v>
      </c>
      <c r="O16" s="5">
        <v>179</v>
      </c>
      <c r="P16" s="5">
        <v>180.7</v>
      </c>
      <c r="Q16" s="5">
        <v>127.3</v>
      </c>
      <c r="R16" s="5">
        <v>145.5</v>
      </c>
      <c r="S16" s="5">
        <v>238.4</v>
      </c>
      <c r="T16" s="5">
        <v>217.7</v>
      </c>
      <c r="U16" s="5">
        <v>158.9</v>
      </c>
      <c r="V16" s="5">
        <v>148.80000000000001</v>
      </c>
      <c r="W16" s="5">
        <v>75.099999999999994</v>
      </c>
      <c r="X16" s="5">
        <v>77.3</v>
      </c>
      <c r="Y16" s="5">
        <v>85.7</v>
      </c>
      <c r="Z16" s="5">
        <v>59.4</v>
      </c>
      <c r="AA16" s="5">
        <v>90.1</v>
      </c>
      <c r="AB16" s="5">
        <v>72.099999999999994</v>
      </c>
      <c r="AC16" s="5">
        <v>97.1</v>
      </c>
      <c r="AD16" s="5">
        <v>93.9</v>
      </c>
      <c r="AE16" s="5">
        <v>89.4</v>
      </c>
      <c r="AF16" s="5">
        <v>95.2</v>
      </c>
      <c r="AG16" s="5">
        <v>88.5</v>
      </c>
      <c r="AH16" s="5">
        <v>70.900000000000006</v>
      </c>
      <c r="AI16" s="5">
        <v>82.4</v>
      </c>
      <c r="AJ16" s="5">
        <v>64.5</v>
      </c>
      <c r="AK16" s="5">
        <v>90.6</v>
      </c>
      <c r="AL16" s="5">
        <v>131.69999999999999</v>
      </c>
      <c r="AM16" s="5">
        <v>57.2</v>
      </c>
      <c r="AN16" s="5">
        <v>71.900000000000006</v>
      </c>
      <c r="AO16" s="5">
        <v>169.2</v>
      </c>
      <c r="AP16" s="5">
        <v>111.4</v>
      </c>
      <c r="AQ16" s="5">
        <v>94.6</v>
      </c>
      <c r="AR16" s="5">
        <v>78.400000000000006</v>
      </c>
      <c r="AS16" s="5">
        <v>119.3</v>
      </c>
      <c r="AT16" s="5">
        <v>188.1</v>
      </c>
      <c r="AU16" s="5">
        <v>102.8</v>
      </c>
      <c r="AV16" s="5">
        <v>87.4</v>
      </c>
      <c r="AW16" s="5">
        <v>124.3</v>
      </c>
      <c r="AX16" s="5">
        <v>99.5</v>
      </c>
      <c r="AY16" s="5">
        <v>101.2</v>
      </c>
      <c r="AZ16" s="5">
        <v>155.69999999999999</v>
      </c>
      <c r="BA16" s="5">
        <v>137.6</v>
      </c>
      <c r="BB16" s="5">
        <v>106.5</v>
      </c>
      <c r="BC16" s="5">
        <v>109.2</v>
      </c>
    </row>
    <row r="17" spans="1:55" x14ac:dyDescent="0.25">
      <c r="C17" s="3" t="s">
        <v>62</v>
      </c>
      <c r="D17" s="5">
        <v>1380.6</v>
      </c>
      <c r="E17" s="5">
        <v>1591.2</v>
      </c>
      <c r="F17" s="5">
        <v>1842.9</v>
      </c>
      <c r="G17" s="5">
        <v>2036</v>
      </c>
      <c r="H17" s="5">
        <v>2253.5</v>
      </c>
      <c r="I17" s="5">
        <v>3069</v>
      </c>
      <c r="J17" s="5">
        <v>3442.2</v>
      </c>
      <c r="K17" s="5">
        <v>3291.4</v>
      </c>
      <c r="L17" s="5">
        <v>3414</v>
      </c>
      <c r="M17" s="5">
        <v>4012.9</v>
      </c>
      <c r="N17" s="5">
        <v>4276.7</v>
      </c>
      <c r="O17" s="5">
        <v>4246.8999999999996</v>
      </c>
      <c r="P17" s="5">
        <v>4277.1000000000004</v>
      </c>
      <c r="Q17" s="5">
        <v>4509.1000000000004</v>
      </c>
      <c r="R17" s="5">
        <v>4557.6000000000004</v>
      </c>
      <c r="S17" s="5">
        <v>4715.1000000000004</v>
      </c>
      <c r="T17" s="5">
        <v>4911.8</v>
      </c>
      <c r="U17" s="5">
        <v>3911.2</v>
      </c>
      <c r="V17" s="5">
        <v>4046.5</v>
      </c>
      <c r="W17" s="5">
        <v>4042.3</v>
      </c>
      <c r="X17" s="5">
        <v>4022.7</v>
      </c>
      <c r="Y17" s="5">
        <v>4590.5</v>
      </c>
      <c r="Z17" s="5">
        <v>4826.5</v>
      </c>
      <c r="AA17" s="5">
        <v>4900.8999999999996</v>
      </c>
      <c r="AB17" s="5">
        <v>4936.8999999999996</v>
      </c>
      <c r="AC17" s="5">
        <v>3658.2</v>
      </c>
      <c r="AD17" s="5">
        <v>3681.6</v>
      </c>
      <c r="AE17" s="5">
        <v>4361.8</v>
      </c>
      <c r="AF17" s="5">
        <v>4345.2</v>
      </c>
      <c r="AG17" s="5">
        <v>4369.2</v>
      </c>
      <c r="AH17" s="5">
        <v>4395.5</v>
      </c>
      <c r="AI17" s="5">
        <v>4486.8999999999996</v>
      </c>
      <c r="AJ17" s="5">
        <v>4354.8</v>
      </c>
      <c r="AK17" s="5">
        <v>4397.2</v>
      </c>
      <c r="AL17" s="5">
        <v>4626.3</v>
      </c>
      <c r="AM17" s="5">
        <v>4333.3</v>
      </c>
      <c r="AN17" s="5">
        <v>4815.1000000000004</v>
      </c>
      <c r="AO17" s="5">
        <v>4301.5</v>
      </c>
      <c r="AP17" s="5">
        <v>4008.6</v>
      </c>
      <c r="AQ17" s="5">
        <v>3957</v>
      </c>
      <c r="AR17" s="5">
        <v>4047.6</v>
      </c>
      <c r="AS17" s="5">
        <v>4187.5</v>
      </c>
      <c r="AT17" s="5">
        <v>3850.5</v>
      </c>
      <c r="AU17" s="5">
        <v>4547.2</v>
      </c>
      <c r="AV17" s="5">
        <v>4636.6000000000004</v>
      </c>
      <c r="AW17" s="5">
        <v>4589.2</v>
      </c>
      <c r="AX17" s="5">
        <v>3966</v>
      </c>
      <c r="AY17" s="5">
        <v>3296.7</v>
      </c>
      <c r="AZ17" s="5">
        <v>3140.4</v>
      </c>
      <c r="BA17" s="5">
        <v>3010.5</v>
      </c>
      <c r="BB17" s="5">
        <v>3037.8</v>
      </c>
      <c r="BC17" s="5">
        <v>2820</v>
      </c>
    </row>
    <row r="18" spans="1:55" x14ac:dyDescent="0.25">
      <c r="C18" s="3" t="s">
        <v>63</v>
      </c>
      <c r="D18" s="5">
        <v>89.6</v>
      </c>
      <c r="E18" s="5">
        <v>-138.69999999999999</v>
      </c>
      <c r="F18" s="5">
        <v>-528.6</v>
      </c>
      <c r="G18" s="5">
        <v>-884.9</v>
      </c>
      <c r="H18" s="5">
        <v>-500</v>
      </c>
      <c r="I18" s="5">
        <v>-1517.2</v>
      </c>
      <c r="J18" s="5">
        <v>-1789.1</v>
      </c>
      <c r="K18" s="5">
        <v>-2205.3000000000002</v>
      </c>
      <c r="L18" s="5">
        <v>-1936.3</v>
      </c>
      <c r="M18" s="5">
        <v>-1716.1</v>
      </c>
      <c r="N18" s="5">
        <v>-2937.1</v>
      </c>
      <c r="O18" s="5">
        <v>-1228.4000000000001</v>
      </c>
      <c r="P18" s="5">
        <v>-2277.1</v>
      </c>
      <c r="Q18" s="5">
        <v>-2557.6</v>
      </c>
      <c r="R18" s="5">
        <v>-3515.2</v>
      </c>
      <c r="S18" s="5">
        <v>-3703.5</v>
      </c>
      <c r="T18" s="5">
        <v>-3305.9</v>
      </c>
      <c r="U18" s="5">
        <v>-2257</v>
      </c>
      <c r="V18" s="5">
        <v>-2339.5</v>
      </c>
      <c r="W18" s="5">
        <v>-3450.7</v>
      </c>
      <c r="X18" s="5">
        <v>-2781.8</v>
      </c>
      <c r="Y18" s="5">
        <v>-2781</v>
      </c>
      <c r="Z18" s="5">
        <v>-2780.8</v>
      </c>
      <c r="AA18" s="5">
        <v>-2950.5</v>
      </c>
      <c r="AB18" s="5">
        <v>-3130.6</v>
      </c>
      <c r="AC18" s="5">
        <v>-2599.1999999999998</v>
      </c>
      <c r="AD18" s="5">
        <v>-2555.1</v>
      </c>
      <c r="AE18" s="5">
        <v>-2959.4</v>
      </c>
      <c r="AF18" s="5">
        <v>-3075.4</v>
      </c>
      <c r="AG18" s="5">
        <v>-3915.4</v>
      </c>
      <c r="AH18" s="5">
        <v>-3384.3</v>
      </c>
      <c r="AI18" s="5">
        <v>-3629.2</v>
      </c>
      <c r="AJ18" s="5">
        <v>-3630.8</v>
      </c>
      <c r="AK18" s="5">
        <v>-3059.2</v>
      </c>
      <c r="AL18" s="5">
        <v>-2985.8</v>
      </c>
      <c r="AM18" s="5">
        <v>-3023.6</v>
      </c>
      <c r="AN18" s="5">
        <v>-6229.5</v>
      </c>
      <c r="AO18" s="5">
        <v>-3246.2</v>
      </c>
      <c r="AP18" s="5">
        <v>-2594.3000000000002</v>
      </c>
      <c r="AQ18" s="5">
        <v>-796.6</v>
      </c>
      <c r="AR18" s="5">
        <v>-2271.6999999999998</v>
      </c>
      <c r="AS18" s="5">
        <v>-2963.1</v>
      </c>
      <c r="AT18" s="5">
        <v>-1876.3</v>
      </c>
      <c r="AU18" s="5">
        <v>-3258.3</v>
      </c>
      <c r="AV18" s="5">
        <v>-2956.3</v>
      </c>
      <c r="AW18" s="5">
        <v>-3224.3</v>
      </c>
      <c r="AX18" s="5">
        <v>-2276.6999999999998</v>
      </c>
      <c r="AY18" s="5">
        <v>-6.9</v>
      </c>
      <c r="AZ18" s="5">
        <v>1749.6</v>
      </c>
      <c r="BA18" s="5">
        <v>3923.3</v>
      </c>
      <c r="BB18" s="5">
        <v>-845.4</v>
      </c>
      <c r="BC18" s="5">
        <v>-318.5</v>
      </c>
    </row>
    <row r="19" spans="1:55" x14ac:dyDescent="0.25">
      <c r="C19" s="3" t="s">
        <v>64</v>
      </c>
      <c r="D19" s="5">
        <v>0.4</v>
      </c>
      <c r="E19" s="5">
        <v>-0.6</v>
      </c>
      <c r="F19" s="5">
        <v>-2.1</v>
      </c>
      <c r="G19" s="5">
        <v>-3</v>
      </c>
      <c r="H19" s="5">
        <v>-1.6</v>
      </c>
      <c r="I19" s="5">
        <v>-4.4000000000000004</v>
      </c>
      <c r="J19" s="5">
        <v>-4.5</v>
      </c>
      <c r="K19" s="5">
        <v>-5.7</v>
      </c>
      <c r="L19" s="5">
        <v>-6.2</v>
      </c>
      <c r="M19" s="5">
        <v>-5.4</v>
      </c>
      <c r="N19" s="5">
        <v>-9.4</v>
      </c>
      <c r="O19" s="5">
        <v>-3.3</v>
      </c>
      <c r="P19" s="5">
        <v>-5.5</v>
      </c>
      <c r="Q19" s="5">
        <v>-5.0999999999999996</v>
      </c>
      <c r="R19" s="5">
        <v>-7.1</v>
      </c>
      <c r="S19" s="5">
        <v>-7.3</v>
      </c>
      <c r="T19" s="5">
        <v>-6.5</v>
      </c>
      <c r="U19" s="5">
        <v>-4.8</v>
      </c>
      <c r="V19" s="5">
        <v>-4.9000000000000004</v>
      </c>
      <c r="W19" s="5">
        <v>-7.5</v>
      </c>
      <c r="X19" s="5">
        <v>-6.4</v>
      </c>
      <c r="Y19" s="5">
        <v>-5.9</v>
      </c>
      <c r="Z19" s="5">
        <v>-5.4</v>
      </c>
      <c r="AA19" s="5">
        <v>-5.6</v>
      </c>
      <c r="AB19" s="5">
        <v>-5.4</v>
      </c>
      <c r="AC19" s="5">
        <v>-4.2</v>
      </c>
      <c r="AD19" s="5">
        <v>-3.8</v>
      </c>
      <c r="AE19" s="5">
        <v>-3.9</v>
      </c>
      <c r="AF19" s="5">
        <v>-3.7</v>
      </c>
      <c r="AG19" s="5">
        <v>-4.5</v>
      </c>
      <c r="AH19" s="5">
        <v>-3.9</v>
      </c>
      <c r="AI19" s="5">
        <v>-3.5</v>
      </c>
      <c r="AJ19" s="5">
        <v>-3.3</v>
      </c>
      <c r="AK19" s="5">
        <v>-2</v>
      </c>
      <c r="AL19" s="5">
        <v>-1.9</v>
      </c>
      <c r="AM19" s="5">
        <v>-1.9</v>
      </c>
      <c r="AN19" s="5">
        <v>-2.6</v>
      </c>
      <c r="AO19" s="5">
        <v>-1.5</v>
      </c>
      <c r="AP19" s="5">
        <v>-1.3</v>
      </c>
      <c r="AQ19" s="5">
        <v>-0.4</v>
      </c>
      <c r="AR19" s="5">
        <v>-1.2</v>
      </c>
      <c r="AS19" s="5">
        <v>-1.5</v>
      </c>
      <c r="AT19" s="5">
        <v>-0.9</v>
      </c>
      <c r="AU19" s="5">
        <v>-1.4</v>
      </c>
      <c r="AV19" s="5">
        <v>-1.4</v>
      </c>
      <c r="AW19" s="5">
        <v>-1.4</v>
      </c>
      <c r="AX19" s="5">
        <v>-1.1000000000000001</v>
      </c>
      <c r="AY19" s="5">
        <v>0</v>
      </c>
      <c r="AZ19" s="5">
        <v>0.8</v>
      </c>
      <c r="BA19" s="5">
        <v>1.7</v>
      </c>
      <c r="BB19" s="5">
        <v>-0.4</v>
      </c>
      <c r="BC19" s="5">
        <v>-0.2</v>
      </c>
    </row>
    <row r="20" spans="1:55" x14ac:dyDescent="0.25">
      <c r="A20" s="3" t="s">
        <v>66</v>
      </c>
      <c r="B20" s="3" t="s">
        <v>55</v>
      </c>
      <c r="C20" s="3" t="s">
        <v>56</v>
      </c>
      <c r="D20" s="5">
        <v>29.4</v>
      </c>
      <c r="E20" s="5">
        <v>30.5</v>
      </c>
      <c r="F20" s="5">
        <v>32.1</v>
      </c>
      <c r="G20" s="5">
        <v>33.700000000000003</v>
      </c>
      <c r="H20" s="5">
        <v>34.299999999999997</v>
      </c>
      <c r="I20" s="5">
        <v>35.799999999999997</v>
      </c>
      <c r="J20" s="5">
        <v>37.299999999999997</v>
      </c>
      <c r="K20" s="5">
        <v>37.9</v>
      </c>
      <c r="L20" s="5">
        <v>39.200000000000003</v>
      </c>
      <c r="M20" s="5">
        <v>41.6</v>
      </c>
      <c r="N20" s="5">
        <v>43.1</v>
      </c>
      <c r="O20" s="5">
        <v>45.4</v>
      </c>
      <c r="P20" s="5">
        <v>47.1</v>
      </c>
      <c r="Q20" s="5">
        <v>48.7</v>
      </c>
      <c r="R20" s="5">
        <v>49.8</v>
      </c>
      <c r="S20" s="5">
        <v>51.9</v>
      </c>
      <c r="T20" s="5">
        <v>53.6</v>
      </c>
      <c r="U20" s="5">
        <v>56.4</v>
      </c>
      <c r="V20" s="5">
        <v>57.8</v>
      </c>
      <c r="W20" s="5">
        <v>60.5</v>
      </c>
      <c r="X20" s="5">
        <v>62.8</v>
      </c>
      <c r="Y20" s="5">
        <v>63.8</v>
      </c>
      <c r="Z20" s="5">
        <v>68.5</v>
      </c>
      <c r="AA20" s="5">
        <v>73.099999999999994</v>
      </c>
      <c r="AB20" s="5">
        <v>74.5</v>
      </c>
      <c r="AC20" s="5">
        <v>77.400000000000006</v>
      </c>
      <c r="AD20" s="5">
        <v>82.9</v>
      </c>
      <c r="AE20" s="5">
        <v>87.8</v>
      </c>
      <c r="AF20" s="5">
        <v>90.4</v>
      </c>
      <c r="AG20" s="5">
        <v>98.3</v>
      </c>
      <c r="AH20" s="5">
        <v>103.8</v>
      </c>
      <c r="AI20" s="5">
        <v>110.8</v>
      </c>
      <c r="AJ20" s="5">
        <v>113.7</v>
      </c>
      <c r="AK20" s="5">
        <v>126.2</v>
      </c>
      <c r="AL20" s="5">
        <v>134.9</v>
      </c>
      <c r="AM20" s="5">
        <v>147</v>
      </c>
      <c r="AN20" s="5">
        <v>154.4</v>
      </c>
      <c r="AO20" s="5">
        <v>160.80000000000001</v>
      </c>
      <c r="AP20" s="5">
        <v>157.30000000000001</v>
      </c>
      <c r="AQ20" s="5">
        <v>158.19999999999999</v>
      </c>
      <c r="AR20" s="5">
        <v>163.5</v>
      </c>
      <c r="AS20" s="5">
        <v>167.9</v>
      </c>
      <c r="AT20" s="5">
        <v>166.8</v>
      </c>
      <c r="AU20" s="5">
        <v>187.2</v>
      </c>
      <c r="AV20" s="5">
        <v>191.8</v>
      </c>
      <c r="AW20" s="5">
        <v>193.5</v>
      </c>
      <c r="AX20" s="5">
        <v>202.2</v>
      </c>
      <c r="AY20" s="5">
        <v>211.2</v>
      </c>
      <c r="AZ20" s="5">
        <v>238.1</v>
      </c>
      <c r="BA20" s="5">
        <v>248</v>
      </c>
      <c r="BB20" s="5">
        <v>272.10000000000002</v>
      </c>
      <c r="BC20" s="5">
        <v>283.2</v>
      </c>
    </row>
    <row r="21" spans="1:55" x14ac:dyDescent="0.25">
      <c r="C21" s="3" t="s">
        <v>58</v>
      </c>
      <c r="D21" s="5">
        <v>565.79999999999995</v>
      </c>
      <c r="E21" s="5">
        <v>693</v>
      </c>
      <c r="F21" s="5">
        <v>846</v>
      </c>
      <c r="G21" s="5">
        <v>1069.9000000000001</v>
      </c>
      <c r="H21" s="5">
        <v>1159.5</v>
      </c>
      <c r="I21" s="5">
        <v>1400</v>
      </c>
      <c r="J21" s="5">
        <v>1668.8</v>
      </c>
      <c r="K21" s="5">
        <v>1696.7</v>
      </c>
      <c r="L21" s="5">
        <v>1474.3</v>
      </c>
      <c r="M21" s="5">
        <v>1545.9</v>
      </c>
      <c r="N21" s="5">
        <v>1626.3</v>
      </c>
      <c r="O21" s="5">
        <v>1931.7</v>
      </c>
      <c r="P21" s="5">
        <v>2216.6999999999998</v>
      </c>
      <c r="Q21" s="5">
        <v>2671.3</v>
      </c>
      <c r="R21" s="5">
        <v>2663.7</v>
      </c>
      <c r="S21" s="5">
        <v>2727.3</v>
      </c>
      <c r="T21" s="5">
        <v>2846</v>
      </c>
      <c r="U21" s="5">
        <v>2837.5</v>
      </c>
      <c r="V21" s="5">
        <v>3054.1</v>
      </c>
      <c r="W21" s="5">
        <v>3122.9</v>
      </c>
      <c r="X21" s="5">
        <v>3227.1</v>
      </c>
      <c r="Y21" s="5">
        <v>3327.2</v>
      </c>
      <c r="Z21" s="5">
        <v>4054.8</v>
      </c>
      <c r="AA21" s="5">
        <v>4460.8999999999996</v>
      </c>
      <c r="AB21" s="5">
        <v>5237.2</v>
      </c>
      <c r="AC21" s="5">
        <v>5968.5</v>
      </c>
      <c r="AD21" s="5">
        <v>6965.2</v>
      </c>
      <c r="AE21" s="5">
        <v>7685.5</v>
      </c>
      <c r="AF21" s="5">
        <v>8851.6</v>
      </c>
      <c r="AG21" s="5">
        <v>9564.7000000000007</v>
      </c>
      <c r="AH21" s="5">
        <v>10243.4</v>
      </c>
      <c r="AI21" s="5">
        <v>11966.9</v>
      </c>
      <c r="AJ21" s="5">
        <v>13911.9</v>
      </c>
      <c r="AK21" s="5">
        <v>20920</v>
      </c>
      <c r="AL21" s="5">
        <v>22404.400000000001</v>
      </c>
      <c r="AM21" s="5">
        <v>23502.7</v>
      </c>
      <c r="AN21" s="5">
        <v>39476.199999999997</v>
      </c>
      <c r="AO21" s="5">
        <v>37978.800000000003</v>
      </c>
      <c r="AP21" s="5">
        <v>36858</v>
      </c>
      <c r="AQ21" s="5">
        <v>36248</v>
      </c>
      <c r="AR21" s="5">
        <v>37271.699999999997</v>
      </c>
      <c r="AS21" s="5">
        <v>38119.599999999999</v>
      </c>
      <c r="AT21" s="5">
        <v>38275.699999999997</v>
      </c>
      <c r="AU21" s="5">
        <v>42635.3</v>
      </c>
      <c r="AV21" s="5">
        <v>43156.2</v>
      </c>
      <c r="AW21" s="5">
        <v>43590.5</v>
      </c>
      <c r="AX21" s="5">
        <v>44813.1</v>
      </c>
      <c r="AY21" s="5">
        <v>47194.400000000001</v>
      </c>
      <c r="AZ21" s="5">
        <v>52186.5</v>
      </c>
      <c r="BA21" s="5">
        <v>54345.7</v>
      </c>
      <c r="BB21" s="5">
        <v>61009.599999999999</v>
      </c>
      <c r="BC21" s="5">
        <v>66142.2</v>
      </c>
    </row>
    <row r="22" spans="1:55" x14ac:dyDescent="0.25">
      <c r="C22" s="3" t="s">
        <v>59</v>
      </c>
      <c r="D22" s="5">
        <v>201.7</v>
      </c>
      <c r="E22" s="5">
        <v>219.8</v>
      </c>
      <c r="F22" s="5">
        <v>261.5</v>
      </c>
      <c r="G22" s="5">
        <v>292.3</v>
      </c>
      <c r="H22" s="5">
        <v>352.8</v>
      </c>
      <c r="I22" s="5">
        <v>407.7</v>
      </c>
      <c r="J22" s="5">
        <v>465.8</v>
      </c>
      <c r="K22" s="5">
        <v>525.4</v>
      </c>
      <c r="L22" s="5">
        <v>650.20000000000005</v>
      </c>
      <c r="M22" s="5">
        <v>791.4</v>
      </c>
      <c r="N22" s="5">
        <v>853.1</v>
      </c>
      <c r="O22" s="5">
        <v>982.2</v>
      </c>
      <c r="P22" s="5">
        <v>980.3</v>
      </c>
      <c r="Q22" s="5">
        <v>964.2</v>
      </c>
      <c r="R22" s="5">
        <v>924.4</v>
      </c>
      <c r="S22" s="5">
        <v>1049.9000000000001</v>
      </c>
      <c r="T22" s="5">
        <v>1213.4000000000001</v>
      </c>
      <c r="U22" s="5">
        <v>1172.0999999999999</v>
      </c>
      <c r="V22" s="5">
        <v>1229.8</v>
      </c>
      <c r="W22" s="5">
        <v>1250.3</v>
      </c>
      <c r="X22" s="5">
        <v>1298.7</v>
      </c>
      <c r="Y22" s="5">
        <v>1338</v>
      </c>
      <c r="Z22" s="5">
        <v>1456.3</v>
      </c>
      <c r="AA22" s="5">
        <v>1584.5</v>
      </c>
      <c r="AB22" s="5">
        <v>1711.9</v>
      </c>
      <c r="AC22" s="5">
        <v>1618.9</v>
      </c>
      <c r="AD22" s="5">
        <v>1702.5</v>
      </c>
      <c r="AE22" s="5">
        <v>2019.4</v>
      </c>
      <c r="AF22" s="5">
        <v>2318.6</v>
      </c>
      <c r="AG22" s="5">
        <v>2258.9</v>
      </c>
      <c r="AH22" s="5">
        <v>2356.9</v>
      </c>
      <c r="AI22" s="5">
        <v>2622.3</v>
      </c>
      <c r="AJ22" s="5">
        <v>2631.2</v>
      </c>
      <c r="AK22" s="5">
        <v>3299.7</v>
      </c>
      <c r="AL22" s="5">
        <v>3619.5</v>
      </c>
      <c r="AM22" s="5">
        <v>4230.8</v>
      </c>
      <c r="AN22" s="5">
        <v>3748.5</v>
      </c>
      <c r="AO22" s="5">
        <v>4834.6000000000004</v>
      </c>
      <c r="AP22" s="5">
        <v>5578.8</v>
      </c>
      <c r="AQ22" s="5">
        <v>6338</v>
      </c>
      <c r="AR22" s="5">
        <v>6566.1</v>
      </c>
      <c r="AS22" s="5">
        <v>6099.5</v>
      </c>
      <c r="AT22" s="5">
        <v>6082.7</v>
      </c>
      <c r="AU22" s="5">
        <v>6636.6</v>
      </c>
      <c r="AV22" s="5">
        <v>7487.9</v>
      </c>
      <c r="AW22" s="5">
        <v>6803.9</v>
      </c>
      <c r="AX22" s="5">
        <v>8413</v>
      </c>
      <c r="AY22" s="5">
        <v>8863.9</v>
      </c>
      <c r="AZ22" s="5">
        <v>9719.5</v>
      </c>
      <c r="BA22" s="5">
        <v>12827.7</v>
      </c>
      <c r="BB22" s="5">
        <v>13315.4</v>
      </c>
      <c r="BC22" s="5">
        <v>14349.9</v>
      </c>
    </row>
    <row r="23" spans="1:55" x14ac:dyDescent="0.25">
      <c r="C23" s="3" t="s">
        <v>60</v>
      </c>
      <c r="D23" s="5">
        <v>126.8</v>
      </c>
      <c r="E23" s="5">
        <v>147.1</v>
      </c>
      <c r="F23" s="5">
        <v>177.3</v>
      </c>
      <c r="G23" s="5">
        <v>215</v>
      </c>
      <c r="H23" s="5">
        <v>237</v>
      </c>
      <c r="I23" s="5">
        <v>287.39999999999998</v>
      </c>
      <c r="J23" s="5">
        <v>334.7</v>
      </c>
      <c r="K23" s="5">
        <v>394.7</v>
      </c>
      <c r="L23" s="5">
        <v>458.1</v>
      </c>
      <c r="M23" s="5">
        <v>544</v>
      </c>
      <c r="N23" s="5">
        <v>649.6</v>
      </c>
      <c r="O23" s="5">
        <v>659.2</v>
      </c>
      <c r="P23" s="5">
        <v>691.6</v>
      </c>
      <c r="Q23" s="5">
        <v>693</v>
      </c>
      <c r="R23" s="5">
        <v>695.2</v>
      </c>
      <c r="S23" s="5">
        <v>761.7</v>
      </c>
      <c r="T23" s="5">
        <v>813.7</v>
      </c>
      <c r="U23" s="5">
        <v>850</v>
      </c>
      <c r="V23" s="5">
        <v>876.4</v>
      </c>
      <c r="W23" s="5">
        <v>938.9</v>
      </c>
      <c r="X23" s="5">
        <v>964.4</v>
      </c>
      <c r="Y23" s="5">
        <v>959</v>
      </c>
      <c r="Z23" s="5">
        <v>1031.8</v>
      </c>
      <c r="AA23" s="5">
        <v>1104.5999999999999</v>
      </c>
      <c r="AB23" s="5">
        <v>1217</v>
      </c>
      <c r="AC23" s="5">
        <v>1293.0999999999999</v>
      </c>
      <c r="AD23" s="5">
        <v>1353.4</v>
      </c>
      <c r="AE23" s="5">
        <v>1459.7</v>
      </c>
      <c r="AF23" s="5">
        <v>1665.6</v>
      </c>
      <c r="AG23" s="5">
        <v>1797.2</v>
      </c>
      <c r="AH23" s="5">
        <v>1908.3</v>
      </c>
      <c r="AI23" s="5">
        <v>2092</v>
      </c>
      <c r="AJ23" s="5">
        <v>2293.1</v>
      </c>
      <c r="AK23" s="5">
        <v>2759.2</v>
      </c>
      <c r="AL23" s="5">
        <v>3258.3</v>
      </c>
      <c r="AM23" s="5">
        <v>3914</v>
      </c>
      <c r="AN23" s="5">
        <v>3795.8</v>
      </c>
      <c r="AO23" s="5">
        <v>4085.8</v>
      </c>
      <c r="AP23" s="5">
        <v>4717.8</v>
      </c>
      <c r="AQ23" s="5">
        <v>5031.3999999999996</v>
      </c>
      <c r="AR23" s="5">
        <v>5416.2</v>
      </c>
      <c r="AS23" s="5">
        <v>5303.2</v>
      </c>
      <c r="AT23" s="5">
        <v>5461.4</v>
      </c>
      <c r="AU23" s="5">
        <v>5940.6</v>
      </c>
      <c r="AV23" s="5">
        <v>6079.7</v>
      </c>
      <c r="AW23" s="5">
        <v>6232.4</v>
      </c>
      <c r="AX23" s="5">
        <v>6635.5</v>
      </c>
      <c r="AY23" s="5">
        <v>7050.2</v>
      </c>
      <c r="AZ23" s="5">
        <v>8022.4</v>
      </c>
      <c r="BA23" s="5">
        <v>9649.5</v>
      </c>
      <c r="BB23" s="5">
        <v>10672.9</v>
      </c>
      <c r="BC23" s="5">
        <v>11345.2</v>
      </c>
    </row>
    <row r="24" spans="1:55" x14ac:dyDescent="0.25">
      <c r="C24" s="3" t="s">
        <v>61</v>
      </c>
      <c r="D24" s="5">
        <v>9.3000000000000007</v>
      </c>
      <c r="E24" s="5">
        <v>11.2</v>
      </c>
      <c r="F24" s="5">
        <v>13.8</v>
      </c>
      <c r="G24" s="5">
        <v>15.3</v>
      </c>
      <c r="H24" s="5">
        <v>15.8</v>
      </c>
      <c r="I24" s="5">
        <v>22.8</v>
      </c>
      <c r="J24" s="5">
        <v>23.3</v>
      </c>
      <c r="K24" s="5">
        <v>25.1</v>
      </c>
      <c r="L24" s="5">
        <v>26.4</v>
      </c>
      <c r="M24" s="5">
        <v>32</v>
      </c>
      <c r="N24" s="5">
        <v>35.799999999999997</v>
      </c>
      <c r="O24" s="5">
        <v>40.1</v>
      </c>
      <c r="P24" s="5">
        <v>48.3</v>
      </c>
      <c r="Q24" s="5">
        <v>50.9</v>
      </c>
      <c r="R24" s="5">
        <v>52.5</v>
      </c>
      <c r="S24" s="5">
        <v>55.8</v>
      </c>
      <c r="T24" s="5">
        <v>60.3</v>
      </c>
      <c r="U24" s="5">
        <v>67.599999999999994</v>
      </c>
      <c r="V24" s="5">
        <v>70.599999999999994</v>
      </c>
      <c r="W24" s="5">
        <v>76.2</v>
      </c>
      <c r="X24" s="5">
        <v>76.3</v>
      </c>
      <c r="Y24" s="5">
        <v>78.7</v>
      </c>
      <c r="Z24" s="5">
        <v>86.9</v>
      </c>
      <c r="AA24" s="5">
        <v>93.6</v>
      </c>
      <c r="AB24" s="5">
        <v>104.8</v>
      </c>
      <c r="AC24" s="5">
        <v>109.2</v>
      </c>
      <c r="AD24" s="5">
        <v>118.9</v>
      </c>
      <c r="AE24" s="5">
        <v>127.3</v>
      </c>
      <c r="AF24" s="5">
        <v>140.30000000000001</v>
      </c>
      <c r="AG24" s="5">
        <v>156.69999999999999</v>
      </c>
      <c r="AH24" s="5">
        <v>176.6</v>
      </c>
      <c r="AI24" s="5">
        <v>188.2</v>
      </c>
      <c r="AJ24" s="5">
        <v>211.5</v>
      </c>
      <c r="AK24" s="5">
        <v>240.1</v>
      </c>
      <c r="AL24" s="5">
        <v>275.2</v>
      </c>
      <c r="AM24" s="5">
        <v>309.7</v>
      </c>
      <c r="AN24" s="5">
        <v>349.5</v>
      </c>
      <c r="AO24" s="5">
        <v>384.7</v>
      </c>
      <c r="AP24" s="5">
        <v>400.5</v>
      </c>
      <c r="AQ24" s="5">
        <v>421.4</v>
      </c>
      <c r="AR24" s="5">
        <v>473.4</v>
      </c>
      <c r="AS24" s="5">
        <v>500.3</v>
      </c>
      <c r="AT24" s="5">
        <v>557.70000000000005</v>
      </c>
      <c r="AU24" s="5">
        <v>625.20000000000005</v>
      </c>
      <c r="AV24" s="5">
        <v>660.6</v>
      </c>
      <c r="AW24" s="5">
        <v>687.7</v>
      </c>
      <c r="AX24" s="5">
        <v>739.9</v>
      </c>
      <c r="AY24" s="5">
        <v>815.7</v>
      </c>
      <c r="AZ24" s="5">
        <v>930.6</v>
      </c>
      <c r="BA24" s="5">
        <v>1015.8</v>
      </c>
      <c r="BB24" s="5">
        <v>1156.9000000000001</v>
      </c>
      <c r="BC24" s="5">
        <v>1375.7</v>
      </c>
    </row>
    <row r="25" spans="1:55" x14ac:dyDescent="0.25">
      <c r="C25" s="3" t="s">
        <v>62</v>
      </c>
      <c r="D25" s="5">
        <v>48.1</v>
      </c>
      <c r="E25" s="5">
        <v>61.9</v>
      </c>
      <c r="F25" s="5">
        <v>70.2</v>
      </c>
      <c r="G25" s="5">
        <v>78.8</v>
      </c>
      <c r="H25" s="5">
        <v>93</v>
      </c>
      <c r="I25" s="5">
        <v>115.3</v>
      </c>
      <c r="J25" s="5">
        <v>130.4</v>
      </c>
      <c r="K25" s="5">
        <v>135.6</v>
      </c>
      <c r="L25" s="5">
        <v>150.80000000000001</v>
      </c>
      <c r="M25" s="5">
        <v>162.4</v>
      </c>
      <c r="N25" s="5">
        <v>174.6</v>
      </c>
      <c r="O25" s="5">
        <v>179</v>
      </c>
      <c r="P25" s="5">
        <v>180.8</v>
      </c>
      <c r="Q25" s="5">
        <v>191.9</v>
      </c>
      <c r="R25" s="5">
        <v>207.5</v>
      </c>
      <c r="S25" s="5">
        <v>227.1</v>
      </c>
      <c r="T25" s="5">
        <v>230.9</v>
      </c>
      <c r="U25" s="5">
        <v>240.4</v>
      </c>
      <c r="V25" s="5">
        <v>249.8</v>
      </c>
      <c r="W25" s="5">
        <v>262.39999999999998</v>
      </c>
      <c r="X25" s="5">
        <v>268.60000000000002</v>
      </c>
      <c r="Y25" s="5">
        <v>316.5</v>
      </c>
      <c r="Z25" s="5">
        <v>343.5</v>
      </c>
      <c r="AA25" s="5">
        <v>354.7</v>
      </c>
      <c r="AB25" s="5">
        <v>364.2</v>
      </c>
      <c r="AC25" s="5">
        <v>284.39999999999998</v>
      </c>
      <c r="AD25" s="5">
        <v>303</v>
      </c>
      <c r="AE25" s="5">
        <v>318.60000000000002</v>
      </c>
      <c r="AF25" s="5">
        <v>337.1</v>
      </c>
      <c r="AG25" s="5">
        <v>337.5</v>
      </c>
      <c r="AH25" s="5">
        <v>352.6</v>
      </c>
      <c r="AI25" s="5">
        <v>360.5</v>
      </c>
      <c r="AJ25" s="5">
        <v>360.1</v>
      </c>
      <c r="AK25" s="5">
        <v>391.2</v>
      </c>
      <c r="AL25" s="5">
        <v>397.5</v>
      </c>
      <c r="AM25" s="5">
        <v>405.2</v>
      </c>
      <c r="AN25" s="5">
        <v>424.6</v>
      </c>
      <c r="AO25" s="5">
        <v>424.2</v>
      </c>
      <c r="AP25" s="5">
        <v>422.3</v>
      </c>
      <c r="AQ25" s="5">
        <v>431.2</v>
      </c>
      <c r="AR25" s="5">
        <v>431.5</v>
      </c>
      <c r="AS25" s="5">
        <v>445</v>
      </c>
      <c r="AT25" s="5">
        <v>445.3</v>
      </c>
      <c r="AU25" s="5">
        <v>470.7</v>
      </c>
      <c r="AV25" s="5">
        <v>472.3</v>
      </c>
      <c r="AW25" s="5">
        <v>467.2</v>
      </c>
      <c r="AX25" s="5">
        <v>487.4</v>
      </c>
      <c r="AY25" s="5">
        <v>488.7</v>
      </c>
      <c r="AZ25" s="5">
        <v>496.1</v>
      </c>
      <c r="BA25" s="5">
        <v>490.7</v>
      </c>
      <c r="BB25" s="5">
        <v>508</v>
      </c>
      <c r="BC25" s="5">
        <v>530.9</v>
      </c>
    </row>
    <row r="26" spans="1:55" x14ac:dyDescent="0.25">
      <c r="C26" s="3" t="s">
        <v>63</v>
      </c>
      <c r="D26" s="5">
        <v>74.900000000000006</v>
      </c>
      <c r="E26" s="5">
        <v>72.7</v>
      </c>
      <c r="F26" s="5">
        <v>84.2</v>
      </c>
      <c r="G26" s="5">
        <v>77.3</v>
      </c>
      <c r="H26" s="5">
        <v>115.8</v>
      </c>
      <c r="I26" s="5">
        <v>120.3</v>
      </c>
      <c r="J26" s="5">
        <v>131.1</v>
      </c>
      <c r="K26" s="5">
        <v>130.69999999999999</v>
      </c>
      <c r="L26" s="5">
        <v>192.1</v>
      </c>
      <c r="M26" s="5">
        <v>247.4</v>
      </c>
      <c r="N26" s="5">
        <v>203.5</v>
      </c>
      <c r="O26" s="5">
        <v>323</v>
      </c>
      <c r="P26" s="5">
        <v>288.7</v>
      </c>
      <c r="Q26" s="5">
        <v>271.2</v>
      </c>
      <c r="R26" s="5">
        <v>229.2</v>
      </c>
      <c r="S26" s="5">
        <v>288.2</v>
      </c>
      <c r="T26" s="5">
        <v>399.7</v>
      </c>
      <c r="U26" s="5">
        <v>322.10000000000002</v>
      </c>
      <c r="V26" s="5">
        <v>353.4</v>
      </c>
      <c r="W26" s="5">
        <v>311.39999999999998</v>
      </c>
      <c r="X26" s="5">
        <v>334.3</v>
      </c>
      <c r="Y26" s="5">
        <v>379</v>
      </c>
      <c r="Z26" s="5">
        <v>424.5</v>
      </c>
      <c r="AA26" s="5">
        <v>479.9</v>
      </c>
      <c r="AB26" s="5">
        <v>494.9</v>
      </c>
      <c r="AC26" s="5">
        <v>325.8</v>
      </c>
      <c r="AD26" s="5">
        <v>349.1</v>
      </c>
      <c r="AE26" s="5">
        <v>559.70000000000005</v>
      </c>
      <c r="AF26" s="5">
        <v>653</v>
      </c>
      <c r="AG26" s="5">
        <v>461.7</v>
      </c>
      <c r="AH26" s="5">
        <v>448.6</v>
      </c>
      <c r="AI26" s="5">
        <v>530.29999999999995</v>
      </c>
      <c r="AJ26" s="5">
        <v>338.1</v>
      </c>
      <c r="AK26" s="5">
        <v>540.5</v>
      </c>
      <c r="AL26" s="5">
        <v>361.2</v>
      </c>
      <c r="AM26" s="5">
        <v>316.8</v>
      </c>
      <c r="AN26" s="5">
        <v>-47.3</v>
      </c>
      <c r="AO26" s="5">
        <v>748.8</v>
      </c>
      <c r="AP26" s="5">
        <v>861</v>
      </c>
      <c r="AQ26" s="5">
        <v>1306.5999999999999</v>
      </c>
      <c r="AR26" s="5">
        <v>1149.9000000000001</v>
      </c>
      <c r="AS26" s="5">
        <v>796.3</v>
      </c>
      <c r="AT26" s="5">
        <v>621.29999999999995</v>
      </c>
      <c r="AU26" s="5">
        <v>696</v>
      </c>
      <c r="AV26" s="5">
        <v>1408.2</v>
      </c>
      <c r="AW26" s="5">
        <v>571.5</v>
      </c>
      <c r="AX26" s="5">
        <v>1777.5</v>
      </c>
      <c r="AY26" s="5">
        <v>1813.7</v>
      </c>
      <c r="AZ26" s="5">
        <v>1697.1</v>
      </c>
      <c r="BA26" s="5">
        <v>3178.2</v>
      </c>
      <c r="BB26" s="5">
        <v>2642.5</v>
      </c>
      <c r="BC26" s="5">
        <v>3004.7</v>
      </c>
    </row>
    <row r="27" spans="1:55" x14ac:dyDescent="0.25">
      <c r="C27" s="3" t="s">
        <v>64</v>
      </c>
      <c r="D27" s="5">
        <v>4.7</v>
      </c>
      <c r="E27" s="5">
        <v>1.6</v>
      </c>
      <c r="F27" s="5">
        <v>1.7</v>
      </c>
      <c r="G27" s="5">
        <v>-0.1</v>
      </c>
      <c r="H27" s="5">
        <v>2</v>
      </c>
      <c r="I27" s="5">
        <v>0.4</v>
      </c>
      <c r="J27" s="5">
        <v>0</v>
      </c>
      <c r="K27" s="5">
        <v>-0.3</v>
      </c>
      <c r="L27" s="5">
        <v>2.8</v>
      </c>
      <c r="M27" s="5">
        <v>5.5</v>
      </c>
      <c r="N27" s="5">
        <v>1.8</v>
      </c>
      <c r="O27" s="5">
        <v>7.5</v>
      </c>
      <c r="P27" s="5">
        <v>4.9000000000000004</v>
      </c>
      <c r="Q27" s="5">
        <v>3</v>
      </c>
      <c r="R27" s="5">
        <v>0.8</v>
      </c>
      <c r="S27" s="5">
        <v>2.2000000000000002</v>
      </c>
      <c r="T27" s="5">
        <v>5.9</v>
      </c>
      <c r="U27" s="5">
        <v>3.5</v>
      </c>
      <c r="V27" s="5">
        <v>3.9</v>
      </c>
      <c r="W27" s="5">
        <v>2.2000000000000002</v>
      </c>
      <c r="X27" s="5">
        <v>2.7</v>
      </c>
      <c r="Y27" s="5">
        <v>2.4</v>
      </c>
      <c r="Z27" s="5">
        <v>2.4</v>
      </c>
      <c r="AA27" s="5">
        <v>3.2</v>
      </c>
      <c r="AB27" s="5">
        <v>2.9</v>
      </c>
      <c r="AC27" s="5">
        <v>1.1000000000000001</v>
      </c>
      <c r="AD27" s="5">
        <v>1</v>
      </c>
      <c r="AE27" s="5">
        <v>3.4</v>
      </c>
      <c r="AF27" s="5">
        <v>3.8</v>
      </c>
      <c r="AG27" s="5">
        <v>1.5</v>
      </c>
      <c r="AH27" s="5">
        <v>1.1000000000000001</v>
      </c>
      <c r="AI27" s="5">
        <v>1.6</v>
      </c>
      <c r="AJ27" s="5">
        <v>2</v>
      </c>
      <c r="AK27" s="5">
        <v>2.5</v>
      </c>
      <c r="AL27" s="5">
        <v>1.5</v>
      </c>
      <c r="AM27" s="5">
        <v>1.4</v>
      </c>
      <c r="AN27" s="5">
        <v>-0.1</v>
      </c>
      <c r="AO27" s="5">
        <v>2</v>
      </c>
      <c r="AP27" s="5">
        <v>2.2999999999999998</v>
      </c>
      <c r="AQ27" s="5">
        <v>3.6</v>
      </c>
      <c r="AR27" s="5">
        <v>3.1</v>
      </c>
      <c r="AS27" s="5">
        <v>2.1</v>
      </c>
      <c r="AT27" s="5">
        <v>1.6</v>
      </c>
      <c r="AU27" s="5">
        <v>1.6</v>
      </c>
      <c r="AV27" s="5">
        <v>3.3</v>
      </c>
      <c r="AW27" s="5">
        <v>1.3</v>
      </c>
      <c r="AX27" s="5">
        <v>4</v>
      </c>
      <c r="AY27" s="5">
        <v>3.8</v>
      </c>
      <c r="AZ27" s="5">
        <v>3.3</v>
      </c>
      <c r="BA27" s="5">
        <v>6</v>
      </c>
      <c r="BB27" s="5">
        <v>4.4000000000000004</v>
      </c>
      <c r="BC27" s="5">
        <v>4.5999999999999996</v>
      </c>
    </row>
    <row r="28" spans="1:55" x14ac:dyDescent="0.25">
      <c r="B28" s="3" t="s">
        <v>65</v>
      </c>
      <c r="C28" s="3" t="s">
        <v>56</v>
      </c>
      <c r="D28" s="5">
        <v>13.4</v>
      </c>
      <c r="E28" s="5">
        <v>13.7</v>
      </c>
      <c r="F28" s="5">
        <v>14</v>
      </c>
      <c r="G28" s="5">
        <v>13.9</v>
      </c>
      <c r="H28" s="5">
        <v>14.2</v>
      </c>
      <c r="I28" s="5">
        <v>14.5</v>
      </c>
      <c r="J28" s="5">
        <v>14.7</v>
      </c>
      <c r="K28" s="5">
        <v>15.1</v>
      </c>
      <c r="L28" s="5">
        <v>15.7</v>
      </c>
      <c r="M28" s="5">
        <v>15.5</v>
      </c>
      <c r="N28" s="5">
        <v>15.9</v>
      </c>
      <c r="O28" s="5">
        <v>16.2</v>
      </c>
      <c r="P28" s="5">
        <v>16.600000000000001</v>
      </c>
      <c r="Q28" s="5">
        <v>16.5</v>
      </c>
      <c r="R28" s="5">
        <v>16.5</v>
      </c>
      <c r="S28" s="5">
        <v>17.2</v>
      </c>
      <c r="T28" s="5">
        <v>17</v>
      </c>
      <c r="U28" s="5">
        <v>21.4</v>
      </c>
      <c r="V28" s="5">
        <v>21.5</v>
      </c>
      <c r="W28" s="5">
        <v>21.3</v>
      </c>
      <c r="X28" s="5">
        <v>22</v>
      </c>
      <c r="Y28" s="5">
        <v>21</v>
      </c>
      <c r="Z28" s="5">
        <v>21.9</v>
      </c>
      <c r="AA28" s="5">
        <v>22.2</v>
      </c>
      <c r="AB28" s="5">
        <v>22.2</v>
      </c>
      <c r="AC28" s="5">
        <v>23.7</v>
      </c>
      <c r="AD28" s="5">
        <v>24.5</v>
      </c>
      <c r="AE28" s="5">
        <v>24.6</v>
      </c>
      <c r="AF28" s="5">
        <v>25.2</v>
      </c>
      <c r="AG28" s="5">
        <v>26</v>
      </c>
      <c r="AH28" s="5">
        <v>26.8</v>
      </c>
      <c r="AI28" s="5">
        <v>26.7</v>
      </c>
      <c r="AJ28" s="5">
        <v>27.9</v>
      </c>
      <c r="AK28" s="5">
        <v>28.7</v>
      </c>
      <c r="AL28" s="5">
        <v>28.1</v>
      </c>
      <c r="AM28" s="5">
        <v>29.7</v>
      </c>
      <c r="AN28" s="5">
        <v>29.2</v>
      </c>
      <c r="AO28" s="5">
        <v>32.5</v>
      </c>
      <c r="AP28" s="5">
        <v>35</v>
      </c>
      <c r="AQ28" s="5">
        <v>34.9</v>
      </c>
      <c r="AR28" s="5">
        <v>35.700000000000003</v>
      </c>
      <c r="AS28" s="5">
        <v>35.200000000000003</v>
      </c>
      <c r="AT28" s="5">
        <v>38.799999999999997</v>
      </c>
      <c r="AU28" s="5">
        <v>36</v>
      </c>
      <c r="AV28" s="5">
        <v>36.6</v>
      </c>
      <c r="AW28" s="5">
        <v>37</v>
      </c>
      <c r="AX28" s="5">
        <v>41.2</v>
      </c>
      <c r="AY28" s="5">
        <v>58.3</v>
      </c>
      <c r="AZ28" s="5">
        <v>59.1</v>
      </c>
      <c r="BA28" s="5">
        <v>57.4</v>
      </c>
      <c r="BB28" s="5">
        <v>58.2</v>
      </c>
      <c r="BC28" s="5">
        <v>65</v>
      </c>
    </row>
    <row r="29" spans="1:55" x14ac:dyDescent="0.25">
      <c r="C29" s="3" t="s">
        <v>58</v>
      </c>
      <c r="D29" s="5">
        <v>274.39999999999998</v>
      </c>
      <c r="E29" s="5">
        <v>301.8</v>
      </c>
      <c r="F29" s="5">
        <v>354.1</v>
      </c>
      <c r="G29" s="5">
        <v>417.5</v>
      </c>
      <c r="H29" s="5">
        <v>431.7</v>
      </c>
      <c r="I29" s="5">
        <v>496.4</v>
      </c>
      <c r="J29" s="5">
        <v>589.1</v>
      </c>
      <c r="K29" s="5">
        <v>580</v>
      </c>
      <c r="L29" s="5">
        <v>494.4</v>
      </c>
      <c r="M29" s="5">
        <v>495.4</v>
      </c>
      <c r="N29" s="5">
        <v>498.1</v>
      </c>
      <c r="O29" s="5">
        <v>595.20000000000005</v>
      </c>
      <c r="P29" s="5">
        <v>691.7</v>
      </c>
      <c r="Q29" s="5">
        <v>823.8</v>
      </c>
      <c r="R29" s="5">
        <v>821.8</v>
      </c>
      <c r="S29" s="5">
        <v>875.7</v>
      </c>
      <c r="T29" s="5">
        <v>871.1</v>
      </c>
      <c r="U29" s="5">
        <v>1005.3</v>
      </c>
      <c r="V29" s="5">
        <v>1025.8</v>
      </c>
      <c r="W29" s="5">
        <v>977.5</v>
      </c>
      <c r="X29" s="5">
        <v>962.1</v>
      </c>
      <c r="Y29" s="5">
        <v>987.6</v>
      </c>
      <c r="Z29" s="5">
        <v>1131.8</v>
      </c>
      <c r="AA29" s="5">
        <v>1175.2</v>
      </c>
      <c r="AB29" s="5">
        <v>1292.3</v>
      </c>
      <c r="AC29" s="5">
        <v>1461.2</v>
      </c>
      <c r="AD29" s="5">
        <v>1648</v>
      </c>
      <c r="AE29" s="5">
        <v>1858.6</v>
      </c>
      <c r="AF29" s="5">
        <v>2087</v>
      </c>
      <c r="AG29" s="5">
        <v>2256.4</v>
      </c>
      <c r="AH29" s="5">
        <v>2306.9</v>
      </c>
      <c r="AI29" s="5">
        <v>2744.9</v>
      </c>
      <c r="AJ29" s="5">
        <v>3064.8</v>
      </c>
      <c r="AK29" s="5">
        <v>4356.6000000000004</v>
      </c>
      <c r="AL29" s="5">
        <v>4488.3999999999996</v>
      </c>
      <c r="AM29" s="5">
        <v>4684.6000000000004</v>
      </c>
      <c r="AN29" s="5">
        <v>7051.9</v>
      </c>
      <c r="AO29" s="5">
        <v>7070.4</v>
      </c>
      <c r="AP29" s="5">
        <v>7078.8</v>
      </c>
      <c r="AQ29" s="5">
        <v>6889.7</v>
      </c>
      <c r="AR29" s="5">
        <v>7044.5</v>
      </c>
      <c r="AS29" s="5">
        <v>7164.7</v>
      </c>
      <c r="AT29" s="5">
        <v>8606.1</v>
      </c>
      <c r="AU29" s="5">
        <v>8130.2</v>
      </c>
      <c r="AV29" s="5">
        <v>7863.1</v>
      </c>
      <c r="AW29" s="5">
        <v>8271.2999999999993</v>
      </c>
      <c r="AX29" s="5">
        <v>8876.4</v>
      </c>
      <c r="AY29" s="5">
        <v>11946.7</v>
      </c>
      <c r="AZ29" s="5">
        <v>12959.8</v>
      </c>
      <c r="BA29" s="5">
        <v>13162.7</v>
      </c>
      <c r="BB29" s="5">
        <v>12851.6</v>
      </c>
      <c r="BC29" s="5">
        <v>13517.5</v>
      </c>
    </row>
    <row r="30" spans="1:55" x14ac:dyDescent="0.25">
      <c r="C30" s="3" t="s">
        <v>59</v>
      </c>
      <c r="D30" s="5">
        <v>58.5</v>
      </c>
      <c r="E30" s="5">
        <v>61.6</v>
      </c>
      <c r="F30" s="5">
        <v>65.5</v>
      </c>
      <c r="G30" s="5">
        <v>67.599999999999994</v>
      </c>
      <c r="H30" s="5">
        <v>79.2</v>
      </c>
      <c r="I30" s="5">
        <v>86.2</v>
      </c>
      <c r="J30" s="5">
        <v>100.1</v>
      </c>
      <c r="K30" s="5">
        <v>101.6</v>
      </c>
      <c r="L30" s="5">
        <v>119.9</v>
      </c>
      <c r="M30" s="5">
        <v>144.19999999999999</v>
      </c>
      <c r="N30" s="5">
        <v>138.6</v>
      </c>
      <c r="O30" s="5">
        <v>178.9</v>
      </c>
      <c r="P30" s="5">
        <v>173.4</v>
      </c>
      <c r="Q30" s="5">
        <v>168.4</v>
      </c>
      <c r="R30" s="5">
        <v>151.5</v>
      </c>
      <c r="S30" s="5">
        <v>173.3</v>
      </c>
      <c r="T30" s="5">
        <v>186.2</v>
      </c>
      <c r="U30" s="5">
        <v>221.7</v>
      </c>
      <c r="V30" s="5">
        <v>223.8</v>
      </c>
      <c r="W30" s="5">
        <v>184.5</v>
      </c>
      <c r="X30" s="5">
        <v>199.9</v>
      </c>
      <c r="Y30" s="5">
        <v>204.5</v>
      </c>
      <c r="Z30" s="5">
        <v>209.6</v>
      </c>
      <c r="AA30" s="5">
        <v>214.6</v>
      </c>
      <c r="AB30" s="5">
        <v>216.5</v>
      </c>
      <c r="AC30" s="5">
        <v>216.7</v>
      </c>
      <c r="AD30" s="5">
        <v>214.1</v>
      </c>
      <c r="AE30" s="5">
        <v>232.7</v>
      </c>
      <c r="AF30" s="5">
        <v>245.6</v>
      </c>
      <c r="AG30" s="5">
        <v>232.1</v>
      </c>
      <c r="AH30" s="5">
        <v>254.1</v>
      </c>
      <c r="AI30" s="5">
        <v>261.3</v>
      </c>
      <c r="AJ30" s="5">
        <v>214.2</v>
      </c>
      <c r="AK30" s="5">
        <v>246</v>
      </c>
      <c r="AL30" s="5">
        <v>282</v>
      </c>
      <c r="AM30" s="5">
        <v>296.3</v>
      </c>
      <c r="AN30" s="5">
        <v>243.9</v>
      </c>
      <c r="AO30" s="5">
        <v>339.3</v>
      </c>
      <c r="AP30" s="5">
        <v>373.6</v>
      </c>
      <c r="AQ30" s="5">
        <v>447.5</v>
      </c>
      <c r="AR30" s="5">
        <v>417.5</v>
      </c>
      <c r="AS30" s="5">
        <v>390.2</v>
      </c>
      <c r="AT30" s="5">
        <v>458.1</v>
      </c>
      <c r="AU30" s="5">
        <v>421.2</v>
      </c>
      <c r="AV30" s="5">
        <v>426.1</v>
      </c>
      <c r="AW30" s="5">
        <v>438.7</v>
      </c>
      <c r="AX30" s="5">
        <v>484</v>
      </c>
      <c r="AY30" s="5">
        <v>706.3</v>
      </c>
      <c r="AZ30" s="5">
        <v>854.4</v>
      </c>
      <c r="BA30" s="5">
        <v>1026.5</v>
      </c>
      <c r="BB30" s="5">
        <v>820.5</v>
      </c>
      <c r="BC30" s="5">
        <v>870.4</v>
      </c>
    </row>
    <row r="31" spans="1:55" x14ac:dyDescent="0.25">
      <c r="C31" s="3" t="s">
        <v>60</v>
      </c>
      <c r="D31" s="5">
        <v>38.799999999999997</v>
      </c>
      <c r="E31" s="5">
        <v>41.7</v>
      </c>
      <c r="F31" s="5">
        <v>47.1</v>
      </c>
      <c r="G31" s="5">
        <v>51.6</v>
      </c>
      <c r="H31" s="5">
        <v>54.3</v>
      </c>
      <c r="I31" s="5">
        <v>63.7</v>
      </c>
      <c r="J31" s="5">
        <v>75.8</v>
      </c>
      <c r="K31" s="5">
        <v>85.2</v>
      </c>
      <c r="L31" s="5">
        <v>96.7</v>
      </c>
      <c r="M31" s="5">
        <v>108.6</v>
      </c>
      <c r="N31" s="5">
        <v>117.3</v>
      </c>
      <c r="O31" s="5">
        <v>130</v>
      </c>
      <c r="P31" s="5">
        <v>140.19999999999999</v>
      </c>
      <c r="Q31" s="5">
        <v>136.19999999999999</v>
      </c>
      <c r="R31" s="5">
        <v>134.30000000000001</v>
      </c>
      <c r="S31" s="5">
        <v>155.9</v>
      </c>
      <c r="T31" s="5">
        <v>158.9</v>
      </c>
      <c r="U31" s="5">
        <v>189.6</v>
      </c>
      <c r="V31" s="5">
        <v>190.5</v>
      </c>
      <c r="W31" s="5">
        <v>174.8</v>
      </c>
      <c r="X31" s="5">
        <v>176</v>
      </c>
      <c r="Y31" s="5">
        <v>170.2</v>
      </c>
      <c r="Z31" s="5">
        <v>167.8</v>
      </c>
      <c r="AA31" s="5">
        <v>173.8</v>
      </c>
      <c r="AB31" s="5">
        <v>177.8</v>
      </c>
      <c r="AC31" s="5">
        <v>193.2</v>
      </c>
      <c r="AD31" s="5">
        <v>189.3</v>
      </c>
      <c r="AE31" s="5">
        <v>201.7</v>
      </c>
      <c r="AF31" s="5">
        <v>217.7</v>
      </c>
      <c r="AG31" s="5">
        <v>224.7</v>
      </c>
      <c r="AH31" s="5">
        <v>231.1</v>
      </c>
      <c r="AI31" s="5">
        <v>241.9</v>
      </c>
      <c r="AJ31" s="5">
        <v>264.3</v>
      </c>
      <c r="AK31" s="5">
        <v>285.10000000000002</v>
      </c>
      <c r="AL31" s="5">
        <v>312</v>
      </c>
      <c r="AM31" s="5">
        <v>336.7</v>
      </c>
      <c r="AN31" s="5">
        <v>362.8</v>
      </c>
      <c r="AO31" s="5">
        <v>387.6</v>
      </c>
      <c r="AP31" s="5">
        <v>414.8</v>
      </c>
      <c r="AQ31" s="5">
        <v>423.4</v>
      </c>
      <c r="AR31" s="5">
        <v>447.1</v>
      </c>
      <c r="AS31" s="5">
        <v>430.7</v>
      </c>
      <c r="AT31" s="5">
        <v>465</v>
      </c>
      <c r="AU31" s="5">
        <v>454</v>
      </c>
      <c r="AV31" s="5">
        <v>443.1</v>
      </c>
      <c r="AW31" s="5">
        <v>470.5</v>
      </c>
      <c r="AX31" s="5">
        <v>506.5</v>
      </c>
      <c r="AY31" s="5">
        <v>646.5</v>
      </c>
      <c r="AZ31" s="5">
        <v>702.7</v>
      </c>
      <c r="BA31" s="5">
        <v>755.9</v>
      </c>
      <c r="BB31" s="5">
        <v>807.6</v>
      </c>
      <c r="BC31" s="5">
        <v>830.4</v>
      </c>
    </row>
    <row r="32" spans="1:55" x14ac:dyDescent="0.25">
      <c r="C32" s="3" t="s">
        <v>61</v>
      </c>
      <c r="D32" s="5">
        <v>0.3</v>
      </c>
      <c r="E32" s="5">
        <v>0.5</v>
      </c>
      <c r="F32" s="5">
        <v>0.5</v>
      </c>
      <c r="G32" s="5">
        <v>0.6</v>
      </c>
      <c r="H32" s="5">
        <v>0.5</v>
      </c>
      <c r="I32" s="5">
        <v>0.5</v>
      </c>
      <c r="J32" s="5">
        <v>0.5</v>
      </c>
      <c r="K32" s="5">
        <v>0.6</v>
      </c>
      <c r="L32" s="5">
        <v>0.6</v>
      </c>
      <c r="M32" s="5">
        <v>1.3</v>
      </c>
      <c r="N32" s="5">
        <v>1.3</v>
      </c>
      <c r="O32" s="5">
        <v>2.9</v>
      </c>
      <c r="P32" s="5">
        <v>3</v>
      </c>
      <c r="Q32" s="5">
        <v>2.1</v>
      </c>
      <c r="R32" s="5">
        <v>2.4</v>
      </c>
      <c r="S32" s="5">
        <v>4.0999999999999996</v>
      </c>
      <c r="T32" s="5">
        <v>3.7</v>
      </c>
      <c r="U32" s="5">
        <v>3.4</v>
      </c>
      <c r="V32" s="5">
        <v>3.2</v>
      </c>
      <c r="W32" s="5">
        <v>1.6</v>
      </c>
      <c r="X32" s="5">
        <v>1.7</v>
      </c>
      <c r="Y32" s="5">
        <v>1.8</v>
      </c>
      <c r="Z32" s="5">
        <v>1.3</v>
      </c>
      <c r="AA32" s="5">
        <v>2</v>
      </c>
      <c r="AB32" s="5">
        <v>1.6</v>
      </c>
      <c r="AC32" s="5">
        <v>2.2999999999999998</v>
      </c>
      <c r="AD32" s="5">
        <v>2.2999999999999998</v>
      </c>
      <c r="AE32" s="5">
        <v>2.2000000000000002</v>
      </c>
      <c r="AF32" s="5">
        <v>2.4</v>
      </c>
      <c r="AG32" s="5">
        <v>2.2999999999999998</v>
      </c>
      <c r="AH32" s="5">
        <v>1.9</v>
      </c>
      <c r="AI32" s="5">
        <v>2.2000000000000002</v>
      </c>
      <c r="AJ32" s="5">
        <v>1.8</v>
      </c>
      <c r="AK32" s="5">
        <v>2.6</v>
      </c>
      <c r="AL32" s="5">
        <v>3.7</v>
      </c>
      <c r="AM32" s="5">
        <v>1.7</v>
      </c>
      <c r="AN32" s="5">
        <v>2.1</v>
      </c>
      <c r="AO32" s="5">
        <v>5.5</v>
      </c>
      <c r="AP32" s="5">
        <v>3.9</v>
      </c>
      <c r="AQ32" s="5">
        <v>3.3</v>
      </c>
      <c r="AR32" s="5">
        <v>2.8</v>
      </c>
      <c r="AS32" s="5">
        <v>4.2</v>
      </c>
      <c r="AT32" s="5">
        <v>7.3</v>
      </c>
      <c r="AU32" s="5">
        <v>3.7</v>
      </c>
      <c r="AV32" s="5">
        <v>3.2</v>
      </c>
      <c r="AW32" s="5">
        <v>4.5999999999999996</v>
      </c>
      <c r="AX32" s="5">
        <v>4.0999999999999996</v>
      </c>
      <c r="AY32" s="5">
        <v>5.9</v>
      </c>
      <c r="AZ32" s="5">
        <v>9.1999999999999993</v>
      </c>
      <c r="BA32" s="5">
        <v>7.9</v>
      </c>
      <c r="BB32" s="5">
        <v>6.2</v>
      </c>
      <c r="BC32" s="5">
        <v>7.1</v>
      </c>
    </row>
    <row r="33" spans="1:55" x14ac:dyDescent="0.25">
      <c r="C33" s="3" t="s">
        <v>62</v>
      </c>
      <c r="D33" s="5">
        <v>18.5</v>
      </c>
      <c r="E33" s="5">
        <v>21.8</v>
      </c>
      <c r="F33" s="5">
        <v>25.8</v>
      </c>
      <c r="G33" s="5">
        <v>28.3</v>
      </c>
      <c r="H33" s="5">
        <v>32</v>
      </c>
      <c r="I33" s="5">
        <v>44.5</v>
      </c>
      <c r="J33" s="5">
        <v>50.6</v>
      </c>
      <c r="K33" s="5">
        <v>49.7</v>
      </c>
      <c r="L33" s="5">
        <v>53.6</v>
      </c>
      <c r="M33" s="5">
        <v>62.2</v>
      </c>
      <c r="N33" s="5">
        <v>68</v>
      </c>
      <c r="O33" s="5">
        <v>68.8</v>
      </c>
      <c r="P33" s="5">
        <v>71</v>
      </c>
      <c r="Q33" s="5">
        <v>74.400000000000006</v>
      </c>
      <c r="R33" s="5">
        <v>75.2</v>
      </c>
      <c r="S33" s="5">
        <v>81.099999999999994</v>
      </c>
      <c r="T33" s="5">
        <v>83.5</v>
      </c>
      <c r="U33" s="5">
        <v>83.7</v>
      </c>
      <c r="V33" s="5">
        <v>87</v>
      </c>
      <c r="W33" s="5">
        <v>86.1</v>
      </c>
      <c r="X33" s="5">
        <v>88.5</v>
      </c>
      <c r="Y33" s="5">
        <v>96.4</v>
      </c>
      <c r="Z33" s="5">
        <v>105.7</v>
      </c>
      <c r="AA33" s="5">
        <v>108.8</v>
      </c>
      <c r="AB33" s="5">
        <v>109.6</v>
      </c>
      <c r="AC33" s="5">
        <v>86.7</v>
      </c>
      <c r="AD33" s="5">
        <v>90.2</v>
      </c>
      <c r="AE33" s="5">
        <v>107.3</v>
      </c>
      <c r="AF33" s="5">
        <v>109.5</v>
      </c>
      <c r="AG33" s="5">
        <v>113.6</v>
      </c>
      <c r="AH33" s="5">
        <v>117.8</v>
      </c>
      <c r="AI33" s="5">
        <v>119.8</v>
      </c>
      <c r="AJ33" s="5">
        <v>121.5</v>
      </c>
      <c r="AK33" s="5">
        <v>126.2</v>
      </c>
      <c r="AL33" s="5">
        <v>130</v>
      </c>
      <c r="AM33" s="5">
        <v>128.69999999999999</v>
      </c>
      <c r="AN33" s="5">
        <v>140.6</v>
      </c>
      <c r="AO33" s="5">
        <v>139.80000000000001</v>
      </c>
      <c r="AP33" s="5">
        <v>140.30000000000001</v>
      </c>
      <c r="AQ33" s="5">
        <v>138.1</v>
      </c>
      <c r="AR33" s="5">
        <v>144.5</v>
      </c>
      <c r="AS33" s="5">
        <v>147.4</v>
      </c>
      <c r="AT33" s="5">
        <v>149.4</v>
      </c>
      <c r="AU33" s="5">
        <v>163.69999999999999</v>
      </c>
      <c r="AV33" s="5">
        <v>169.7</v>
      </c>
      <c r="AW33" s="5">
        <v>169.8</v>
      </c>
      <c r="AX33" s="5">
        <v>163.4</v>
      </c>
      <c r="AY33" s="5">
        <v>192.2</v>
      </c>
      <c r="AZ33" s="5">
        <v>185.6</v>
      </c>
      <c r="BA33" s="5">
        <v>172.8</v>
      </c>
      <c r="BB33" s="5">
        <v>176.8</v>
      </c>
      <c r="BC33" s="5">
        <v>183.3</v>
      </c>
    </row>
    <row r="34" spans="1:55" x14ac:dyDescent="0.25">
      <c r="C34" s="3" t="s">
        <v>63</v>
      </c>
      <c r="D34" s="5">
        <v>19.7</v>
      </c>
      <c r="E34" s="5">
        <v>19.899999999999999</v>
      </c>
      <c r="F34" s="5">
        <v>18.399999999999999</v>
      </c>
      <c r="G34" s="5">
        <v>16</v>
      </c>
      <c r="H34" s="5">
        <v>24.9</v>
      </c>
      <c r="I34" s="5">
        <v>22.5</v>
      </c>
      <c r="J34" s="5">
        <v>24.3</v>
      </c>
      <c r="K34" s="5">
        <v>16.399999999999999</v>
      </c>
      <c r="L34" s="5">
        <v>23.2</v>
      </c>
      <c r="M34" s="5">
        <v>35.6</v>
      </c>
      <c r="N34" s="5">
        <v>21.3</v>
      </c>
      <c r="O34" s="5">
        <v>48.9</v>
      </c>
      <c r="P34" s="5">
        <v>33.200000000000003</v>
      </c>
      <c r="Q34" s="5">
        <v>32.200000000000003</v>
      </c>
      <c r="R34" s="5">
        <v>17.2</v>
      </c>
      <c r="S34" s="5">
        <v>17.399999999999999</v>
      </c>
      <c r="T34" s="5">
        <v>27.3</v>
      </c>
      <c r="U34" s="5">
        <v>32.1</v>
      </c>
      <c r="V34" s="5">
        <v>33.299999999999997</v>
      </c>
      <c r="W34" s="5">
        <v>9.6999999999999993</v>
      </c>
      <c r="X34" s="5">
        <v>23.9</v>
      </c>
      <c r="Y34" s="5">
        <v>34.299999999999997</v>
      </c>
      <c r="Z34" s="5">
        <v>41.8</v>
      </c>
      <c r="AA34" s="5">
        <v>40.799999999999997</v>
      </c>
      <c r="AB34" s="5">
        <v>38.700000000000003</v>
      </c>
      <c r="AC34" s="5">
        <v>23.5</v>
      </c>
      <c r="AD34" s="5">
        <v>24.8</v>
      </c>
      <c r="AE34" s="5">
        <v>31</v>
      </c>
      <c r="AF34" s="5">
        <v>27.9</v>
      </c>
      <c r="AG34" s="5">
        <v>7.4</v>
      </c>
      <c r="AH34" s="5">
        <v>23</v>
      </c>
      <c r="AI34" s="5">
        <v>19.399999999999999</v>
      </c>
      <c r="AJ34" s="5">
        <v>-50.1</v>
      </c>
      <c r="AK34" s="5">
        <v>-39.1</v>
      </c>
      <c r="AL34" s="5">
        <v>-30</v>
      </c>
      <c r="AM34" s="5">
        <v>-40.4</v>
      </c>
      <c r="AN34" s="5">
        <v>-118.9</v>
      </c>
      <c r="AO34" s="5">
        <v>-48.3</v>
      </c>
      <c r="AP34" s="5">
        <v>-41.2</v>
      </c>
      <c r="AQ34" s="5">
        <v>24.1</v>
      </c>
      <c r="AR34" s="5">
        <v>-29.6</v>
      </c>
      <c r="AS34" s="5">
        <v>-40.5</v>
      </c>
      <c r="AT34" s="5">
        <v>-6.9</v>
      </c>
      <c r="AU34" s="5">
        <v>-32.799999999999997</v>
      </c>
      <c r="AV34" s="5">
        <v>-17</v>
      </c>
      <c r="AW34" s="5">
        <v>-31.8</v>
      </c>
      <c r="AX34" s="5">
        <v>-22.5</v>
      </c>
      <c r="AY34" s="5">
        <v>59.8</v>
      </c>
      <c r="AZ34" s="5">
        <v>151.69999999999999</v>
      </c>
      <c r="BA34" s="5">
        <v>270.60000000000002</v>
      </c>
      <c r="BB34" s="5">
        <v>12.9</v>
      </c>
      <c r="BC34" s="5">
        <v>40</v>
      </c>
    </row>
    <row r="35" spans="1:55" x14ac:dyDescent="0.25">
      <c r="C35" s="3" t="s">
        <v>64</v>
      </c>
      <c r="D35" s="5">
        <v>0.4</v>
      </c>
      <c r="E35" s="5">
        <v>-0.6</v>
      </c>
      <c r="F35" s="5">
        <v>-2.1</v>
      </c>
      <c r="G35" s="5">
        <v>-3</v>
      </c>
      <c r="H35" s="5">
        <v>-1.6</v>
      </c>
      <c r="I35" s="5">
        <v>-4.4000000000000004</v>
      </c>
      <c r="J35" s="5">
        <v>-4.5</v>
      </c>
      <c r="K35" s="5">
        <v>-5.7</v>
      </c>
      <c r="L35" s="5">
        <v>-6.2</v>
      </c>
      <c r="M35" s="5">
        <v>-5.4</v>
      </c>
      <c r="N35" s="5">
        <v>-9.4</v>
      </c>
      <c r="O35" s="5">
        <v>-3.3</v>
      </c>
      <c r="P35" s="5">
        <v>-5.5</v>
      </c>
      <c r="Q35" s="5">
        <v>-5.0999999999999996</v>
      </c>
      <c r="R35" s="5">
        <v>-7.1</v>
      </c>
      <c r="S35" s="5">
        <v>-7.3</v>
      </c>
      <c r="T35" s="5">
        <v>-6.5</v>
      </c>
      <c r="U35" s="5">
        <v>-4.8</v>
      </c>
      <c r="V35" s="5">
        <v>-4.9000000000000004</v>
      </c>
      <c r="W35" s="5">
        <v>-7.5</v>
      </c>
      <c r="X35" s="5">
        <v>-6.4</v>
      </c>
      <c r="Y35" s="5">
        <v>-5.9</v>
      </c>
      <c r="Z35" s="5">
        <v>-5.4</v>
      </c>
      <c r="AA35" s="5">
        <v>-5.6</v>
      </c>
      <c r="AB35" s="5">
        <v>-5.4</v>
      </c>
      <c r="AC35" s="5">
        <v>-4.2</v>
      </c>
      <c r="AD35" s="5">
        <v>-3.8</v>
      </c>
      <c r="AE35" s="5">
        <v>-3.9</v>
      </c>
      <c r="AF35" s="5">
        <v>-3.7</v>
      </c>
      <c r="AG35" s="5">
        <v>-4.5</v>
      </c>
      <c r="AH35" s="5">
        <v>-3.9</v>
      </c>
      <c r="AI35" s="5">
        <v>-3.5</v>
      </c>
      <c r="AJ35" s="5">
        <v>-3.3</v>
      </c>
      <c r="AK35" s="5">
        <v>-2</v>
      </c>
      <c r="AL35" s="5">
        <v>-1.9</v>
      </c>
      <c r="AM35" s="5">
        <v>-1.9</v>
      </c>
      <c r="AN35" s="5">
        <v>-2.6</v>
      </c>
      <c r="AO35" s="5">
        <v>-1.5</v>
      </c>
      <c r="AP35" s="5">
        <v>-1.3</v>
      </c>
      <c r="AQ35" s="5">
        <v>-0.4</v>
      </c>
      <c r="AR35" s="5">
        <v>-1.2</v>
      </c>
      <c r="AS35" s="5">
        <v>-1.5</v>
      </c>
      <c r="AT35" s="5">
        <v>-0.9</v>
      </c>
      <c r="AU35" s="5">
        <v>-1.4</v>
      </c>
      <c r="AV35" s="5">
        <v>-1.4</v>
      </c>
      <c r="AW35" s="5">
        <v>-1.4</v>
      </c>
      <c r="AX35" s="5">
        <v>-1.1000000000000001</v>
      </c>
      <c r="AY35" s="5">
        <v>0</v>
      </c>
      <c r="AZ35" s="5">
        <v>0.8</v>
      </c>
      <c r="BA35" s="5">
        <v>1.7</v>
      </c>
      <c r="BB35" s="5">
        <v>-0.4</v>
      </c>
      <c r="BC35" s="5">
        <v>-0.2</v>
      </c>
    </row>
    <row r="37" spans="1:55" ht="165" x14ac:dyDescent="0.25">
      <c r="A37" s="6" t="s">
        <v>67</v>
      </c>
    </row>
    <row r="42" spans="1:55" x14ac:dyDescent="0.25">
      <c r="D42">
        <f>D22-D23</f>
        <v>74.899999999999991</v>
      </c>
    </row>
  </sheetData>
  <pageMargins left="0.75" right="0.75" top="0.75" bottom="0.5" header="0.5" footer="0.7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559C3-021A-494B-9A95-D83AF801281D}">
  <dimension ref="A2:BD38"/>
  <sheetViews>
    <sheetView topLeftCell="AA1" workbookViewId="0">
      <selection activeCell="D14" sqref="D14:BC14"/>
    </sheetView>
  </sheetViews>
  <sheetFormatPr defaultRowHeight="15" x14ac:dyDescent="0.25"/>
  <cols>
    <col min="1" max="1" width="16.28515625" customWidth="1"/>
    <col min="2" max="2" width="35.5703125" customWidth="1"/>
    <col min="3" max="3" width="28" customWidth="1"/>
  </cols>
  <sheetData>
    <row r="2" spans="1:56" x14ac:dyDescent="0.25">
      <c r="D2">
        <v>1973</v>
      </c>
      <c r="E2">
        <f>D2+1</f>
        <v>1974</v>
      </c>
      <c r="F2">
        <f t="shared" ref="F2:BD2" si="0">E2+1</f>
        <v>1975</v>
      </c>
      <c r="G2">
        <f t="shared" si="0"/>
        <v>1976</v>
      </c>
      <c r="H2">
        <f t="shared" si="0"/>
        <v>1977</v>
      </c>
      <c r="I2">
        <f t="shared" si="0"/>
        <v>1978</v>
      </c>
      <c r="J2">
        <f t="shared" si="0"/>
        <v>1979</v>
      </c>
      <c r="K2">
        <f t="shared" si="0"/>
        <v>1980</v>
      </c>
      <c r="L2">
        <f t="shared" si="0"/>
        <v>1981</v>
      </c>
      <c r="M2">
        <f t="shared" si="0"/>
        <v>1982</v>
      </c>
      <c r="N2">
        <f t="shared" si="0"/>
        <v>1983</v>
      </c>
      <c r="O2">
        <f t="shared" si="0"/>
        <v>1984</v>
      </c>
      <c r="P2">
        <f t="shared" si="0"/>
        <v>1985</v>
      </c>
      <c r="Q2">
        <f t="shared" si="0"/>
        <v>1986</v>
      </c>
      <c r="R2">
        <f t="shared" si="0"/>
        <v>1987</v>
      </c>
      <c r="S2">
        <f t="shared" si="0"/>
        <v>1988</v>
      </c>
      <c r="T2">
        <f t="shared" si="0"/>
        <v>1989</v>
      </c>
      <c r="U2">
        <f t="shared" si="0"/>
        <v>1990</v>
      </c>
      <c r="V2">
        <f t="shared" si="0"/>
        <v>1991</v>
      </c>
      <c r="W2">
        <f t="shared" si="0"/>
        <v>1992</v>
      </c>
      <c r="X2">
        <f t="shared" si="0"/>
        <v>1993</v>
      </c>
      <c r="Y2">
        <f t="shared" si="0"/>
        <v>1994</v>
      </c>
      <c r="Z2">
        <f t="shared" si="0"/>
        <v>1995</v>
      </c>
      <c r="AA2">
        <f t="shared" si="0"/>
        <v>1996</v>
      </c>
      <c r="AB2">
        <f t="shared" si="0"/>
        <v>1997</v>
      </c>
      <c r="AC2">
        <f t="shared" si="0"/>
        <v>1998</v>
      </c>
      <c r="AD2">
        <f t="shared" si="0"/>
        <v>1999</v>
      </c>
      <c r="AE2">
        <f t="shared" si="0"/>
        <v>2000</v>
      </c>
      <c r="AF2">
        <f t="shared" si="0"/>
        <v>2001</v>
      </c>
      <c r="AG2">
        <f t="shared" si="0"/>
        <v>2002</v>
      </c>
      <c r="AH2">
        <f t="shared" si="0"/>
        <v>2003</v>
      </c>
      <c r="AI2">
        <f t="shared" si="0"/>
        <v>2004</v>
      </c>
      <c r="AJ2">
        <f t="shared" si="0"/>
        <v>2005</v>
      </c>
      <c r="AK2">
        <f t="shared" si="0"/>
        <v>2006</v>
      </c>
      <c r="AL2">
        <f t="shared" si="0"/>
        <v>2007</v>
      </c>
      <c r="AM2">
        <f t="shared" si="0"/>
        <v>2008</v>
      </c>
      <c r="AN2">
        <f t="shared" si="0"/>
        <v>2009</v>
      </c>
      <c r="AO2">
        <f t="shared" si="0"/>
        <v>2010</v>
      </c>
      <c r="AP2">
        <f t="shared" si="0"/>
        <v>2011</v>
      </c>
      <c r="AQ2">
        <f t="shared" si="0"/>
        <v>2012</v>
      </c>
      <c r="AR2">
        <f t="shared" si="0"/>
        <v>2013</v>
      </c>
      <c r="AS2">
        <f t="shared" si="0"/>
        <v>2014</v>
      </c>
      <c r="AT2">
        <f t="shared" si="0"/>
        <v>2015</v>
      </c>
      <c r="AU2">
        <f t="shared" si="0"/>
        <v>2016</v>
      </c>
      <c r="AV2">
        <f t="shared" si="0"/>
        <v>2017</v>
      </c>
      <c r="AW2">
        <f t="shared" si="0"/>
        <v>2018</v>
      </c>
      <c r="AX2">
        <f t="shared" si="0"/>
        <v>2019</v>
      </c>
      <c r="AY2">
        <f t="shared" si="0"/>
        <v>2020</v>
      </c>
      <c r="AZ2">
        <f t="shared" si="0"/>
        <v>2021</v>
      </c>
      <c r="BA2">
        <f t="shared" si="0"/>
        <v>2022</v>
      </c>
      <c r="BB2">
        <f t="shared" si="0"/>
        <v>2023</v>
      </c>
      <c r="BC2">
        <f t="shared" si="0"/>
        <v>2024</v>
      </c>
      <c r="BD2">
        <f t="shared" si="0"/>
        <v>2025</v>
      </c>
    </row>
    <row r="3" spans="1:56" x14ac:dyDescent="0.25">
      <c r="C3" t="s">
        <v>68</v>
      </c>
      <c r="D3" s="7">
        <v>1156</v>
      </c>
      <c r="E3" s="7">
        <v>1333</v>
      </c>
      <c r="F3" s="7">
        <v>1461</v>
      </c>
      <c r="G3" s="7">
        <v>1592</v>
      </c>
      <c r="H3" s="7">
        <v>1769</v>
      </c>
      <c r="I3" s="7">
        <v>1946</v>
      </c>
      <c r="J3" s="7">
        <v>2133</v>
      </c>
      <c r="K3" s="7">
        <v>2396</v>
      </c>
      <c r="L3" s="7">
        <v>2677</v>
      </c>
      <c r="M3" s="7">
        <v>2948</v>
      </c>
      <c r="N3" s="7">
        <v>3152</v>
      </c>
      <c r="O3" s="7">
        <v>3350</v>
      </c>
      <c r="P3" s="7">
        <v>3507</v>
      </c>
      <c r="Q3" s="7">
        <v>3636</v>
      </c>
      <c r="R3" s="7">
        <v>3782</v>
      </c>
      <c r="S3" s="7">
        <v>3953</v>
      </c>
      <c r="T3" s="7">
        <v>4142</v>
      </c>
      <c r="U3" s="7">
        <v>4251</v>
      </c>
      <c r="V3" s="7">
        <v>4353</v>
      </c>
      <c r="W3" s="7">
        <v>4445</v>
      </c>
      <c r="X3" s="7">
        <v>4500</v>
      </c>
      <c r="Y3" s="7">
        <v>4590</v>
      </c>
      <c r="Z3" s="7">
        <v>4686</v>
      </c>
      <c r="AA3" s="7">
        <v>4785</v>
      </c>
      <c r="AB3" s="7">
        <v>4890</v>
      </c>
      <c r="AC3" s="7">
        <v>4980</v>
      </c>
      <c r="AD3" s="7">
        <v>5104</v>
      </c>
      <c r="AE3" s="7">
        <v>5253</v>
      </c>
      <c r="AF3" s="7">
        <v>5377</v>
      </c>
      <c r="AG3" s="7">
        <v>5507</v>
      </c>
      <c r="AH3" s="7">
        <v>5622</v>
      </c>
      <c r="AI3" s="7">
        <v>5687</v>
      </c>
      <c r="AJ3" s="7">
        <v>5790</v>
      </c>
      <c r="AK3" s="7">
        <v>5900</v>
      </c>
      <c r="AL3" s="7">
        <v>6001</v>
      </c>
      <c r="AM3" s="7">
        <v>6205</v>
      </c>
      <c r="AN3" s="7">
        <v>6287</v>
      </c>
      <c r="AO3" s="7">
        <v>6432</v>
      </c>
      <c r="AP3" s="7">
        <v>6609</v>
      </c>
      <c r="AQ3" s="7">
        <v>6768</v>
      </c>
      <c r="AR3" s="7">
        <v>6821</v>
      </c>
      <c r="AS3" s="7">
        <v>6860</v>
      </c>
      <c r="AT3" s="7">
        <v>6891</v>
      </c>
      <c r="AU3" s="7">
        <v>6909</v>
      </c>
      <c r="AV3" s="7">
        <v>6988</v>
      </c>
      <c r="AW3" s="7">
        <v>7045</v>
      </c>
      <c r="AX3" s="7">
        <v>7098</v>
      </c>
      <c r="AY3" s="7">
        <v>7128</v>
      </c>
      <c r="AZ3" s="7">
        <v>7260</v>
      </c>
      <c r="BA3" s="7">
        <v>7819</v>
      </c>
      <c r="BB3" s="7">
        <v>8077</v>
      </c>
      <c r="BC3" s="7">
        <v>8188</v>
      </c>
      <c r="BD3" s="7">
        <v>8343</v>
      </c>
    </row>
    <row r="4" spans="1:56" x14ac:dyDescent="0.25">
      <c r="C4" s="8" t="s">
        <v>69</v>
      </c>
      <c r="D4" s="7">
        <f>D3/$D$3</f>
        <v>1</v>
      </c>
      <c r="E4" s="7">
        <f t="shared" ref="E4:BD4" si="1">E3/$D$3</f>
        <v>1.1531141868512111</v>
      </c>
      <c r="F4" s="7">
        <f t="shared" si="1"/>
        <v>1.263840830449827</v>
      </c>
      <c r="G4" s="7">
        <f t="shared" si="1"/>
        <v>1.3771626297577855</v>
      </c>
      <c r="H4" s="7">
        <f t="shared" si="1"/>
        <v>1.5302768166089966</v>
      </c>
      <c r="I4" s="7">
        <f t="shared" si="1"/>
        <v>1.6833910034602075</v>
      </c>
      <c r="J4" s="7">
        <f t="shared" si="1"/>
        <v>1.8451557093425606</v>
      </c>
      <c r="K4" s="7">
        <f t="shared" si="1"/>
        <v>2.0726643598615917</v>
      </c>
      <c r="L4" s="7">
        <f t="shared" si="1"/>
        <v>2.3157439446366781</v>
      </c>
      <c r="M4" s="7">
        <f t="shared" si="1"/>
        <v>2.5501730103806231</v>
      </c>
      <c r="N4" s="7">
        <f t="shared" si="1"/>
        <v>2.726643598615917</v>
      </c>
      <c r="O4" s="7">
        <f t="shared" si="1"/>
        <v>2.8979238754325261</v>
      </c>
      <c r="P4" s="7">
        <f t="shared" si="1"/>
        <v>3.0337370242214532</v>
      </c>
      <c r="Q4" s="7">
        <f t="shared" si="1"/>
        <v>3.1453287197231834</v>
      </c>
      <c r="R4" s="7">
        <f t="shared" si="1"/>
        <v>3.2716262975778547</v>
      </c>
      <c r="S4" s="7">
        <f t="shared" si="1"/>
        <v>3.4195501730103808</v>
      </c>
      <c r="T4" s="7">
        <f t="shared" si="1"/>
        <v>3.5830449826989619</v>
      </c>
      <c r="U4" s="7">
        <f t="shared" si="1"/>
        <v>3.6773356401384083</v>
      </c>
      <c r="V4" s="7">
        <f t="shared" si="1"/>
        <v>3.7655709342560555</v>
      </c>
      <c r="W4" s="7">
        <f t="shared" si="1"/>
        <v>3.8451557093425603</v>
      </c>
      <c r="X4" s="7">
        <f t="shared" si="1"/>
        <v>3.8927335640138407</v>
      </c>
      <c r="Y4" s="7">
        <f t="shared" si="1"/>
        <v>3.9705882352941178</v>
      </c>
      <c r="Z4" s="7">
        <f t="shared" si="1"/>
        <v>4.0536332179930792</v>
      </c>
      <c r="AA4" s="7">
        <f t="shared" si="1"/>
        <v>4.1392733564013842</v>
      </c>
      <c r="AB4" s="7">
        <f t="shared" si="1"/>
        <v>4.2301038062283736</v>
      </c>
      <c r="AC4" s="7">
        <f t="shared" si="1"/>
        <v>4.3079584775086506</v>
      </c>
      <c r="AD4" s="7">
        <f t="shared" si="1"/>
        <v>4.4152249134948098</v>
      </c>
      <c r="AE4" s="7">
        <f t="shared" si="1"/>
        <v>4.5441176470588234</v>
      </c>
      <c r="AF4" s="7">
        <f t="shared" si="1"/>
        <v>4.6513840830449826</v>
      </c>
      <c r="AG4" s="7">
        <f t="shared" si="1"/>
        <v>4.7638408304498272</v>
      </c>
      <c r="AH4" s="7">
        <f t="shared" si="1"/>
        <v>4.8633217993079585</v>
      </c>
      <c r="AI4" s="7">
        <f t="shared" si="1"/>
        <v>4.9195501730103803</v>
      </c>
      <c r="AJ4" s="7">
        <f t="shared" si="1"/>
        <v>5.0086505190311419</v>
      </c>
      <c r="AK4" s="7">
        <f t="shared" si="1"/>
        <v>5.1038062283737027</v>
      </c>
      <c r="AL4" s="7">
        <f t="shared" si="1"/>
        <v>5.1911764705882355</v>
      </c>
      <c r="AM4" s="7">
        <f t="shared" si="1"/>
        <v>5.367647058823529</v>
      </c>
      <c r="AN4" s="7">
        <f t="shared" si="1"/>
        <v>5.4385813148788928</v>
      </c>
      <c r="AO4" s="7">
        <f t="shared" si="1"/>
        <v>5.5640138408304498</v>
      </c>
      <c r="AP4" s="7">
        <f t="shared" si="1"/>
        <v>5.7171280276816612</v>
      </c>
      <c r="AQ4" s="7">
        <f t="shared" si="1"/>
        <v>5.8546712802768166</v>
      </c>
      <c r="AR4" s="7">
        <f t="shared" si="1"/>
        <v>5.9005190311418687</v>
      </c>
      <c r="AS4" s="7">
        <f t="shared" si="1"/>
        <v>5.9342560553633215</v>
      </c>
      <c r="AT4" s="7">
        <f t="shared" si="1"/>
        <v>5.9610726643598619</v>
      </c>
      <c r="AU4" s="7">
        <f t="shared" si="1"/>
        <v>5.976643598615917</v>
      </c>
      <c r="AV4" s="7">
        <f t="shared" si="1"/>
        <v>6.0449826989619373</v>
      </c>
      <c r="AW4" s="7">
        <f t="shared" si="1"/>
        <v>6.094290657439446</v>
      </c>
      <c r="AX4" s="7">
        <f t="shared" si="1"/>
        <v>6.1401384083044981</v>
      </c>
      <c r="AY4" s="7">
        <f t="shared" si="1"/>
        <v>6.1660899653979238</v>
      </c>
      <c r="AZ4" s="7">
        <f t="shared" si="1"/>
        <v>6.2802768166089962</v>
      </c>
      <c r="BA4" s="7">
        <f t="shared" si="1"/>
        <v>6.7638408304498272</v>
      </c>
      <c r="BB4" s="7">
        <f t="shared" si="1"/>
        <v>6.9870242214532876</v>
      </c>
      <c r="BC4" s="7">
        <f t="shared" si="1"/>
        <v>7.0830449826989623</v>
      </c>
      <c r="BD4" s="7">
        <f t="shared" si="1"/>
        <v>7.2171280276816612</v>
      </c>
    </row>
    <row r="6" spans="1:56" x14ac:dyDescent="0.25">
      <c r="D6" s="3" t="s">
        <v>2</v>
      </c>
      <c r="E6" s="3" t="s">
        <v>3</v>
      </c>
      <c r="F6" s="3" t="s">
        <v>4</v>
      </c>
      <c r="G6" s="3" t="s">
        <v>5</v>
      </c>
      <c r="H6" s="3" t="s">
        <v>6</v>
      </c>
      <c r="I6" s="3" t="s">
        <v>7</v>
      </c>
      <c r="J6" s="3" t="s">
        <v>8</v>
      </c>
      <c r="K6" s="3" t="s">
        <v>9</v>
      </c>
      <c r="L6" s="3" t="s">
        <v>10</v>
      </c>
      <c r="M6" s="3" t="s">
        <v>11</v>
      </c>
      <c r="N6" s="3" t="s">
        <v>12</v>
      </c>
      <c r="O6" s="3" t="s">
        <v>13</v>
      </c>
      <c r="P6" s="3" t="s">
        <v>14</v>
      </c>
      <c r="Q6" s="3" t="s">
        <v>15</v>
      </c>
      <c r="R6" s="3" t="s">
        <v>16</v>
      </c>
      <c r="S6" s="3" t="s">
        <v>17</v>
      </c>
      <c r="T6" s="3" t="s">
        <v>18</v>
      </c>
      <c r="U6" s="3" t="s">
        <v>19</v>
      </c>
      <c r="V6" s="3" t="s">
        <v>20</v>
      </c>
      <c r="W6" s="3" t="s">
        <v>21</v>
      </c>
      <c r="X6" s="3" t="s">
        <v>22</v>
      </c>
      <c r="Y6" s="3" t="s">
        <v>23</v>
      </c>
      <c r="Z6" s="3" t="s">
        <v>24</v>
      </c>
      <c r="AA6" s="3" t="s">
        <v>25</v>
      </c>
      <c r="AB6" s="3" t="s">
        <v>26</v>
      </c>
      <c r="AC6" s="3" t="s">
        <v>27</v>
      </c>
      <c r="AD6" s="3" t="s">
        <v>28</v>
      </c>
      <c r="AE6" s="3" t="s">
        <v>29</v>
      </c>
      <c r="AF6" s="3" t="s">
        <v>30</v>
      </c>
      <c r="AG6" s="3" t="s">
        <v>31</v>
      </c>
      <c r="AH6" s="3" t="s">
        <v>32</v>
      </c>
      <c r="AI6" s="3" t="s">
        <v>33</v>
      </c>
      <c r="AJ6" s="3" t="s">
        <v>34</v>
      </c>
      <c r="AK6" s="3" t="s">
        <v>35</v>
      </c>
      <c r="AL6" s="3" t="s">
        <v>36</v>
      </c>
      <c r="AM6" s="3" t="s">
        <v>37</v>
      </c>
      <c r="AN6" s="3" t="s">
        <v>38</v>
      </c>
      <c r="AO6" s="3" t="s">
        <v>39</v>
      </c>
      <c r="AP6" s="3" t="s">
        <v>40</v>
      </c>
      <c r="AQ6" s="3" t="s">
        <v>41</v>
      </c>
      <c r="AR6" s="3" t="s">
        <v>42</v>
      </c>
      <c r="AS6" s="3" t="s">
        <v>43</v>
      </c>
      <c r="AT6" s="3" t="s">
        <v>44</v>
      </c>
      <c r="AU6" s="3" t="s">
        <v>45</v>
      </c>
      <c r="AV6" s="3" t="s">
        <v>46</v>
      </c>
      <c r="AW6" s="3" t="s">
        <v>47</v>
      </c>
      <c r="AX6" s="3" t="s">
        <v>48</v>
      </c>
      <c r="AY6" s="3" t="s">
        <v>49</v>
      </c>
      <c r="AZ6" s="3" t="s">
        <v>50</v>
      </c>
      <c r="BA6" s="3" t="s">
        <v>51</v>
      </c>
      <c r="BB6" s="3" t="s">
        <v>52</v>
      </c>
      <c r="BC6" s="3" t="s">
        <v>53</v>
      </c>
    </row>
    <row r="7" spans="1:56" x14ac:dyDescent="0.25">
      <c r="A7" s="3" t="s">
        <v>54</v>
      </c>
      <c r="B7" s="3" t="s">
        <v>55</v>
      </c>
      <c r="C7" s="3" t="s">
        <v>56</v>
      </c>
      <c r="D7" s="4" t="s">
        <v>57</v>
      </c>
      <c r="E7" s="4" t="s">
        <v>57</v>
      </c>
      <c r="F7" s="4" t="s">
        <v>57</v>
      </c>
      <c r="G7" s="4" t="s">
        <v>57</v>
      </c>
      <c r="H7" s="4" t="s">
        <v>57</v>
      </c>
      <c r="I7" s="4" t="s">
        <v>57</v>
      </c>
      <c r="J7" s="4" t="s">
        <v>57</v>
      </c>
      <c r="K7" s="4" t="s">
        <v>57</v>
      </c>
      <c r="L7" s="4" t="s">
        <v>57</v>
      </c>
      <c r="M7" s="4" t="s">
        <v>57</v>
      </c>
      <c r="N7" s="4" t="s">
        <v>57</v>
      </c>
      <c r="O7" s="4" t="s">
        <v>57</v>
      </c>
      <c r="P7" s="4" t="s">
        <v>57</v>
      </c>
      <c r="Q7" s="4" t="s">
        <v>57</v>
      </c>
      <c r="R7" s="4" t="s">
        <v>57</v>
      </c>
      <c r="S7" s="4" t="s">
        <v>57</v>
      </c>
      <c r="T7" s="4" t="s">
        <v>57</v>
      </c>
      <c r="U7" s="4" t="s">
        <v>57</v>
      </c>
      <c r="V7" s="4" t="s">
        <v>57</v>
      </c>
      <c r="W7" s="4" t="s">
        <v>57</v>
      </c>
      <c r="X7" s="4" t="s">
        <v>57</v>
      </c>
      <c r="Y7" s="4" t="s">
        <v>57</v>
      </c>
      <c r="Z7" s="4" t="s">
        <v>57</v>
      </c>
      <c r="AA7" s="4" t="s">
        <v>57</v>
      </c>
      <c r="AB7" s="4" t="s">
        <v>57</v>
      </c>
      <c r="AC7" s="4" t="s">
        <v>57</v>
      </c>
      <c r="AD7" s="4" t="s">
        <v>57</v>
      </c>
      <c r="AE7" s="4" t="s">
        <v>57</v>
      </c>
      <c r="AF7" s="4" t="s">
        <v>57</v>
      </c>
      <c r="AG7" s="4" t="s">
        <v>57</v>
      </c>
      <c r="AH7" s="4" t="s">
        <v>57</v>
      </c>
      <c r="AI7" s="4" t="s">
        <v>57</v>
      </c>
      <c r="AJ7" s="4" t="s">
        <v>57</v>
      </c>
      <c r="AK7" s="4" t="s">
        <v>57</v>
      </c>
      <c r="AL7" s="4" t="s">
        <v>57</v>
      </c>
      <c r="AM7" s="4" t="s">
        <v>57</v>
      </c>
      <c r="AN7" s="4" t="s">
        <v>57</v>
      </c>
      <c r="AO7" s="4" t="s">
        <v>57</v>
      </c>
      <c r="AP7" s="4" t="s">
        <v>57</v>
      </c>
      <c r="AQ7" s="4" t="s">
        <v>57</v>
      </c>
      <c r="AR7" s="4" t="s">
        <v>57</v>
      </c>
      <c r="AS7" s="4" t="s">
        <v>57</v>
      </c>
      <c r="AT7" s="4" t="s">
        <v>57</v>
      </c>
      <c r="AU7" s="4" t="s">
        <v>57</v>
      </c>
      <c r="AV7" s="4" t="s">
        <v>57</v>
      </c>
      <c r="AW7" s="4" t="s">
        <v>57</v>
      </c>
      <c r="AX7" s="4" t="s">
        <v>57</v>
      </c>
      <c r="AY7" s="4" t="s">
        <v>57</v>
      </c>
      <c r="AZ7" s="4" t="s">
        <v>57</v>
      </c>
      <c r="BA7" s="4" t="s">
        <v>57</v>
      </c>
      <c r="BB7" s="4" t="s">
        <v>57</v>
      </c>
      <c r="BC7" s="4" t="s">
        <v>57</v>
      </c>
    </row>
    <row r="8" spans="1:56" x14ac:dyDescent="0.25">
      <c r="C8" s="3" t="s">
        <v>58</v>
      </c>
      <c r="D8" s="5">
        <f>JORD100!D5/'Ark1'!D$4</f>
        <v>19244.900000000001</v>
      </c>
      <c r="E8" s="5">
        <f>JORD100!E5/'Ark1'!E$4</f>
        <v>19704.293173293321</v>
      </c>
      <c r="F8" s="5">
        <f>JORD100!F5/'Ark1'!F$4</f>
        <v>20853.179739904175</v>
      </c>
      <c r="G8" s="5">
        <f>JORD100!G5/'Ark1'!G$4</f>
        <v>23053.050753768843</v>
      </c>
      <c r="H8" s="5">
        <f>JORD100!H5/'Ark1'!H$4</f>
        <v>22090.578405879023</v>
      </c>
      <c r="I8" s="5">
        <f>JORD100!I5/'Ark1'!I$4</f>
        <v>23230.610071942447</v>
      </c>
      <c r="J8" s="5">
        <f>JORD100!J5/'Ark1'!J$4</f>
        <v>24247.276136896391</v>
      </c>
      <c r="K8" s="5">
        <f>JORD100!K5/'Ark1'!K$4</f>
        <v>21599.155592654424</v>
      </c>
      <c r="L8" s="5">
        <f>JORD100!L5/'Ark1'!L$4</f>
        <v>16240.871572655959</v>
      </c>
      <c r="M8" s="5">
        <f>JORD100!M5/'Ark1'!M$4</f>
        <v>14571.991723202169</v>
      </c>
      <c r="N8" s="5">
        <f>JORD100!N5/'Ark1'!N$4</f>
        <v>13838.698984771572</v>
      </c>
      <c r="O8" s="5">
        <f>JORD100!O5/'Ark1'!O$4</f>
        <v>14682.40776119403</v>
      </c>
      <c r="P8" s="5">
        <f>JORD100!P5/'Ark1'!P$4</f>
        <v>15513.440889649273</v>
      </c>
      <c r="Q8" s="5">
        <f>JORD100!Q5/'Ark1'!Q$4</f>
        <v>17439.258305830583</v>
      </c>
      <c r="R8" s="5">
        <f>JORD100!R5/'Ark1'!R$4</f>
        <v>16349.055526176626</v>
      </c>
      <c r="S8" s="5">
        <f>JORD100!S5/'Ark1'!S$4</f>
        <v>15367.255147988868</v>
      </c>
      <c r="T8" s="5">
        <f>JORD100!T5/'Ark1'!T$4</f>
        <v>14818.959922742637</v>
      </c>
      <c r="U8" s="5">
        <f>JORD100!U5/'Ark1'!U$4</f>
        <v>13681.18249823571</v>
      </c>
      <c r="V8" s="5">
        <f>JORD100!V5/'Ark1'!V$4</f>
        <v>14032.161635653571</v>
      </c>
      <c r="W8" s="5">
        <f>JORD100!W5/'Ark1'!W$4</f>
        <v>13424.215793025871</v>
      </c>
      <c r="X8" s="5">
        <f>JORD100!X5/'Ark1'!X$4</f>
        <v>13200.723644444444</v>
      </c>
      <c r="Y8" s="5">
        <f>JORD100!Y5/'Ark1'!Y$4</f>
        <v>13134.199999999999</v>
      </c>
      <c r="Z8" s="5">
        <f>JORD100!Z5/'Ark1'!Z$4</f>
        <v>14602.75185659411</v>
      </c>
      <c r="AA8" s="5">
        <f>JORD100!AA5/'Ark1'!AA$4</f>
        <v>14742.829174503657</v>
      </c>
      <c r="AB8" s="5">
        <f>JORD100!AB5/'Ark1'!AB$4</f>
        <v>16618.504703476483</v>
      </c>
      <c r="AC8" s="5">
        <f>JORD100!AC5/'Ark1'!AC$4</f>
        <v>17899.986827309236</v>
      </c>
      <c r="AD8" s="5">
        <f>JORD100!AD5/'Ark1'!AD$4</f>
        <v>19029.449608150469</v>
      </c>
      <c r="AE8" s="5">
        <f>JORD100!AE5/'Ark1'!AE$4</f>
        <v>19263.189644012946</v>
      </c>
      <c r="AF8" s="5">
        <f>JORD100!AF5/'Ark1'!AF$4</f>
        <v>21050.916942533011</v>
      </c>
      <c r="AG8" s="5">
        <f>JORD100!AG5/'Ark1'!AG$4</f>
        <v>20424.92674777556</v>
      </c>
      <c r="AH8" s="5">
        <f>JORD100!AH5/'Ark1'!AH$4</f>
        <v>20291.480611881892</v>
      </c>
      <c r="AI8" s="5">
        <f>JORD100!AI5/'Ark1'!AI$4</f>
        <v>21954.141375065941</v>
      </c>
      <c r="AJ8" s="5">
        <f>JORD100!AJ5/'Ark1'!AJ$4</f>
        <v>24428.975336787564</v>
      </c>
      <c r="AK8" s="5">
        <f>JORD100!AK5/'Ark1'!AK$4</f>
        <v>32479.407050847458</v>
      </c>
      <c r="AL8" s="5">
        <f>JORD100!AL5/'Ark1'!AL$4</f>
        <v>31993.036827195465</v>
      </c>
      <c r="AM8" s="5">
        <f>JORD100!AM5/'Ark1'!AM$4</f>
        <v>29786.291506849317</v>
      </c>
      <c r="AN8" s="5">
        <f>JORD100!AN5/'Ark1'!AN$4</f>
        <v>47011.322474948305</v>
      </c>
      <c r="AO8" s="5">
        <f>JORD100!AO5/'Ark1'!AO$4</f>
        <v>42448.959825870646</v>
      </c>
      <c r="AP8" s="5">
        <f>JORD100!AP5/'Ark1'!AP$4</f>
        <v>40985.018853079135</v>
      </c>
      <c r="AQ8" s="5">
        <f>JORD100!AQ5/'Ark1'!AQ$4</f>
        <v>39135.877836879437</v>
      </c>
      <c r="AR8" s="5">
        <f>JORD100!AR5/'Ark1'!AR$4</f>
        <v>38634.1436739481</v>
      </c>
      <c r="AS8" s="5">
        <f>JORD100!AS5/'Ark1'!AS$4</f>
        <v>38258.797376093295</v>
      </c>
      <c r="AT8" s="5">
        <f>JORD100!AT5/'Ark1'!AT$4</f>
        <v>38494.850326512838</v>
      </c>
      <c r="AU8" s="5">
        <f>JORD100!AU5/'Ark1'!AU$4</f>
        <v>38107.124214792304</v>
      </c>
      <c r="AV8" s="5">
        <f>JORD100!AV5/'Ark1'!AV$4</f>
        <v>37221.992386949059</v>
      </c>
      <c r="AW8" s="5">
        <f>JORD100!AW5/'Ark1'!AW$4</f>
        <v>36964.744982256918</v>
      </c>
      <c r="AX8" s="5">
        <f>JORD100!AX5/'Ark1'!AX$4</f>
        <v>36094.886672302062</v>
      </c>
      <c r="AY8" s="5">
        <f>JORD100!AY5/'Ark1'!AY$4</f>
        <v>36239.870202020204</v>
      </c>
      <c r="AZ8" s="5">
        <f>JORD100!AZ5/'Ark1'!AZ$4</f>
        <v>34899.560385674929</v>
      </c>
      <c r="BA8" s="5">
        <f>JORD100!BA5/'Ark1'!BA$4</f>
        <v>32398.145594065736</v>
      </c>
      <c r="BB8" s="5">
        <f>JORD100!BB5/'Ark1'!BB$4</f>
        <v>32090.571449795716</v>
      </c>
      <c r="BC8" s="5">
        <f>JORD100!BC5/'Ark1'!BC$4</f>
        <v>32973.530532486562</v>
      </c>
    </row>
    <row r="9" spans="1:56" x14ac:dyDescent="0.25">
      <c r="C9" s="3" t="s">
        <v>59</v>
      </c>
      <c r="D9" s="5">
        <f>JORD100!D6/'Ark1'!D$4</f>
        <v>6860.5</v>
      </c>
      <c r="E9" s="5">
        <f>JORD100!E6/'Ark1'!E$4</f>
        <v>6249.6846211552884</v>
      </c>
      <c r="F9" s="5">
        <f>JORD100!F6/'Ark1'!F$4</f>
        <v>6445.7483915126622</v>
      </c>
      <c r="G9" s="5">
        <f>JORD100!G6/'Ark1'!G$4</f>
        <v>6298.1668341708546</v>
      </c>
      <c r="H9" s="5">
        <f>JORD100!H6/'Ark1'!H$4</f>
        <v>6721.4636517806675</v>
      </c>
      <c r="I9" s="5">
        <f>JORD100!I6/'Ark1'!I$4</f>
        <v>6765.0949640287772</v>
      </c>
      <c r="J9" s="5">
        <f>JORD100!J6/'Ark1'!J$4</f>
        <v>6767.9383028598213</v>
      </c>
      <c r="K9" s="5">
        <f>JORD100!K6/'Ark1'!K$4</f>
        <v>6688.3959933222031</v>
      </c>
      <c r="L9" s="5">
        <f>JORD100!L6/'Ark1'!L$4</f>
        <v>7162.5794546133739</v>
      </c>
      <c r="M9" s="5">
        <f>JORD100!M6/'Ark1'!M$4</f>
        <v>7459.8860244233374</v>
      </c>
      <c r="N9" s="5">
        <f>JORD100!N6/'Ark1'!N$4</f>
        <v>7259.2912436548222</v>
      </c>
      <c r="O9" s="5">
        <f>JORD100!O6/'Ark1'!O$4</f>
        <v>7465.482507462687</v>
      </c>
      <c r="P9" s="5">
        <f>JORD100!P6/'Ark1'!P$4</f>
        <v>6860.581465640149</v>
      </c>
      <c r="Q9" s="5">
        <f>JORD100!Q6/'Ark1'!Q$4</f>
        <v>6294.6679867986795</v>
      </c>
      <c r="R9" s="5">
        <f>JORD100!R6/'Ark1'!R$4</f>
        <v>5673.7225806451606</v>
      </c>
      <c r="S9" s="5">
        <f>JORD100!S6/'Ark1'!S$4</f>
        <v>5915.7780925879078</v>
      </c>
      <c r="T9" s="5">
        <f>JORD100!T6/'Ark1'!T$4</f>
        <v>6318.1177209077741</v>
      </c>
      <c r="U9" s="5">
        <f>JORD100!U6/'Ark1'!U$4</f>
        <v>5734.7770406963073</v>
      </c>
      <c r="V9" s="5">
        <f>JORD100!V6/'Ark1'!V$4</f>
        <v>5722.9568573397655</v>
      </c>
      <c r="W9" s="5">
        <f>JORD100!W6/'Ark1'!W$4</f>
        <v>5452.3929808773901</v>
      </c>
      <c r="X9" s="5">
        <f>JORD100!X6/'Ark1'!X$4</f>
        <v>5402.8614222222232</v>
      </c>
      <c r="Y9" s="5">
        <f>JORD100!Y6/'Ark1'!Y$4</f>
        <v>5344.9511111111105</v>
      </c>
      <c r="Z9" s="5">
        <f>JORD100!Z6/'Ark1'!Z$4</f>
        <v>5304.426632522408</v>
      </c>
      <c r="AA9" s="5">
        <f>JORD100!AA6/'Ark1'!AA$4</f>
        <v>5297.0891536050149</v>
      </c>
      <c r="AB9" s="5">
        <f>JORD100!AB6/'Ark1'!AB$4</f>
        <v>5492.4420449897752</v>
      </c>
      <c r="AC9" s="5">
        <f>JORD100!AC6/'Ark1'!AC$4</f>
        <v>4923.8868273092376</v>
      </c>
      <c r="AD9" s="5">
        <f>JORD100!AD6/'Ark1'!AD$4</f>
        <v>4721.0278996865209</v>
      </c>
      <c r="AE9" s="5">
        <f>JORD100!AE6/'Ark1'!AE$4</f>
        <v>5119.8938511326869</v>
      </c>
      <c r="AF9" s="5">
        <f>JORD100!AF6/'Ark1'!AF$4</f>
        <v>5567.1386274874467</v>
      </c>
      <c r="AG9" s="5">
        <f>JORD100!AG6/'Ark1'!AG$4</f>
        <v>4868.1937170873434</v>
      </c>
      <c r="AH9" s="5">
        <f>JORD100!AH6/'Ark1'!AH$4</f>
        <v>4704.9117751689791</v>
      </c>
      <c r="AI9" s="5">
        <f>JORD100!AI6/'Ark1'!AI$4</f>
        <v>4844.3656761033935</v>
      </c>
      <c r="AJ9" s="5">
        <f>JORD100!AJ6/'Ark1'!AJ$4</f>
        <v>5137.4716407599308</v>
      </c>
      <c r="AK9" s="5">
        <f>JORD100!AK6/'Ark1'!AK$4</f>
        <v>5685.5998644067795</v>
      </c>
      <c r="AL9" s="5">
        <f>JORD100!AL6/'Ark1'!AL$4</f>
        <v>5705.4889518413593</v>
      </c>
      <c r="AM9" s="5">
        <f>JORD100!AM6/'Ark1'!AM$4</f>
        <v>5881.049863013699</v>
      </c>
      <c r="AN9" s="5">
        <f>JORD100!AN6/'Ark1'!AN$4</f>
        <v>4965.8354700174959</v>
      </c>
      <c r="AO9" s="5">
        <f>JORD100!AO6/'Ark1'!AO$4</f>
        <v>5875.6503731343282</v>
      </c>
      <c r="AP9" s="5">
        <f>JORD100!AP6/'Ark1'!AP$4</f>
        <v>6670.044787411106</v>
      </c>
      <c r="AQ9" s="5">
        <f>JORD100!AQ6/'Ark1'!AQ$4</f>
        <v>7304.8336879432627</v>
      </c>
      <c r="AR9" s="5">
        <f>JORD100!AR6/'Ark1'!AR$4</f>
        <v>7261.6832136050425</v>
      </c>
      <c r="AS9" s="5">
        <f>JORD100!AS6/'Ark1'!AS$4</f>
        <v>6589.4696209912536</v>
      </c>
      <c r="AT9" s="5">
        <f>JORD100!AT6/'Ark1'!AT$4</f>
        <v>6548.0832390074002</v>
      </c>
      <c r="AU9" s="5">
        <f>JORD100!AU6/'Ark1'!AU$4</f>
        <v>6344.6814879143149</v>
      </c>
      <c r="AV9" s="5">
        <f>JORD100!AV6/'Ark1'!AV$4</f>
        <v>6868.9030337721815</v>
      </c>
      <c r="AW9" s="5">
        <f>JORD100!AW6/'Ark1'!AW$4</f>
        <v>6170.1356422995032</v>
      </c>
      <c r="AX9" s="5">
        <f>JORD100!AX6/'Ark1'!AX$4</f>
        <v>7164.3499013806704</v>
      </c>
      <c r="AY9" s="5">
        <f>JORD100!AY6/'Ark1'!AY$4</f>
        <v>7173.8168350168353</v>
      </c>
      <c r="AZ9" s="5">
        <f>JORD100!AZ6/'Ark1'!AZ$4</f>
        <v>6855.3984573002763</v>
      </c>
      <c r="BA9" s="5">
        <f>JORD100!BA6/'Ark1'!BA$4</f>
        <v>7979.3421153600202</v>
      </c>
      <c r="BB9" s="5">
        <f>JORD100!BB6/'Ark1'!BB$4</f>
        <v>7304.1395567661248</v>
      </c>
      <c r="BC9" s="5">
        <f>JORD100!BC6/'Ark1'!BC$4</f>
        <v>7426.8199804592086</v>
      </c>
    </row>
    <row r="10" spans="1:56" x14ac:dyDescent="0.25">
      <c r="C10" s="3" t="s">
        <v>60</v>
      </c>
      <c r="D10" s="5">
        <f>JORD100!D7/'Ark1'!D$4</f>
        <v>5949</v>
      </c>
      <c r="E10" s="5">
        <f>JORD100!E7/'Ark1'!E$4</f>
        <v>5942.6031507876969</v>
      </c>
      <c r="F10" s="5">
        <f>JORD100!F7/'Ark1'!F$4</f>
        <v>6100.6891170431218</v>
      </c>
      <c r="G10" s="5">
        <f>JORD100!G7/'Ark1'!G$4</f>
        <v>6330.4796482412066</v>
      </c>
      <c r="H10" s="5">
        <f>JORD100!H7/'Ark1'!H$4</f>
        <v>6287.0977953646125</v>
      </c>
      <c r="I10" s="5">
        <f>JORD100!I7/'Ark1'!I$4</f>
        <v>6682.1077081192198</v>
      </c>
      <c r="J10" s="5">
        <f>JORD100!J7/'Ark1'!J$4</f>
        <v>6757.8036568213784</v>
      </c>
      <c r="K10" s="5">
        <f>JORD100!K7/'Ark1'!K$4</f>
        <v>6750.7794657762943</v>
      </c>
      <c r="L10" s="5">
        <f>JORD100!L7/'Ark1'!L$4</f>
        <v>6707.6500560328732</v>
      </c>
      <c r="M10" s="5">
        <f>JORD100!M7/'Ark1'!M$4</f>
        <v>6658.6854816824962</v>
      </c>
      <c r="N10" s="5">
        <f>JORD100!N7/'Ark1'!N$4</f>
        <v>7013.3845177664971</v>
      </c>
      <c r="O10" s="5">
        <f>JORD100!O7/'Ark1'!O$4</f>
        <v>6370.9748059701487</v>
      </c>
      <c r="P10" s="5">
        <f>JORD100!P7/'Ark1'!P$4</f>
        <v>6105.4402053036783</v>
      </c>
      <c r="Q10" s="5">
        <f>JORD100!Q7/'Ark1'!Q$4</f>
        <v>5776.9478547854787</v>
      </c>
      <c r="R10" s="5">
        <f>JORD100!R7/'Ark1'!R$4</f>
        <v>5540.5166578529879</v>
      </c>
      <c r="S10" s="5">
        <f>JORD100!S7/'Ark1'!S$4</f>
        <v>5571.4930432582842</v>
      </c>
      <c r="T10" s="5">
        <f>JORD100!T7/'Ark1'!T$4</f>
        <v>5439.1725736359249</v>
      </c>
      <c r="U10" s="5">
        <f>JORD100!U7/'Ark1'!U$4</f>
        <v>5257.4205598682665</v>
      </c>
      <c r="V10" s="5">
        <f>JORD100!V7/'Ark1'!V$4</f>
        <v>5174.354789800138</v>
      </c>
      <c r="W10" s="5">
        <f>JORD100!W7/'Ark1'!W$4</f>
        <v>5163.9521259842522</v>
      </c>
      <c r="X10" s="5">
        <f>JORD100!X7/'Ark1'!X$4</f>
        <v>5043.7050666666664</v>
      </c>
      <c r="Y10" s="5">
        <f>JORD100!Y7/'Ark1'!Y$4</f>
        <v>5035.0725925925926</v>
      </c>
      <c r="Z10" s="5">
        <f>JORD100!Z7/'Ark1'!Z$4</f>
        <v>4952.9394793000438</v>
      </c>
      <c r="AA10" s="5">
        <f>JORD100!AA7/'Ark1'!AA$4</f>
        <v>4822.8513270637404</v>
      </c>
      <c r="AB10" s="5">
        <f>JORD100!AB7/'Ark1'!AB$4</f>
        <v>5017.4182413087938</v>
      </c>
      <c r="AC10" s="5">
        <f>JORD100!AC7/'Ark1'!AC$4</f>
        <v>4731.0344578313252</v>
      </c>
      <c r="AD10" s="5">
        <f>JORD100!AD7/'Ark1'!AD$4</f>
        <v>4525.4093260188092</v>
      </c>
      <c r="AE10" s="5">
        <f>JORD100!AE7/'Ark1'!AE$4</f>
        <v>4457.1909385113267</v>
      </c>
      <c r="AF10" s="5">
        <f>JORD100!AF7/'Ark1'!AF$4</f>
        <v>4762.8403942718987</v>
      </c>
      <c r="AG10" s="5">
        <f>JORD100!AG7/'Ark1'!AG$4</f>
        <v>4558.5486108589066</v>
      </c>
      <c r="AH10" s="5">
        <f>JORD100!AH7/'Ark1'!AH$4</f>
        <v>4478.6877979366773</v>
      </c>
      <c r="AI10" s="5">
        <f>JORD100!AI7/'Ark1'!AI$4</f>
        <v>4499.2934763495696</v>
      </c>
      <c r="AJ10" s="5">
        <f>JORD100!AJ7/'Ark1'!AJ$4</f>
        <v>4658.959516407599</v>
      </c>
      <c r="AK10" s="5">
        <f>JORD100!AK7/'Ark1'!AK$4</f>
        <v>4891.173152542372</v>
      </c>
      <c r="AL10" s="5">
        <f>JORD100!AL7/'Ark1'!AL$4</f>
        <v>5220.4158640226624</v>
      </c>
      <c r="AM10" s="5">
        <f>JORD100!AM7/'Ark1'!AM$4</f>
        <v>5473.9627397260274</v>
      </c>
      <c r="AN10" s="5">
        <f>JORD100!AN7/'Ark1'!AN$4</f>
        <v>5025.9798313981228</v>
      </c>
      <c r="AO10" s="5">
        <f>JORD100!AO7/'Ark1'!AO$4</f>
        <v>5040.8393656716416</v>
      </c>
      <c r="AP10" s="5">
        <f>JORD100!AP7/'Ark1'!AP$4</f>
        <v>5715.6495082463298</v>
      </c>
      <c r="AQ10" s="5">
        <f>JORD100!AQ7/'Ark1'!AQ$4</f>
        <v>5897.8033687943262</v>
      </c>
      <c r="AR10" s="5">
        <f>JORD100!AR7/'Ark1'!AR$4</f>
        <v>6061.4667644040464</v>
      </c>
      <c r="AS10" s="5">
        <f>JORD100!AS7/'Ark1'!AS$4</f>
        <v>5769.1983090379017</v>
      </c>
      <c r="AT10" s="5">
        <f>JORD100!AT7/'Ark1'!AT$4</f>
        <v>5940.5248004643736</v>
      </c>
      <c r="AU10" s="5">
        <f>JORD100!AU7/'Ark1'!AU$4</f>
        <v>5730.3734838616301</v>
      </c>
      <c r="AV10" s="5">
        <f>JORD100!AV7/'Ark1'!AV$4</f>
        <v>5651.0666285060106</v>
      </c>
      <c r="AW10" s="5">
        <f>JORD100!AW7/'Ark1'!AW$4</f>
        <v>5681.2682469836773</v>
      </c>
      <c r="AX10" s="5">
        <f>JORD100!AX7/'Ark1'!AX$4</f>
        <v>5737.1670893209357</v>
      </c>
      <c r="AY10" s="5">
        <f>JORD100!AY7/'Ark1'!AY$4</f>
        <v>5789.0170594837264</v>
      </c>
      <c r="AZ10" s="5">
        <f>JORD100!AZ7/'Ark1'!AZ$4</f>
        <v>5696.7234159779618</v>
      </c>
      <c r="BA10" s="5">
        <f>JORD100!BA7/'Ark1'!BA$4</f>
        <v>6045.0712878884769</v>
      </c>
      <c r="BB10" s="5">
        <f>JORD100!BB7/'Ark1'!BB$4</f>
        <v>5881.058759440386</v>
      </c>
      <c r="BC10" s="5">
        <f>JORD100!BC7/'Ark1'!BC$4</f>
        <v>5920.5327796775764</v>
      </c>
    </row>
    <row r="11" spans="1:56" x14ac:dyDescent="0.25">
      <c r="C11" s="3" t="s">
        <v>61</v>
      </c>
      <c r="D11" s="5">
        <f>JORD100!D8/'Ark1'!D$4</f>
        <v>316.3</v>
      </c>
      <c r="E11" s="5">
        <f>JORD100!E8/'Ark1'!E$4</f>
        <v>318.44201050262564</v>
      </c>
      <c r="F11" s="5">
        <f>JORD100!F8/'Ark1'!F$4</f>
        <v>340.15359342915809</v>
      </c>
      <c r="G11" s="5">
        <f>JORD100!G8/'Ark1'!G$4</f>
        <v>329.66331658291455</v>
      </c>
      <c r="H11" s="5">
        <f>JORD100!H8/'Ark1'!H$4</f>
        <v>300.99129451667608</v>
      </c>
      <c r="I11" s="5">
        <f>JORD100!I8/'Ark1'!I$4</f>
        <v>378.34347379239466</v>
      </c>
      <c r="J11" s="5">
        <f>JORD100!J8/'Ark1'!J$4</f>
        <v>338.56221284575719</v>
      </c>
      <c r="K11" s="5">
        <f>JORD100!K8/'Ark1'!K$4</f>
        <v>319.54040066777964</v>
      </c>
      <c r="L11" s="5">
        <f>JORD100!L8/'Ark1'!L$4</f>
        <v>290.83526335450131</v>
      </c>
      <c r="M11" s="5">
        <f>JORD100!M8/'Ark1'!M$4</f>
        <v>301.62659430122113</v>
      </c>
      <c r="N11" s="5">
        <f>JORD100!N8/'Ark1'!N$4</f>
        <v>304.62360406091369</v>
      </c>
      <c r="O11" s="5">
        <f>JORD100!O8/'Ark1'!O$4</f>
        <v>304.80441791044774</v>
      </c>
      <c r="P11" s="5">
        <f>JORD100!P8/'Ark1'!P$4</f>
        <v>338.03193612774453</v>
      </c>
      <c r="Q11" s="5">
        <f>JORD100!Q8/'Ark1'!Q$4</f>
        <v>332.30231023102311</v>
      </c>
      <c r="R11" s="5">
        <f>JORD100!R8/'Ark1'!R$4</f>
        <v>322.22506610259126</v>
      </c>
      <c r="S11" s="5">
        <f>JORD100!S8/'Ark1'!S$4</f>
        <v>314.39807740956229</v>
      </c>
      <c r="T11" s="5">
        <f>JORD100!T8/'Ark1'!T$4</f>
        <v>313.9787542250121</v>
      </c>
      <c r="U11" s="5">
        <f>JORD100!U8/'Ark1'!U$4</f>
        <v>325.94250764525992</v>
      </c>
      <c r="V11" s="5">
        <f>JORD100!V8/'Ark1'!V$4</f>
        <v>324.38640018378129</v>
      </c>
      <c r="W11" s="5">
        <f>JORD100!W8/'Ark1'!W$4</f>
        <v>327.555005624297</v>
      </c>
      <c r="X11" s="5">
        <f>JORD100!X8/'Ark1'!X$4</f>
        <v>312.12</v>
      </c>
      <c r="Y11" s="5">
        <f>JORD100!Y8/'Ark1'!Y$4</f>
        <v>310.65925925925927</v>
      </c>
      <c r="Z11" s="5">
        <f>JORD100!Z8/'Ark1'!Z$4</f>
        <v>312.95381988903114</v>
      </c>
      <c r="AA11" s="5">
        <f>JORD100!AA8/'Ark1'!AA$4</f>
        <v>309.32965517241382</v>
      </c>
      <c r="AB11" s="5">
        <f>JORD100!AB8/'Ark1'!AB$4</f>
        <v>332.54503067484666</v>
      </c>
      <c r="AC11" s="5">
        <f>JORD100!AC8/'Ark1'!AC$4</f>
        <v>327.51012048192774</v>
      </c>
      <c r="AD11" s="5">
        <f>JORD100!AD8/'Ark1'!AD$4</f>
        <v>324.8532131661442</v>
      </c>
      <c r="AE11" s="5">
        <f>JORD100!AE8/'Ark1'!AE$4</f>
        <v>319.07184466019419</v>
      </c>
      <c r="AF11" s="5">
        <f>JORD100!AF8/'Ark1'!AF$4</f>
        <v>333.66412497675282</v>
      </c>
      <c r="AG11" s="5">
        <f>JORD100!AG8/'Ark1'!AG$4</f>
        <v>334.62495006355545</v>
      </c>
      <c r="AH11" s="5">
        <f>JORD100!AH8/'Ark1'!AH$4</f>
        <v>349.84318747776592</v>
      </c>
      <c r="AI11" s="5">
        <f>JORD100!AI8/'Ark1'!AI$4</f>
        <v>345.27547037102164</v>
      </c>
      <c r="AJ11" s="5">
        <f>JORD100!AJ8/'Ark1'!AJ$4</f>
        <v>371.39744386873923</v>
      </c>
      <c r="AK11" s="5">
        <f>JORD100!AK8/'Ark1'!AK$4</f>
        <v>372.76101694915252</v>
      </c>
      <c r="AL11" s="5">
        <f>JORD100!AL8/'Ark1'!AL$4</f>
        <v>392.97450424929178</v>
      </c>
      <c r="AM11" s="5">
        <f>JORD100!AM8/'Ark1'!AM$4</f>
        <v>392.49972602739734</v>
      </c>
      <c r="AN11" s="5">
        <f>JORD100!AN8/'Ark1'!AN$4</f>
        <v>416.21148401463336</v>
      </c>
      <c r="AO11" s="5">
        <f>JORD100!AO8/'Ark1'!AO$4</f>
        <v>429.97736318407959</v>
      </c>
      <c r="AP11" s="5">
        <f>JORD100!AP8/'Ark1'!AP$4</f>
        <v>445.34598275079435</v>
      </c>
      <c r="AQ11" s="5">
        <f>JORD100!AQ8/'Ark1'!AQ$4</f>
        <v>454.9700354609929</v>
      </c>
      <c r="AR11" s="5">
        <f>JORD100!AR8/'Ark1'!AR$4</f>
        <v>490.70259492742997</v>
      </c>
      <c r="AS11" s="5">
        <f>JORD100!AS8/'Ark1'!AS$4</f>
        <v>502.13539358600588</v>
      </c>
      <c r="AT11" s="5">
        <f>JORD100!AT8/'Ark1'!AT$4</f>
        <v>560.88898563343491</v>
      </c>
      <c r="AU11" s="5">
        <f>JORD100!AU8/'Ark1'!AU$4</f>
        <v>558.79189463019247</v>
      </c>
      <c r="AV11" s="5">
        <f>JORD100!AV8/'Ark1'!AV$4</f>
        <v>569.76176302232398</v>
      </c>
      <c r="AW11" s="5">
        <f>JORD100!AW8/'Ark1'!AW$4</f>
        <v>583.1687721788503</v>
      </c>
      <c r="AX11" s="5">
        <f>JORD100!AX8/'Ark1'!AX$4</f>
        <v>595.96376444068756</v>
      </c>
      <c r="AY11" s="5">
        <f>JORD100!AY8/'Ark1'!AY$4</f>
        <v>626.36127946127942</v>
      </c>
      <c r="AZ11" s="5">
        <f>JORD100!AZ8/'Ark1'!AZ$4</f>
        <v>622.32925619834714</v>
      </c>
      <c r="BA11" s="5">
        <f>JORD100!BA8/'Ark1'!BA$4</f>
        <v>605.57309118813146</v>
      </c>
      <c r="BB11" s="5">
        <f>JORD100!BB8/'Ark1'!BB$4</f>
        <v>608.52801782840163</v>
      </c>
      <c r="BC11" s="5">
        <f>JORD100!BC8/'Ark1'!BC$4</f>
        <v>685.82085979482167</v>
      </c>
    </row>
    <row r="12" spans="1:56" x14ac:dyDescent="0.25">
      <c r="C12" s="3" t="s">
        <v>62</v>
      </c>
      <c r="D12" s="5">
        <f>JORD100!D9/'Ark1'!D$4</f>
        <v>1636.1</v>
      </c>
      <c r="E12" s="5">
        <f>JORD100!E9/'Ark1'!E$4</f>
        <v>1760.0165041260314</v>
      </c>
      <c r="F12" s="5">
        <f>JORD100!F9/'Ark1'!F$4</f>
        <v>1730.3603011635867</v>
      </c>
      <c r="G12" s="5">
        <f>JORD100!G9/'Ark1'!G$4</f>
        <v>1697.9113065326635</v>
      </c>
      <c r="H12" s="5">
        <f>JORD100!H9/'Ark1'!H$4</f>
        <v>1771.8362916902204</v>
      </c>
      <c r="I12" s="5">
        <f>JORD100!I9/'Ark1'!I$4</f>
        <v>1913.221582733813</v>
      </c>
      <c r="J12" s="5">
        <f>JORD100!J9/'Ark1'!J$4</f>
        <v>1894.6910454758556</v>
      </c>
      <c r="K12" s="5">
        <f>JORD100!K9/'Ark1'!K$4</f>
        <v>1726.1839732888147</v>
      </c>
      <c r="L12" s="5">
        <f>JORD100!L9/'Ark1'!L$4</f>
        <v>1661.1940231602541</v>
      </c>
      <c r="M12" s="5">
        <f>JORD100!M9/'Ark1'!M$4</f>
        <v>1530.8373134328358</v>
      </c>
      <c r="N12" s="5">
        <f>JORD100!N9/'Ark1'!N$4</f>
        <v>1485.7093908629442</v>
      </c>
      <c r="O12" s="5">
        <f>JORD100!O9/'Ark1'!O$4</f>
        <v>1360.5257313432835</v>
      </c>
      <c r="P12" s="5">
        <f>JORD100!P9/'Ark1'!P$4</f>
        <v>1265.3041345879669</v>
      </c>
      <c r="Q12" s="5">
        <f>JORD100!Q9/'Ark1'!Q$4</f>
        <v>1252.8102310231022</v>
      </c>
      <c r="R12" s="5">
        <f>JORD100!R9/'Ark1'!R$4</f>
        <v>1273.5867794817557</v>
      </c>
      <c r="S12" s="5">
        <f>JORD100!S9/'Ark1'!S$4</f>
        <v>1279.6127498102705</v>
      </c>
      <c r="T12" s="5">
        <f>JORD100!T9/'Ark1'!T$4</f>
        <v>1202.2734910671174</v>
      </c>
      <c r="U12" s="5">
        <f>JORD100!U9/'Ark1'!U$4</f>
        <v>1159.1000705716301</v>
      </c>
      <c r="V12" s="5">
        <f>JORD100!V9/'Ark1'!V$4</f>
        <v>1147.7144038594074</v>
      </c>
      <c r="W12" s="5">
        <f>JORD100!W9/'Ark1'!W$4</f>
        <v>1127.9647244094488</v>
      </c>
      <c r="X12" s="5">
        <f>JORD100!X9/'Ark1'!X$4</f>
        <v>1098.7394666666669</v>
      </c>
      <c r="Y12" s="5">
        <f>JORD100!Y9/'Ark1'!Y$4</f>
        <v>1249.3866666666668</v>
      </c>
      <c r="Z12" s="5">
        <f>JORD100!Z9/'Ark1'!Z$4</f>
        <v>1237.0630815194197</v>
      </c>
      <c r="AA12" s="5">
        <f>JORD100!AA9/'Ark1'!AA$4</f>
        <v>1172.2588923719959</v>
      </c>
      <c r="AB12" s="5">
        <f>JORD100!AB9/'Ark1'!AB$4</f>
        <v>1155.6690388548059</v>
      </c>
      <c r="AC12" s="5">
        <f>JORD100!AC9/'Ark1'!AC$4</f>
        <v>852.93301204819284</v>
      </c>
      <c r="AD12" s="5">
        <f>JORD100!AD9/'Ark1'!AD$4</f>
        <v>827.81739811912223</v>
      </c>
      <c r="AE12" s="5">
        <f>JORD100!AE9/'Ark1'!AE$4</f>
        <v>798.54886731391582</v>
      </c>
      <c r="AF12" s="5">
        <f>JORD100!AF9/'Ark1'!AF$4</f>
        <v>801.69685698344801</v>
      </c>
      <c r="AG12" s="5">
        <f>JORD100!AG9/'Ark1'!AG$4</f>
        <v>720.72097330670056</v>
      </c>
      <c r="AH12" s="5">
        <f>JORD100!AH9/'Ark1'!AH$4</f>
        <v>698.47321237993594</v>
      </c>
      <c r="AI12" s="5">
        <f>JORD100!AI9/'Ark1'!AI$4</f>
        <v>661.36128011253743</v>
      </c>
      <c r="AJ12" s="5">
        <f>JORD100!AJ9/'Ark1'!AJ$4</f>
        <v>632.32601036269432</v>
      </c>
      <c r="AK12" s="5">
        <f>JORD100!AK9/'Ark1'!AK$4</f>
        <v>607.35064406779657</v>
      </c>
      <c r="AL12" s="5">
        <f>JORD100!AL9/'Ark1'!AL$4</f>
        <v>567.61699716713872</v>
      </c>
      <c r="AM12" s="5">
        <f>JORD100!AM9/'Ark1'!AM$4</f>
        <v>513.53972602739725</v>
      </c>
      <c r="AN12" s="5">
        <f>JORD100!AN9/'Ark1'!AN$4</f>
        <v>505.64657229203118</v>
      </c>
      <c r="AO12" s="5">
        <f>JORD100!AO9/'Ark1'!AO$4</f>
        <v>474.136131840796</v>
      </c>
      <c r="AP12" s="5">
        <f>JORD100!AP9/'Ark1'!AP$4</f>
        <v>469.58892419428048</v>
      </c>
      <c r="AQ12" s="5">
        <f>JORD100!AQ9/'Ark1'!AQ$4</f>
        <v>465.55986997635932</v>
      </c>
      <c r="AR12" s="5">
        <f>JORD100!AR9/'Ark1'!AR$4</f>
        <v>447.26573816155985</v>
      </c>
      <c r="AS12" s="5">
        <f>JORD100!AS9/'Ark1'!AS$4</f>
        <v>446.62717201166186</v>
      </c>
      <c r="AT12" s="5">
        <f>JORD100!AT9/'Ark1'!AT$4</f>
        <v>447.85563778841964</v>
      </c>
      <c r="AU12" s="5">
        <f>JORD100!AU9/'Ark1'!AU$4</f>
        <v>420.70435663627154</v>
      </c>
      <c r="AV12" s="5">
        <f>JORD100!AV9/'Ark1'!AV$4</f>
        <v>407.36262163709216</v>
      </c>
      <c r="AW12" s="5">
        <f>JORD100!AW9/'Ark1'!AW$4</f>
        <v>396.19048970901349</v>
      </c>
      <c r="AX12" s="5">
        <f>JORD100!AX9/'Ark1'!AX$4</f>
        <v>392.58072696534236</v>
      </c>
      <c r="AY12" s="5">
        <f>JORD100!AY9/'Ark1'!AY$4</f>
        <v>375.26212121212126</v>
      </c>
      <c r="AZ12" s="5">
        <f>JORD100!AZ9/'Ark1'!AZ$4</f>
        <v>331.76881542699726</v>
      </c>
      <c r="BA12" s="5">
        <f>JORD100!BA9/'Ark1'!BA$4</f>
        <v>292.52610308223558</v>
      </c>
      <c r="BB12" s="5">
        <f>JORD100!BB9/'Ark1'!BB$4</f>
        <v>267.20960752754735</v>
      </c>
      <c r="BC12" s="5">
        <f>JORD100!BC9/'Ark1'!BC$4</f>
        <v>264.67430385930629</v>
      </c>
    </row>
    <row r="13" spans="1:56" x14ac:dyDescent="0.25">
      <c r="C13" s="3" t="s">
        <v>63</v>
      </c>
      <c r="D13" s="5">
        <f>JORD100!D10/'Ark1'!D$4</f>
        <v>911.6</v>
      </c>
      <c r="E13" s="5">
        <f>JORD100!E10/'Ark1'!E$4</f>
        <v>307.08147036759192</v>
      </c>
      <c r="F13" s="5">
        <f>JORD100!F10/'Ark1'!F$4</f>
        <v>345.05927446954144</v>
      </c>
      <c r="G13" s="5">
        <f>JORD100!G10/'Ark1'!G$4</f>
        <v>-32.312814070351756</v>
      </c>
      <c r="H13" s="5">
        <f>JORD100!H10/'Ark1'!H$4</f>
        <v>434.36585641605427</v>
      </c>
      <c r="I13" s="5">
        <f>JORD100!I10/'Ark1'!I$4</f>
        <v>82.987255909558058</v>
      </c>
      <c r="J13" s="5">
        <f>JORD100!J10/'Ark1'!J$4</f>
        <v>10.188842006563526</v>
      </c>
      <c r="K13" s="5">
        <f>JORD100!K10/'Ark1'!K$4</f>
        <v>-62.383472454090153</v>
      </c>
      <c r="L13" s="5">
        <f>JORD100!L10/'Ark1'!L$4</f>
        <v>454.97258124766529</v>
      </c>
      <c r="M13" s="5">
        <f>JORD100!M10/'Ark1'!M$4</f>
        <v>801.23975576662133</v>
      </c>
      <c r="N13" s="5">
        <f>JORD100!N10/'Ark1'!N$4</f>
        <v>245.90672588832487</v>
      </c>
      <c r="O13" s="5">
        <f>JORD100!O10/'Ark1'!O$4</f>
        <v>1094.5077014925373</v>
      </c>
      <c r="P13" s="5">
        <f>JORD100!P10/'Ark1'!P$4</f>
        <v>755.14126033646994</v>
      </c>
      <c r="Q13" s="5">
        <f>JORD100!Q10/'Ark1'!Q$4</f>
        <v>517.68833883388334</v>
      </c>
      <c r="R13" s="5">
        <f>JORD100!R10/'Ark1'!R$4</f>
        <v>133.1753569539926</v>
      </c>
      <c r="S13" s="5">
        <f>JORD100!S10/'Ark1'!S$4</f>
        <v>344.28504932962306</v>
      </c>
      <c r="T13" s="5">
        <f>JORD100!T10/'Ark1'!T$4</f>
        <v>878.94514727184946</v>
      </c>
      <c r="U13" s="5">
        <f>JORD100!U10/'Ark1'!U$4</f>
        <v>477.32928722653492</v>
      </c>
      <c r="V13" s="5">
        <f>JORD100!V10/'Ark1'!V$4</f>
        <v>548.57551114174123</v>
      </c>
      <c r="W13" s="5">
        <f>JORD100!W10/'Ark1'!W$4</f>
        <v>288.44085489313835</v>
      </c>
      <c r="X13" s="5">
        <f>JORD100!X10/'Ark1'!X$4</f>
        <v>359.15635555555554</v>
      </c>
      <c r="Y13" s="5">
        <f>JORD100!Y10/'Ark1'!Y$4</f>
        <v>309.87851851851855</v>
      </c>
      <c r="Z13" s="5">
        <f>JORD100!Z10/'Ark1'!Z$4</f>
        <v>351.4871532223645</v>
      </c>
      <c r="AA13" s="5">
        <f>JORD100!AA10/'Ark1'!AA$4</f>
        <v>474.26198537095087</v>
      </c>
      <c r="AB13" s="5">
        <f>JORD100!AB10/'Ark1'!AB$4</f>
        <v>475.02380368098164</v>
      </c>
      <c r="AC13" s="5">
        <f>JORD100!AC10/'Ark1'!AC$4</f>
        <v>192.85236947791162</v>
      </c>
      <c r="AD13" s="5">
        <f>JORD100!AD10/'Ark1'!AD$4</f>
        <v>195.61857366771162</v>
      </c>
      <c r="AE13" s="5">
        <f>JORD100!AE10/'Ark1'!AE$4</f>
        <v>662.70291262135925</v>
      </c>
      <c r="AF13" s="5">
        <f>JORD100!AF10/'Ark1'!AF$4</f>
        <v>804.31973219267252</v>
      </c>
      <c r="AG13" s="5">
        <f>JORD100!AG10/'Ark1'!AG$4</f>
        <v>309.64510622843648</v>
      </c>
      <c r="AH13" s="5">
        <f>JORD100!AH10/'Ark1'!AH$4</f>
        <v>226.22397723230168</v>
      </c>
      <c r="AI13" s="5">
        <f>JORD100!AI10/'Ark1'!AI$4</f>
        <v>345.09252681554426</v>
      </c>
      <c r="AJ13" s="5">
        <f>JORD100!AJ10/'Ark1'!AJ$4</f>
        <v>478.51212435233157</v>
      </c>
      <c r="AK13" s="5">
        <f>JORD100!AK10/'Ark1'!AK$4</f>
        <v>794.44630508474563</v>
      </c>
      <c r="AL13" s="5">
        <f>JORD100!AL10/'Ark1'!AL$4</f>
        <v>485.09235127478746</v>
      </c>
      <c r="AM13" s="5">
        <f>JORD100!AM10/'Ark1'!AM$4</f>
        <v>407.06849315068496</v>
      </c>
      <c r="AN13" s="5">
        <f>JORD100!AN10/'Ark1'!AN$4</f>
        <v>-60.144361380626691</v>
      </c>
      <c r="AO13" s="5">
        <f>JORD100!AO10/'Ark1'!AO$4</f>
        <v>834.81100746268646</v>
      </c>
      <c r="AP13" s="5">
        <f>JORD100!AP10/'Ark1'!AP$4</f>
        <v>954.41277046451808</v>
      </c>
      <c r="AQ13" s="5">
        <f>JORD100!AQ10/'Ark1'!AQ$4</f>
        <v>1407.0303191489363</v>
      </c>
      <c r="AR13" s="5">
        <f>JORD100!AR10/'Ark1'!AR$4</f>
        <v>1200.2333968626301</v>
      </c>
      <c r="AS13" s="5">
        <f>JORD100!AS10/'Ark1'!AS$4</f>
        <v>820.28816326530625</v>
      </c>
      <c r="AT13" s="5">
        <f>JORD100!AT10/'Ark1'!AT$4</f>
        <v>607.55843854302702</v>
      </c>
      <c r="AU13" s="5">
        <f>JORD100!AU10/'Ark1'!AU$4</f>
        <v>614.30800405268485</v>
      </c>
      <c r="AV13" s="5">
        <f>JORD100!AV10/'Ark1'!AV$4</f>
        <v>1217.8364052661707</v>
      </c>
      <c r="AW13" s="5">
        <f>JORD100!AW10/'Ark1'!AW$4</f>
        <v>488.86739531582691</v>
      </c>
      <c r="AX13" s="5">
        <f>JORD100!AX10/'Ark1'!AX$4</f>
        <v>1427.1828120597352</v>
      </c>
      <c r="AY13" s="5">
        <f>JORD100!AY10/'Ark1'!AY$4</f>
        <v>1384.7997755331087</v>
      </c>
      <c r="AZ13" s="5">
        <f>JORD100!AZ10/'Ark1'!AZ$4</f>
        <v>1158.6750413223142</v>
      </c>
      <c r="BA13" s="5">
        <f>JORD100!BA10/'Ark1'!BA$4</f>
        <v>1934.2708274715437</v>
      </c>
      <c r="BB13" s="5">
        <f>JORD100!BB10/'Ark1'!BB$4</f>
        <v>1423.0664850810945</v>
      </c>
      <c r="BC13" s="5">
        <f>JORD100!BC10/'Ark1'!BC$4</f>
        <v>1506.2872007816316</v>
      </c>
    </row>
    <row r="14" spans="1:56" x14ac:dyDescent="0.25">
      <c r="C14" s="3" t="s">
        <v>64</v>
      </c>
      <c r="D14" s="5">
        <f>JORD100!D11</f>
        <v>4.7</v>
      </c>
      <c r="E14" s="5">
        <f>JORD100!E11</f>
        <v>1.6</v>
      </c>
      <c r="F14" s="5">
        <f>JORD100!F11</f>
        <v>1.7</v>
      </c>
      <c r="G14" s="5">
        <f>JORD100!G11</f>
        <v>-0.1</v>
      </c>
      <c r="H14" s="5">
        <f>JORD100!H11</f>
        <v>2</v>
      </c>
      <c r="I14" s="5">
        <f>JORD100!I11</f>
        <v>0.4</v>
      </c>
      <c r="J14" s="5">
        <f>JORD100!J11</f>
        <v>0</v>
      </c>
      <c r="K14" s="5">
        <f>JORD100!K11</f>
        <v>-0.3</v>
      </c>
      <c r="L14" s="5">
        <f>JORD100!L11</f>
        <v>2.8</v>
      </c>
      <c r="M14" s="5">
        <f>JORD100!M11</f>
        <v>5.5</v>
      </c>
      <c r="N14" s="5">
        <f>JORD100!N11</f>
        <v>1.8</v>
      </c>
      <c r="O14" s="5">
        <f>JORD100!O11</f>
        <v>7.5</v>
      </c>
      <c r="P14" s="5">
        <f>JORD100!P11</f>
        <v>4.9000000000000004</v>
      </c>
      <c r="Q14" s="5">
        <f>JORD100!Q11</f>
        <v>3</v>
      </c>
      <c r="R14" s="5">
        <f>JORD100!R11</f>
        <v>0.8</v>
      </c>
      <c r="S14" s="5">
        <f>JORD100!S11</f>
        <v>2.2000000000000002</v>
      </c>
      <c r="T14" s="5">
        <f>JORD100!T11</f>
        <v>5.9</v>
      </c>
      <c r="U14" s="5">
        <f>JORD100!U11</f>
        <v>3.5</v>
      </c>
      <c r="V14" s="5">
        <f>JORD100!V11</f>
        <v>3.9</v>
      </c>
      <c r="W14" s="5">
        <f>JORD100!W11</f>
        <v>2.2000000000000002</v>
      </c>
      <c r="X14" s="5">
        <f>JORD100!X11</f>
        <v>2.7</v>
      </c>
      <c r="Y14" s="5">
        <f>JORD100!Y11</f>
        <v>2.4</v>
      </c>
      <c r="Z14" s="5">
        <f>JORD100!Z11</f>
        <v>2.4</v>
      </c>
      <c r="AA14" s="5">
        <f>JORD100!AA11</f>
        <v>3.2</v>
      </c>
      <c r="AB14" s="5">
        <f>JORD100!AB11</f>
        <v>2.9</v>
      </c>
      <c r="AC14" s="5">
        <f>JORD100!AC11</f>
        <v>1.1000000000000001</v>
      </c>
      <c r="AD14" s="5">
        <f>JORD100!AD11</f>
        <v>1</v>
      </c>
      <c r="AE14" s="5">
        <f>JORD100!AE11</f>
        <v>3.4</v>
      </c>
      <c r="AF14" s="5">
        <f>JORD100!AF11</f>
        <v>3.8</v>
      </c>
      <c r="AG14" s="5">
        <f>JORD100!AG11</f>
        <v>1.5</v>
      </c>
      <c r="AH14" s="5">
        <f>JORD100!AH11</f>
        <v>1.1000000000000001</v>
      </c>
      <c r="AI14" s="5">
        <f>JORD100!AI11</f>
        <v>1.6</v>
      </c>
      <c r="AJ14" s="5">
        <f>JORD100!AJ11</f>
        <v>2</v>
      </c>
      <c r="AK14" s="5">
        <f>JORD100!AK11</f>
        <v>2.5</v>
      </c>
      <c r="AL14" s="5">
        <f>JORD100!AL11</f>
        <v>1.5</v>
      </c>
      <c r="AM14" s="5">
        <f>JORD100!AM11</f>
        <v>1.4</v>
      </c>
      <c r="AN14" s="5">
        <f>JORD100!AN11</f>
        <v>-0.1</v>
      </c>
      <c r="AO14" s="5">
        <f>JORD100!AO11</f>
        <v>2</v>
      </c>
      <c r="AP14" s="5">
        <f>JORD100!AP11</f>
        <v>2.2999999999999998</v>
      </c>
      <c r="AQ14" s="5">
        <f>JORD100!AQ11</f>
        <v>3.6</v>
      </c>
      <c r="AR14" s="5">
        <f>JORD100!AR11</f>
        <v>3.1</v>
      </c>
      <c r="AS14" s="5">
        <f>JORD100!AS11</f>
        <v>2.1</v>
      </c>
      <c r="AT14" s="5">
        <f>JORD100!AT11</f>
        <v>1.6</v>
      </c>
      <c r="AU14" s="5">
        <f>JORD100!AU11</f>
        <v>1.6</v>
      </c>
      <c r="AV14" s="5">
        <f>JORD100!AV11</f>
        <v>3.3</v>
      </c>
      <c r="AW14" s="5">
        <f>JORD100!AW11</f>
        <v>1.3</v>
      </c>
      <c r="AX14" s="5">
        <f>JORD100!AX11</f>
        <v>4</v>
      </c>
      <c r="AY14" s="5">
        <f>JORD100!AY11</f>
        <v>3.8</v>
      </c>
      <c r="AZ14" s="5">
        <f>JORD100!AZ11</f>
        <v>3.3</v>
      </c>
      <c r="BA14" s="5">
        <f>JORD100!BA11</f>
        <v>6</v>
      </c>
      <c r="BB14" s="5">
        <f>JORD100!BB11</f>
        <v>4.4000000000000004</v>
      </c>
      <c r="BC14" s="5">
        <f>JORD100!BC11</f>
        <v>4.5999999999999996</v>
      </c>
    </row>
    <row r="15" spans="1:56" x14ac:dyDescent="0.25">
      <c r="B15" s="3" t="s">
        <v>65</v>
      </c>
      <c r="C15" s="3" t="s">
        <v>56</v>
      </c>
      <c r="D15" s="4" t="s">
        <v>57</v>
      </c>
      <c r="E15" s="4" t="s">
        <v>57</v>
      </c>
      <c r="F15" s="4" t="s">
        <v>57</v>
      </c>
      <c r="G15" s="4" t="s">
        <v>57</v>
      </c>
      <c r="H15" s="4" t="s">
        <v>57</v>
      </c>
      <c r="I15" s="4" t="s">
        <v>57</v>
      </c>
      <c r="J15" s="4" t="s">
        <v>57</v>
      </c>
      <c r="K15" s="4" t="s">
        <v>57</v>
      </c>
      <c r="L15" s="4" t="s">
        <v>57</v>
      </c>
      <c r="M15" s="4" t="s">
        <v>57</v>
      </c>
      <c r="N15" s="4" t="s">
        <v>57</v>
      </c>
      <c r="O15" s="4" t="s">
        <v>57</v>
      </c>
      <c r="P15" s="4" t="s">
        <v>57</v>
      </c>
      <c r="Q15" s="4" t="s">
        <v>57</v>
      </c>
      <c r="R15" s="4" t="s">
        <v>57</v>
      </c>
      <c r="S15" s="4" t="s">
        <v>57</v>
      </c>
      <c r="T15" s="4" t="s">
        <v>57</v>
      </c>
      <c r="U15" s="4" t="s">
        <v>57</v>
      </c>
      <c r="V15" s="4" t="s">
        <v>57</v>
      </c>
      <c r="W15" s="4" t="s">
        <v>57</v>
      </c>
      <c r="X15" s="4" t="s">
        <v>57</v>
      </c>
      <c r="Y15" s="4" t="s">
        <v>57</v>
      </c>
      <c r="Z15" s="4" t="s">
        <v>57</v>
      </c>
      <c r="AA15" s="4" t="s">
        <v>57</v>
      </c>
      <c r="AB15" s="4" t="s">
        <v>57</v>
      </c>
      <c r="AC15" s="4" t="s">
        <v>57</v>
      </c>
      <c r="AD15" s="4" t="s">
        <v>57</v>
      </c>
      <c r="AE15" s="4" t="s">
        <v>57</v>
      </c>
      <c r="AF15" s="4" t="s">
        <v>57</v>
      </c>
      <c r="AG15" s="4" t="s">
        <v>57</v>
      </c>
      <c r="AH15" s="4" t="s">
        <v>57</v>
      </c>
      <c r="AI15" s="4" t="s">
        <v>57</v>
      </c>
      <c r="AJ15" s="4" t="s">
        <v>57</v>
      </c>
      <c r="AK15" s="4" t="s">
        <v>57</v>
      </c>
      <c r="AL15" s="4" t="s">
        <v>57</v>
      </c>
      <c r="AM15" s="4" t="s">
        <v>57</v>
      </c>
      <c r="AN15" s="4" t="s">
        <v>57</v>
      </c>
      <c r="AO15" s="4" t="s">
        <v>57</v>
      </c>
      <c r="AP15" s="4" t="s">
        <v>57</v>
      </c>
      <c r="AQ15" s="4" t="s">
        <v>57</v>
      </c>
      <c r="AR15" s="4" t="s">
        <v>57</v>
      </c>
      <c r="AS15" s="4" t="s">
        <v>57</v>
      </c>
      <c r="AT15" s="4" t="s">
        <v>57</v>
      </c>
      <c r="AU15" s="4" t="s">
        <v>57</v>
      </c>
      <c r="AV15" s="4" t="s">
        <v>57</v>
      </c>
      <c r="AW15" s="4" t="s">
        <v>57</v>
      </c>
      <c r="AX15" s="4" t="s">
        <v>57</v>
      </c>
      <c r="AY15" s="4" t="s">
        <v>57</v>
      </c>
      <c r="AZ15" s="4" t="s">
        <v>57</v>
      </c>
      <c r="BA15" s="4" t="s">
        <v>57</v>
      </c>
      <c r="BB15" s="4" t="s">
        <v>57</v>
      </c>
      <c r="BC15" s="4" t="s">
        <v>57</v>
      </c>
    </row>
    <row r="16" spans="1:56" x14ac:dyDescent="0.25">
      <c r="C16" s="3" t="s">
        <v>58</v>
      </c>
      <c r="D16" s="5">
        <f>JORD100!D13/'Ark1'!D$4</f>
        <v>20477.599999999999</v>
      </c>
      <c r="E16" s="5">
        <f>JORD100!E13/'Ark1'!E$4</f>
        <v>19104.092423105776</v>
      </c>
      <c r="F16" s="5">
        <f>JORD100!F13/'Ark1'!F$4</f>
        <v>20012.72580424367</v>
      </c>
      <c r="G16" s="5">
        <f>JORD100!G13/'Ark1'!G$4</f>
        <v>21810.060301507539</v>
      </c>
      <c r="H16" s="5">
        <f>JORD100!H13/'Ark1'!H$4</f>
        <v>19866.601695873374</v>
      </c>
      <c r="I16" s="5">
        <f>JORD100!I13/'Ark1'!I$4</f>
        <v>20336.630010277495</v>
      </c>
      <c r="J16" s="5">
        <f>JORD100!J13/'Ark1'!J$4</f>
        <v>21718.925832161276</v>
      </c>
      <c r="K16" s="5">
        <f>JORD100!K13/'Ark1'!K$4</f>
        <v>18531.992320534224</v>
      </c>
      <c r="L16" s="5">
        <f>JORD100!L13/'Ark1'!L$4</f>
        <v>13598.437803511393</v>
      </c>
      <c r="M16" s="5">
        <f>JORD100!M13/'Ark1'!M$4</f>
        <v>12532.992808683852</v>
      </c>
      <c r="N16" s="5">
        <f>JORD100!N13/'Ark1'!N$4</f>
        <v>11489.217005076142</v>
      </c>
      <c r="O16" s="5">
        <f>JORD100!O13/'Ark1'!O$4</f>
        <v>12678.283343283581</v>
      </c>
      <c r="P16" s="5">
        <f>JORD100!P13/'Ark1'!P$4</f>
        <v>13735.10613059595</v>
      </c>
      <c r="Q16" s="5">
        <f>JORD100!Q13/'Ark1'!Q$4</f>
        <v>15873.476017601761</v>
      </c>
      <c r="R16" s="5">
        <f>JORD100!R13/'Ark1'!R$4</f>
        <v>15223.651930195663</v>
      </c>
      <c r="S16" s="5">
        <f>JORD100!S13/'Ark1'!S$4</f>
        <v>14888.74191753099</v>
      </c>
      <c r="T16" s="5">
        <f>JORD100!T13/'Ark1'!T$4</f>
        <v>14301.020569773056</v>
      </c>
      <c r="U16" s="5">
        <f>JORD100!U13/'Ark1'!U$4</f>
        <v>12774.629404845919</v>
      </c>
      <c r="V16" s="5">
        <f>JORD100!V13/'Ark1'!V$4</f>
        <v>12670.482334022512</v>
      </c>
      <c r="W16" s="5">
        <f>JORD100!W13/'Ark1'!W$4</f>
        <v>11935.017322834647</v>
      </c>
      <c r="X16" s="5">
        <f>JORD100!X13/'Ark1'!X$4</f>
        <v>11234.213511111113</v>
      </c>
      <c r="Y16" s="5">
        <f>JORD100!Y13/'Ark1'!Y$4</f>
        <v>11844.24</v>
      </c>
      <c r="Z16" s="5">
        <f>JORD100!Z13/'Ark1'!Z$4</f>
        <v>12749.155441741359</v>
      </c>
      <c r="AA16" s="5">
        <f>JORD100!AA13/'Ark1'!AA$4</f>
        <v>12788.935506792059</v>
      </c>
      <c r="AB16" s="5">
        <f>JORD100!AB13/'Ark1'!AB$4</f>
        <v>13761.293496932514</v>
      </c>
      <c r="AC16" s="5">
        <f>JORD100!AC13/'Ark1'!AC$4</f>
        <v>14311.65140562249</v>
      </c>
      <c r="AD16" s="5">
        <f>JORD100!AD13/'Ark1'!AD$4</f>
        <v>15234.852429467084</v>
      </c>
      <c r="AE16" s="5">
        <f>JORD100!AE13/'Ark1'!AE$4</f>
        <v>16626.528155339805</v>
      </c>
      <c r="AF16" s="5">
        <f>JORD100!AF13/'Ark1'!AF$4</f>
        <v>17804.9153803236</v>
      </c>
      <c r="AG16" s="5">
        <f>JORD100!AG13/'Ark1'!AG$4</f>
        <v>18217.359288178683</v>
      </c>
      <c r="AH16" s="5">
        <f>JORD100!AH13/'Ark1'!AH$4</f>
        <v>17699.507363927427</v>
      </c>
      <c r="AI16" s="5">
        <f>JORD100!AI13/'Ark1'!AI$4</f>
        <v>20897.276455072973</v>
      </c>
      <c r="AJ16" s="5">
        <f>JORD100!AJ13/'Ark1'!AJ$4</f>
        <v>21931.955440414509</v>
      </c>
      <c r="AK16" s="5">
        <f>JORD100!AK13/'Ark1'!AK$4</f>
        <v>29742.097016949148</v>
      </c>
      <c r="AL16" s="5">
        <f>JORD100!AL13/'Ark1'!AL$4</f>
        <v>30769.422096317277</v>
      </c>
      <c r="AM16" s="5">
        <f>JORD100!AM13/'Ark1'!AM$4</f>
        <v>29385.42684931507</v>
      </c>
      <c r="AN16" s="5">
        <f>JORD100!AN13/'Ark1'!AN$4</f>
        <v>44405.587784316842</v>
      </c>
      <c r="AO16" s="5">
        <f>JORD100!AO13/'Ark1'!AO$4</f>
        <v>39099.615174129351</v>
      </c>
      <c r="AP16" s="5">
        <f>JORD100!AP13/'Ark1'!AP$4</f>
        <v>35376.398607958843</v>
      </c>
      <c r="AQ16" s="5">
        <f>JORD100!AQ13/'Ark1'!AQ$4</f>
        <v>33718.818794326246</v>
      </c>
      <c r="AR16" s="5">
        <f>JORD100!AR13/'Ark1'!AR$4</f>
        <v>33441.956370033717</v>
      </c>
      <c r="AS16" s="5">
        <f>JORD100!AS13/'Ark1'!AS$4</f>
        <v>34299.598483965019</v>
      </c>
      <c r="AT16" s="5">
        <f>JORD100!AT13/'Ark1'!AT$4</f>
        <v>37209.192453925411</v>
      </c>
      <c r="AU16" s="5">
        <f>JORD100!AU13/'Ark1'!AU$4</f>
        <v>37786.911043566361</v>
      </c>
      <c r="AV16" s="5">
        <f>JORD100!AV13/'Ark1'!AV$4</f>
        <v>35540.01900400687</v>
      </c>
      <c r="AW16" s="5">
        <f>JORD100!AW13/'Ark1'!AW$4</f>
        <v>36681.660354861611</v>
      </c>
      <c r="AX16" s="5">
        <f>JORD100!AX13/'Ark1'!AX$4</f>
        <v>35088.231839954919</v>
      </c>
      <c r="AY16" s="5">
        <f>JORD100!AY13/'Ark1'!AY$4</f>
        <v>33233.005218855222</v>
      </c>
      <c r="AZ16" s="5">
        <f>JORD100!AZ13/'Ark1'!AZ$4</f>
        <v>34916.613774104684</v>
      </c>
      <c r="BA16" s="5">
        <f>JORD100!BA13/'Ark1'!BA$4</f>
        <v>33903.118915462335</v>
      </c>
      <c r="BB16" s="5">
        <f>JORD100!BB13/'Ark1'!BB$4</f>
        <v>31603.998068589819</v>
      </c>
      <c r="BC16" s="5">
        <f>JORD100!BC13/'Ark1'!BC$4</f>
        <v>29360.465803615043</v>
      </c>
    </row>
    <row r="17" spans="1:55" x14ac:dyDescent="0.25">
      <c r="C17" s="3" t="s">
        <v>59</v>
      </c>
      <c r="D17" s="5">
        <f>JORD100!D14/'Ark1'!D$4</f>
        <v>4365.7</v>
      </c>
      <c r="E17" s="5">
        <f>JORD100!E14/'Ark1'!E$4</f>
        <v>3899.3536384096019</v>
      </c>
      <c r="F17" s="5">
        <f>JORD100!F14/'Ark1'!F$4</f>
        <v>3701.8902121834362</v>
      </c>
      <c r="G17" s="5">
        <f>JORD100!G14/'Ark1'!G$4</f>
        <v>3531.3912060301509</v>
      </c>
      <c r="H17" s="5">
        <f>JORD100!H14/'Ark1'!H$4</f>
        <v>3644.7654041831543</v>
      </c>
      <c r="I17" s="5">
        <f>JORD100!I14/'Ark1'!I$4</f>
        <v>3531.4433710174721</v>
      </c>
      <c r="J17" s="5">
        <f>JORD100!J14/'Ark1'!J$4</f>
        <v>3690.4744491326769</v>
      </c>
      <c r="K17" s="5">
        <f>JORD100!K14/'Ark1'!K$4</f>
        <v>3246.304674457429</v>
      </c>
      <c r="L17" s="5">
        <f>JORD100!L14/'Ark1'!L$4</f>
        <v>3297.8171087037726</v>
      </c>
      <c r="M17" s="5">
        <f>JORD100!M14/'Ark1'!M$4</f>
        <v>3648.0662143826321</v>
      </c>
      <c r="N17" s="5">
        <f>JORD100!N14/'Ark1'!N$4</f>
        <v>3196.9708121827412</v>
      </c>
      <c r="O17" s="5">
        <f>JORD100!O14/'Ark1'!O$4</f>
        <v>3810.7281194029852</v>
      </c>
      <c r="P17" s="5">
        <f>JORD100!P14/'Ark1'!P$4</f>
        <v>3443.2120901055032</v>
      </c>
      <c r="Q17" s="5">
        <f>JORD100!Q14/'Ark1'!Q$4</f>
        <v>3244.843674367437</v>
      </c>
      <c r="R17" s="5">
        <f>JORD100!R14/'Ark1'!R$4</f>
        <v>2806.494130089899</v>
      </c>
      <c r="S17" s="5">
        <f>JORD100!S14/'Ark1'!S$4</f>
        <v>2946.4694156336959</v>
      </c>
      <c r="T17" s="5">
        <f>JORD100!T14/'Ark1'!T$4</f>
        <v>3056.8692419121198</v>
      </c>
      <c r="U17" s="5">
        <f>JORD100!U14/'Ark1'!U$4</f>
        <v>2859.1352622912254</v>
      </c>
      <c r="V17" s="5">
        <f>JORD100!V14/'Ark1'!V$4</f>
        <v>2806.3207902595909</v>
      </c>
      <c r="W17" s="5">
        <f>JORD100!W14/'Ark1'!W$4</f>
        <v>2288.0997975253094</v>
      </c>
      <c r="X17" s="5">
        <f>JORD100!X14/'Ark1'!X$4</f>
        <v>2373.8845333333334</v>
      </c>
      <c r="Y17" s="5">
        <f>JORD100!Y14/'Ark1'!Y$4</f>
        <v>2496.9348148148147</v>
      </c>
      <c r="Z17" s="5">
        <f>JORD100!Z14/'Ark1'!Z$4</f>
        <v>2394.8392658984208</v>
      </c>
      <c r="AA17" s="5">
        <f>JORD100!AA14/'Ark1'!AA$4</f>
        <v>2362.5644305120163</v>
      </c>
      <c r="AB17" s="5">
        <f>JORD100!AB14/'Ark1'!AB$4</f>
        <v>2320.3449488752553</v>
      </c>
      <c r="AC17" s="5">
        <f>JORD100!AC14/'Ark1'!AC$4</f>
        <v>2138.1357429718873</v>
      </c>
      <c r="AD17" s="5">
        <f>JORD100!AD14/'Ark1'!AD$4</f>
        <v>2005.1300156739812</v>
      </c>
      <c r="AE17" s="5">
        <f>JORD100!AE14/'Ark1'!AE$4</f>
        <v>2112.9734627831717</v>
      </c>
      <c r="AF17" s="5">
        <f>JORD100!AF14/'Ark1'!AF$4</f>
        <v>2130.2691463641436</v>
      </c>
      <c r="AG17" s="5">
        <f>JORD100!AG14/'Ark1'!AG$4</f>
        <v>1909.4256764118395</v>
      </c>
      <c r="AH17" s="5">
        <f>JORD100!AH14/'Ark1'!AH$4</f>
        <v>1981.0122376378511</v>
      </c>
      <c r="AI17" s="5">
        <f>JORD100!AI14/'Ark1'!AI$4</f>
        <v>2015.9566731141201</v>
      </c>
      <c r="AJ17" s="5">
        <f>JORD100!AJ14/'Ark1'!AJ$4</f>
        <v>2035.8976856649397</v>
      </c>
      <c r="AK17" s="5">
        <f>JORD100!AK14/'Ark1'!AK$4</f>
        <v>2208.5086101694915</v>
      </c>
      <c r="AL17" s="5">
        <f>JORD100!AL14/'Ark1'!AL$4</f>
        <v>2454.8963172804529</v>
      </c>
      <c r="AM17" s="5">
        <f>JORD100!AM14/'Ark1'!AM$4</f>
        <v>2356.0602739726028</v>
      </c>
      <c r="AN17" s="5">
        <f>JORD100!AN14/'Ark1'!AN$4</f>
        <v>2024.4801654207092</v>
      </c>
      <c r="AO17" s="5">
        <f>JORD100!AO14/'Ark1'!AO$4</f>
        <v>2333.1178482587065</v>
      </c>
      <c r="AP17" s="5">
        <f>JORD100!AP14/'Ark1'!AP$4</f>
        <v>2320.3433499773037</v>
      </c>
      <c r="AQ17" s="5">
        <f>JORD100!AQ14/'Ark1'!AQ$4</f>
        <v>2611.9826832151298</v>
      </c>
      <c r="AR17" s="5">
        <f>JORD100!AR14/'Ark1'!AR$4</f>
        <v>2423.4647705615012</v>
      </c>
      <c r="AS17" s="5">
        <f>JORD100!AS14/'Ark1'!AS$4</f>
        <v>2268.2202915451899</v>
      </c>
      <c r="AT17" s="5">
        <f>JORD100!AT14/'Ark1'!AT$4</f>
        <v>2341.6590915687125</v>
      </c>
      <c r="AU17" s="5">
        <f>JORD100!AU14/'Ark1'!AU$4</f>
        <v>2325.7200752641484</v>
      </c>
      <c r="AV17" s="5">
        <f>JORD100!AV14/'Ark1'!AV$4</f>
        <v>2280.717859187178</v>
      </c>
      <c r="AW17" s="5">
        <f>JORD100!AW14/'Ark1'!AW$4</f>
        <v>2310.5396167494678</v>
      </c>
      <c r="AX17" s="5">
        <f>JORD100!AX14/'Ark1'!AX$4</f>
        <v>2277.3102282333052</v>
      </c>
      <c r="AY17" s="5">
        <f>JORD100!AY14/'Ark1'!AY$4</f>
        <v>2331.9640291806959</v>
      </c>
      <c r="AZ17" s="5">
        <f>JORD100!AZ14/'Ark1'!AZ$4</f>
        <v>2671.8567493112951</v>
      </c>
      <c r="BA17" s="5">
        <f>JORD100!BA14/'Ark1'!BA$4</f>
        <v>2972.0983245939378</v>
      </c>
      <c r="BB17" s="5">
        <f>JORD100!BB14/'Ark1'!BB$4</f>
        <v>2299.7916553175683</v>
      </c>
      <c r="BC17" s="5">
        <f>JORD100!BC14/'Ark1'!BC$4</f>
        <v>2156.8266243282851</v>
      </c>
    </row>
    <row r="18" spans="1:55" x14ac:dyDescent="0.25">
      <c r="C18" s="3" t="s">
        <v>60</v>
      </c>
      <c r="D18" s="5">
        <f>JORD100!D15/'Ark1'!D$4</f>
        <v>4276.1000000000004</v>
      </c>
      <c r="E18" s="5">
        <f>JORD100!E15/'Ark1'!E$4</f>
        <v>4019.5498874718678</v>
      </c>
      <c r="F18" s="5">
        <f>JORD100!F15/'Ark1'!F$4</f>
        <v>4120.0599589322383</v>
      </c>
      <c r="G18" s="5">
        <f>JORD100!G15/'Ark1'!G$4</f>
        <v>4173.9442211055275</v>
      </c>
      <c r="H18" s="5">
        <f>JORD100!H15/'Ark1'!H$4</f>
        <v>3971.503674392312</v>
      </c>
      <c r="I18" s="5">
        <f>JORD100!I15/'Ark1'!I$4</f>
        <v>4432.7788283658792</v>
      </c>
      <c r="J18" s="5">
        <f>JORD100!J15/'Ark1'!J$4</f>
        <v>4660.0945147679322</v>
      </c>
      <c r="K18" s="5">
        <f>JORD100!K15/'Ark1'!K$4</f>
        <v>4310.2974958263767</v>
      </c>
      <c r="L18" s="5">
        <f>JORD100!L15/'Ark1'!L$4</f>
        <v>4134.0062756817333</v>
      </c>
      <c r="M18" s="5">
        <f>JORD100!M15/'Ark1'!M$4</f>
        <v>4321.0401628222517</v>
      </c>
      <c r="N18" s="5">
        <f>JORD100!N15/'Ark1'!N$4</f>
        <v>4274.1559644670051</v>
      </c>
      <c r="O18" s="5">
        <f>JORD100!O15/'Ark1'!O$4</f>
        <v>4234.6177910447759</v>
      </c>
      <c r="P18" s="5">
        <f>JORD100!P15/'Ark1'!P$4</f>
        <v>4193.804505275164</v>
      </c>
      <c r="Q18" s="5">
        <f>JORD100!Q15/'Ark1'!Q$4</f>
        <v>4057.9542354235423</v>
      </c>
      <c r="R18" s="5">
        <f>JORD100!R15/'Ark1'!R$4</f>
        <v>3880.9444738233738</v>
      </c>
      <c r="S18" s="5">
        <f>JORD100!S15/'Ark1'!S$4</f>
        <v>4029.5066025803185</v>
      </c>
      <c r="T18" s="5">
        <f>JORD100!T15/'Ark1'!T$4</f>
        <v>3979.5202317720905</v>
      </c>
      <c r="U18" s="5">
        <f>JORD100!U15/'Ark1'!U$4</f>
        <v>3472.8948482709952</v>
      </c>
      <c r="V18" s="5">
        <f>JORD100!V15/'Ark1'!V$4</f>
        <v>3427.634275212497</v>
      </c>
      <c r="W18" s="5">
        <f>JORD100!W15/'Ark1'!W$4</f>
        <v>3185.5146906636669</v>
      </c>
      <c r="X18" s="5">
        <f>JORD100!X15/'Ark1'!X$4</f>
        <v>3088.4980444444445</v>
      </c>
      <c r="Y18" s="5">
        <f>JORD100!Y15/'Ark1'!Y$4</f>
        <v>3197.3096296296299</v>
      </c>
      <c r="Z18" s="5">
        <f>JORD100!Z15/'Ark1'!Z$4</f>
        <v>3080.8411438326934</v>
      </c>
      <c r="AA18" s="5">
        <f>JORD100!AA15/'Ark1'!AA$4</f>
        <v>3075.3465412748174</v>
      </c>
      <c r="AB18" s="5">
        <f>JORD100!AB15/'Ark1'!AB$4</f>
        <v>3060.444989775051</v>
      </c>
      <c r="AC18" s="5">
        <f>JORD100!AC15/'Ark1'!AC$4</f>
        <v>2741.4609638554216</v>
      </c>
      <c r="AD18" s="5">
        <f>JORD100!AD15/'Ark1'!AD$4</f>
        <v>2583.832131661442</v>
      </c>
      <c r="AE18" s="5">
        <f>JORD100!AE15/'Ark1'!AE$4</f>
        <v>2764.2330097087379</v>
      </c>
      <c r="AF18" s="5">
        <f>JORD100!AF15/'Ark1'!AF$4</f>
        <v>2791.448688859959</v>
      </c>
      <c r="AG18" s="5">
        <f>JORD100!AG15/'Ark1'!AG$4</f>
        <v>2731.3045215180678</v>
      </c>
      <c r="AH18" s="5">
        <f>JORD100!AH15/'Ark1'!AH$4</f>
        <v>2676.9151903237284</v>
      </c>
      <c r="AI18" s="5">
        <f>JORD100!AI15/'Ark1'!AI$4</f>
        <v>2753.666397045894</v>
      </c>
      <c r="AJ18" s="5">
        <f>JORD100!AJ15/'Ark1'!AJ$4</f>
        <v>2760.8234887737476</v>
      </c>
      <c r="AK18" s="5">
        <f>JORD100!AK15/'Ark1'!AK$4</f>
        <v>2807.9044067796608</v>
      </c>
      <c r="AL18" s="5">
        <f>JORD100!AL15/'Ark1'!AL$4</f>
        <v>3030.0453257790368</v>
      </c>
      <c r="AM18" s="5">
        <f>JORD100!AM15/'Ark1'!AM$4</f>
        <v>2919.3424657534247</v>
      </c>
      <c r="AN18" s="5">
        <f>JORD100!AN15/'Ark1'!AN$4</f>
        <v>3169.8891681247019</v>
      </c>
      <c r="AO18" s="5">
        <f>JORD100!AO15/'Ark1'!AO$4</f>
        <v>2916.5455845771144</v>
      </c>
      <c r="AP18" s="5">
        <f>JORD100!AP15/'Ark1'!AP$4</f>
        <v>2774.1201392041153</v>
      </c>
      <c r="AQ18" s="5">
        <f>JORD100!AQ15/'Ark1'!AQ$4</f>
        <v>2748.0278959810876</v>
      </c>
      <c r="AR18" s="5">
        <f>JORD100!AR15/'Ark1'!AR$4</f>
        <v>2808.4647998827154</v>
      </c>
      <c r="AS18" s="5">
        <f>JORD100!AS15/'Ark1'!AS$4</f>
        <v>2767.5415160349853</v>
      </c>
      <c r="AT18" s="5">
        <f>JORD100!AT15/'Ark1'!AT$4</f>
        <v>2656.4178783921056</v>
      </c>
      <c r="AU18" s="5">
        <f>JORD100!AU15/'Ark1'!AU$4</f>
        <v>2870.8922854248081</v>
      </c>
      <c r="AV18" s="5">
        <f>JORD100!AV15/'Ark1'!AV$4</f>
        <v>2769.7680595306242</v>
      </c>
      <c r="AW18" s="5">
        <f>JORD100!AW15/'Ark1'!AW$4</f>
        <v>2839.6085734563526</v>
      </c>
      <c r="AX18" s="5">
        <f>JORD100!AX15/'Ark1'!AX$4</f>
        <v>2648.0999154691463</v>
      </c>
      <c r="AY18" s="5">
        <f>JORD100!AY15/'Ark1'!AY$4</f>
        <v>2333.0668350168348</v>
      </c>
      <c r="AZ18" s="5">
        <f>JORD100!AZ15/'Ark1'!AZ$4</f>
        <v>2393.2862258953169</v>
      </c>
      <c r="BA18" s="5">
        <f>JORD100!BA15/'Ark1'!BA$4</f>
        <v>2392.0432791917124</v>
      </c>
      <c r="BB18" s="5">
        <f>JORD100!BB15/'Ark1'!BB$4</f>
        <v>2420.7873715488422</v>
      </c>
      <c r="BC18" s="5">
        <f>JORD100!BC15/'Ark1'!BC$4</f>
        <v>2201.7931607230089</v>
      </c>
    </row>
    <row r="19" spans="1:55" x14ac:dyDescent="0.25">
      <c r="C19" s="3" t="s">
        <v>61</v>
      </c>
      <c r="D19" s="5">
        <f>JORD100!D16/'Ark1'!D$4</f>
        <v>22.4</v>
      </c>
      <c r="E19" s="5">
        <f>JORD100!E16/'Ark1'!E$4</f>
        <v>31.653413353338333</v>
      </c>
      <c r="F19" s="5">
        <f>JORD100!F16/'Ark1'!F$4</f>
        <v>28.247227926078033</v>
      </c>
      <c r="G19" s="5">
        <f>JORD100!G16/'Ark1'!G$4</f>
        <v>31.36884422110553</v>
      </c>
      <c r="H19" s="5">
        <f>JORD100!H16/'Ark1'!H$4</f>
        <v>23.002374222724704</v>
      </c>
      <c r="I19" s="5">
        <f>JORD100!I16/'Ark1'!I$4</f>
        <v>20.494347379239468</v>
      </c>
      <c r="J19" s="5">
        <f>JORD100!J16/'Ark1'!J$4</f>
        <v>18.426629160806375</v>
      </c>
      <c r="K19" s="5">
        <f>JORD100!K16/'Ark1'!K$4</f>
        <v>19.154090150250418</v>
      </c>
      <c r="L19" s="5">
        <f>JORD100!L16/'Ark1'!L$4</f>
        <v>16.495778856929402</v>
      </c>
      <c r="M19" s="5">
        <f>JORD100!M16/'Ark1'!M$4</f>
        <v>32.899728629579378</v>
      </c>
      <c r="N19" s="5">
        <f>JORD100!N16/'Ark1'!N$4</f>
        <v>30.000253807106599</v>
      </c>
      <c r="O19" s="5">
        <f>JORD100!O16/'Ark1'!O$4</f>
        <v>61.76835820895522</v>
      </c>
      <c r="P19" s="5">
        <f>JORD100!P16/'Ark1'!P$4</f>
        <v>59.563501568291983</v>
      </c>
      <c r="Q19" s="5">
        <f>JORD100!Q16/'Ark1'!Q$4</f>
        <v>40.47271727172717</v>
      </c>
      <c r="R19" s="5">
        <f>JORD100!R16/'Ark1'!R$4</f>
        <v>44.473294553146481</v>
      </c>
      <c r="S19" s="5">
        <f>JORD100!S16/'Ark1'!S$4</f>
        <v>69.716772071844161</v>
      </c>
      <c r="T19" s="5">
        <f>JORD100!T16/'Ark1'!T$4</f>
        <v>60.758377595364557</v>
      </c>
      <c r="U19" s="5">
        <f>JORD100!U16/'Ark1'!U$4</f>
        <v>43.210632792284173</v>
      </c>
      <c r="V19" s="5">
        <f>JORD100!V16/'Ark1'!V$4</f>
        <v>39.515920055134394</v>
      </c>
      <c r="W19" s="5">
        <f>JORD100!W16/'Ark1'!W$4</f>
        <v>19.531068616422946</v>
      </c>
      <c r="X19" s="5">
        <f>JORD100!X16/'Ark1'!X$4</f>
        <v>19.857511111111112</v>
      </c>
      <c r="Y19" s="5">
        <f>JORD100!Y16/'Ark1'!Y$4</f>
        <v>21.583703703703705</v>
      </c>
      <c r="Z19" s="5">
        <f>JORD100!Z16/'Ark1'!Z$4</f>
        <v>14.653521126760564</v>
      </c>
      <c r="AA19" s="5">
        <f>JORD100!AA16/'Ark1'!AA$4</f>
        <v>21.767105538140019</v>
      </c>
      <c r="AB19" s="5">
        <f>JORD100!AB16/'Ark1'!AB$4</f>
        <v>17.044498977505111</v>
      </c>
      <c r="AC19" s="5">
        <f>JORD100!AC16/'Ark1'!AC$4</f>
        <v>22.539678714859438</v>
      </c>
      <c r="AD19" s="5">
        <f>JORD100!AD16/'Ark1'!AD$4</f>
        <v>21.267319749216302</v>
      </c>
      <c r="AE19" s="5">
        <f>JORD100!AE16/'Ark1'!AE$4</f>
        <v>19.673786407766993</v>
      </c>
      <c r="AF19" s="5">
        <f>JORD100!AF16/'Ark1'!AF$4</f>
        <v>20.467026222800818</v>
      </c>
      <c r="AG19" s="5">
        <f>JORD100!AG16/'Ark1'!AG$4</f>
        <v>18.577446885781733</v>
      </c>
      <c r="AH19" s="5">
        <f>JORD100!AH16/'Ark1'!AH$4</f>
        <v>14.578512984702954</v>
      </c>
      <c r="AI19" s="5">
        <f>JORD100!AI16/'Ark1'!AI$4</f>
        <v>16.749498857042379</v>
      </c>
      <c r="AJ19" s="5">
        <f>JORD100!AJ16/'Ark1'!AJ$4</f>
        <v>12.877720207253885</v>
      </c>
      <c r="AK19" s="5">
        <f>JORD100!AK16/'Ark1'!AK$4</f>
        <v>17.751457627118644</v>
      </c>
      <c r="AL19" s="5">
        <f>JORD100!AL16/'Ark1'!AL$4</f>
        <v>25.3699716713881</v>
      </c>
      <c r="AM19" s="5">
        <f>JORD100!AM16/'Ark1'!AM$4</f>
        <v>10.656438356164385</v>
      </c>
      <c r="AN19" s="5">
        <f>JORD100!AN16/'Ark1'!AN$4</f>
        <v>13.220359471926198</v>
      </c>
      <c r="AO19" s="5">
        <f>JORD100!AO16/'Ark1'!AO$4</f>
        <v>30.409701492537312</v>
      </c>
      <c r="AP19" s="5">
        <f>JORD100!AP16/'Ark1'!AP$4</f>
        <v>19.485307913451354</v>
      </c>
      <c r="AQ19" s="5">
        <f>JORD100!AQ16/'Ark1'!AQ$4</f>
        <v>16.1580378250591</v>
      </c>
      <c r="AR19" s="5">
        <f>JORD100!AR16/'Ark1'!AR$4</f>
        <v>13.286966720422226</v>
      </c>
      <c r="AS19" s="5">
        <f>JORD100!AS16/'Ark1'!AS$4</f>
        <v>20.103615160349854</v>
      </c>
      <c r="AT19" s="5">
        <f>JORD100!AT16/'Ark1'!AT$4</f>
        <v>31.554723552459727</v>
      </c>
      <c r="AU19" s="5">
        <f>JORD100!AU16/'Ark1'!AU$4</f>
        <v>17.200289477493126</v>
      </c>
      <c r="AV19" s="5">
        <f>JORD100!AV16/'Ark1'!AV$4</f>
        <v>14.458271322266745</v>
      </c>
      <c r="AW19" s="5">
        <f>JORD100!AW16/'Ark1'!AW$4</f>
        <v>20.396139105748759</v>
      </c>
      <c r="AX19" s="5">
        <f>JORD100!AX16/'Ark1'!AX$4</f>
        <v>16.204846435615668</v>
      </c>
      <c r="AY19" s="5">
        <f>JORD100!AY16/'Ark1'!AY$4</f>
        <v>16.412345679012347</v>
      </c>
      <c r="AZ19" s="5">
        <f>JORD100!AZ16/'Ark1'!AZ$4</f>
        <v>24.79190082644628</v>
      </c>
      <c r="BA19" s="5">
        <f>JORD100!BA16/'Ark1'!BA$4</f>
        <v>20.343471032101291</v>
      </c>
      <c r="BB19" s="5">
        <f>JORD100!BB16/'Ark1'!BB$4</f>
        <v>15.242540547232883</v>
      </c>
      <c r="BC19" s="5">
        <f>JORD100!BC16/'Ark1'!BC$4</f>
        <v>15.417098192476795</v>
      </c>
    </row>
    <row r="20" spans="1:55" x14ac:dyDescent="0.25">
      <c r="C20" s="3" t="s">
        <v>62</v>
      </c>
      <c r="D20" s="5">
        <f>JORD100!D17/'Ark1'!D$4</f>
        <v>1380.6</v>
      </c>
      <c r="E20" s="5">
        <f>JORD100!E17/'Ark1'!E$4</f>
        <v>1379.9153788447111</v>
      </c>
      <c r="F20" s="5">
        <f>JORD100!F17/'Ark1'!F$4</f>
        <v>1458.1741273100617</v>
      </c>
      <c r="G20" s="5">
        <f>JORD100!G17/'Ark1'!G$4</f>
        <v>1478.4020100502512</v>
      </c>
      <c r="H20" s="5">
        <f>JORD100!H17/'Ark1'!H$4</f>
        <v>1472.6093838326738</v>
      </c>
      <c r="I20" s="5">
        <f>JORD100!I17/'Ark1'!I$4</f>
        <v>1823.1058581706066</v>
      </c>
      <c r="J20" s="5">
        <f>JORD100!J17/'Ark1'!J$4</f>
        <v>1865.5336146272855</v>
      </c>
      <c r="K20" s="5">
        <f>JORD100!K17/'Ark1'!K$4</f>
        <v>1588.0043405676126</v>
      </c>
      <c r="L20" s="5">
        <f>JORD100!L17/'Ark1'!L$4</f>
        <v>1474.2562570041091</v>
      </c>
      <c r="M20" s="5">
        <f>JORD100!M17/'Ark1'!M$4</f>
        <v>1573.5795115332428</v>
      </c>
      <c r="N20" s="5">
        <f>JORD100!N17/'Ark1'!N$4</f>
        <v>1568.4851522842639</v>
      </c>
      <c r="O20" s="5">
        <f>JORD100!O17/'Ark1'!O$4</f>
        <v>1465.4974328358207</v>
      </c>
      <c r="P20" s="5">
        <f>JORD100!P17/'Ark1'!P$4</f>
        <v>1409.8453378956374</v>
      </c>
      <c r="Q20" s="5">
        <f>JORD100!Q17/'Ark1'!Q$4</f>
        <v>1433.5862486248625</v>
      </c>
      <c r="R20" s="5">
        <f>JORD100!R17/'Ark1'!R$4</f>
        <v>1393.0686409307245</v>
      </c>
      <c r="S20" s="5">
        <f>JORD100!S17/'Ark1'!S$4</f>
        <v>1378.8655704528207</v>
      </c>
      <c r="T20" s="5">
        <f>JORD100!T17/'Ark1'!T$4</f>
        <v>1370.8451955577016</v>
      </c>
      <c r="U20" s="5">
        <f>JORD100!U17/'Ark1'!U$4</f>
        <v>1063.5961420842154</v>
      </c>
      <c r="V20" s="5">
        <f>JORD100!V17/'Ark1'!V$4</f>
        <v>1074.6046404778313</v>
      </c>
      <c r="W20" s="5">
        <f>JORD100!W17/'Ark1'!W$4</f>
        <v>1051.2708211473566</v>
      </c>
      <c r="X20" s="5">
        <f>JORD100!X17/'Ark1'!X$4</f>
        <v>1033.3869333333332</v>
      </c>
      <c r="Y20" s="5">
        <f>JORD100!Y17/'Ark1'!Y$4</f>
        <v>1156.1259259259259</v>
      </c>
      <c r="Z20" s="5">
        <f>JORD100!Z17/'Ark1'!Z$4</f>
        <v>1190.6602646180113</v>
      </c>
      <c r="AA20" s="5">
        <f>JORD100!AA17/'Ark1'!AA$4</f>
        <v>1184.0000835945661</v>
      </c>
      <c r="AB20" s="5">
        <f>JORD100!AB17/'Ark1'!AB$4</f>
        <v>1167.0871983640081</v>
      </c>
      <c r="AC20" s="5">
        <f>JORD100!AC17/'Ark1'!AC$4</f>
        <v>849.17253012048184</v>
      </c>
      <c r="AD20" s="5">
        <f>JORD100!AD17/'Ark1'!AD$4</f>
        <v>833.84200626959239</v>
      </c>
      <c r="AE20" s="5">
        <f>JORD100!AE17/'Ark1'!AE$4</f>
        <v>959.87831715210359</v>
      </c>
      <c r="AF20" s="5">
        <f>JORD100!AF17/'Ark1'!AF$4</f>
        <v>934.17355402640874</v>
      </c>
      <c r="AG20" s="5">
        <f>JORD100!AG17/'Ark1'!AG$4</f>
        <v>917.15910659161057</v>
      </c>
      <c r="AH20" s="5">
        <f>JORD100!AH17/'Ark1'!AH$4</f>
        <v>903.8061188189256</v>
      </c>
      <c r="AI20" s="5">
        <f>JORD100!AI17/'Ark1'!AI$4</f>
        <v>912.05493230174079</v>
      </c>
      <c r="AJ20" s="5">
        <f>JORD100!AJ17/'Ark1'!AJ$4</f>
        <v>869.45575129533677</v>
      </c>
      <c r="AK20" s="5">
        <f>JORD100!AK17/'Ark1'!AK$4</f>
        <v>861.55308474576259</v>
      </c>
      <c r="AL20" s="5">
        <f>JORD100!AL17/'Ark1'!AL$4</f>
        <v>891.18526912181301</v>
      </c>
      <c r="AM20" s="5">
        <f>JORD100!AM17/'Ark1'!AM$4</f>
        <v>807.29972602739736</v>
      </c>
      <c r="AN20" s="5">
        <f>JORD100!AN17/'Ark1'!AN$4</f>
        <v>885.35956736122159</v>
      </c>
      <c r="AO20" s="5">
        <f>JORD100!AO17/'Ark1'!AO$4</f>
        <v>773.09297263681594</v>
      </c>
      <c r="AP20" s="5">
        <f>JORD100!AP17/'Ark1'!AP$4</f>
        <v>701.15624148887878</v>
      </c>
      <c r="AQ20" s="5">
        <f>JORD100!AQ17/'Ark1'!AQ$4</f>
        <v>675.87056737588648</v>
      </c>
      <c r="AR20" s="5">
        <f>JORD100!AR17/'Ark1'!AR$4</f>
        <v>685.97355226506374</v>
      </c>
      <c r="AS20" s="5">
        <f>JORD100!AS17/'Ark1'!AS$4</f>
        <v>705.64868804664729</v>
      </c>
      <c r="AT20" s="5">
        <f>JORD100!AT17/'Ark1'!AT$4</f>
        <v>645.94079233783191</v>
      </c>
      <c r="AU20" s="5">
        <f>JORD100!AU17/'Ark1'!AU$4</f>
        <v>760.82836879432625</v>
      </c>
      <c r="AV20" s="5">
        <f>JORD100!AV17/'Ark1'!AV$4</f>
        <v>767.01625643961086</v>
      </c>
      <c r="AW20" s="5">
        <f>JORD100!AW17/'Ark1'!AW$4</f>
        <v>753.03267565649401</v>
      </c>
      <c r="AX20" s="5">
        <f>JORD100!AX17/'Ark1'!AX$4</f>
        <v>645.91377852916321</v>
      </c>
      <c r="AY20" s="5">
        <f>JORD100!AY17/'Ark1'!AY$4</f>
        <v>534.65</v>
      </c>
      <c r="AZ20" s="5">
        <f>JORD100!AZ17/'Ark1'!AZ$4</f>
        <v>500.04165289256201</v>
      </c>
      <c r="BA20" s="5">
        <f>JORD100!BA17/'Ark1'!BA$4</f>
        <v>445.08735132369867</v>
      </c>
      <c r="BB20" s="5">
        <f>JORD100!BB17/'Ark1'!BB$4</f>
        <v>434.77736783459204</v>
      </c>
      <c r="BC20" s="5">
        <f>JORD100!BC17/'Ark1'!BC$4</f>
        <v>398.13385442110405</v>
      </c>
    </row>
    <row r="21" spans="1:55" x14ac:dyDescent="0.25">
      <c r="C21" s="3" t="s">
        <v>63</v>
      </c>
      <c r="D21" s="5">
        <f>JORD100!D18/'Ark1'!D$4</f>
        <v>89.6</v>
      </c>
      <c r="E21" s="5">
        <f>JORD100!E18/'Ark1'!E$4</f>
        <v>-120.28297074268565</v>
      </c>
      <c r="F21" s="5">
        <f>JORD100!F18/'Ark1'!F$4</f>
        <v>-418.24887063655035</v>
      </c>
      <c r="G21" s="5">
        <f>JORD100!G18/'Ark1'!G$4</f>
        <v>-642.55301507537683</v>
      </c>
      <c r="H21" s="5">
        <f>JORD100!H18/'Ark1'!H$4</f>
        <v>-326.73827020915769</v>
      </c>
      <c r="I21" s="5">
        <f>JORD100!I18/'Ark1'!I$4</f>
        <v>-901.27605344296001</v>
      </c>
      <c r="J21" s="5">
        <f>JORD100!J18/'Ark1'!J$4</f>
        <v>-969.6200656352554</v>
      </c>
      <c r="K21" s="5">
        <f>JORD100!K18/'Ark1'!K$4</f>
        <v>-1063.9928213689484</v>
      </c>
      <c r="L21" s="5">
        <f>JORD100!L18/'Ark1'!L$4</f>
        <v>-836.14598431079571</v>
      </c>
      <c r="M21" s="5">
        <f>JORD100!M18/'Ark1'!M$4</f>
        <v>-672.9347354138398</v>
      </c>
      <c r="N21" s="5">
        <f>JORD100!N18/'Ark1'!N$4</f>
        <v>-1077.1851522842639</v>
      </c>
      <c r="O21" s="5">
        <f>JORD100!O18/'Ark1'!O$4</f>
        <v>-423.88967164179104</v>
      </c>
      <c r="P21" s="5">
        <f>JORD100!P18/'Ark1'!P$4</f>
        <v>-750.59241516966063</v>
      </c>
      <c r="Q21" s="5">
        <f>JORD100!Q18/'Ark1'!Q$4</f>
        <v>-813.14235423542357</v>
      </c>
      <c r="R21" s="5">
        <f>JORD100!R18/'Ark1'!R$4</f>
        <v>-1074.4503437334743</v>
      </c>
      <c r="S21" s="5">
        <f>JORD100!S18/'Ark1'!S$4</f>
        <v>-1083.0371869466228</v>
      </c>
      <c r="T21" s="5">
        <f>JORD100!T18/'Ark1'!T$4</f>
        <v>-922.65098985997111</v>
      </c>
      <c r="U21" s="5">
        <f>JORD100!U18/'Ark1'!U$4</f>
        <v>-613.75958597976944</v>
      </c>
      <c r="V21" s="5">
        <f>JORD100!V18/'Ark1'!V$4</f>
        <v>-621.28692855501947</v>
      </c>
      <c r="W21" s="5">
        <f>JORD100!W18/'Ark1'!W$4</f>
        <v>-897.41489313835768</v>
      </c>
      <c r="X21" s="5">
        <f>JORD100!X18/'Ark1'!X$4</f>
        <v>-714.61351111111117</v>
      </c>
      <c r="Y21" s="5">
        <f>JORD100!Y18/'Ark1'!Y$4</f>
        <v>-700.4</v>
      </c>
      <c r="Z21" s="5">
        <f>JORD100!Z18/'Ark1'!Z$4</f>
        <v>-686.00187793427244</v>
      </c>
      <c r="AA21" s="5">
        <f>JORD100!AA18/'Ark1'!AA$4</f>
        <v>-712.8062695924765</v>
      </c>
      <c r="AB21" s="5">
        <f>JORD100!AB18/'Ark1'!AB$4</f>
        <v>-740.07640081799593</v>
      </c>
      <c r="AC21" s="5">
        <f>JORD100!AC18/'Ark1'!AC$4</f>
        <v>-603.3484337349397</v>
      </c>
      <c r="AD21" s="5">
        <f>JORD100!AD18/'Ark1'!AD$4</f>
        <v>-578.70211598746073</v>
      </c>
      <c r="AE21" s="5">
        <f>JORD100!AE18/'Ark1'!AE$4</f>
        <v>-651.25954692556638</v>
      </c>
      <c r="AF21" s="5">
        <f>JORD100!AF18/'Ark1'!AF$4</f>
        <v>-661.17954249581555</v>
      </c>
      <c r="AG21" s="5">
        <f>JORD100!AG18/'Ark1'!AG$4</f>
        <v>-821.89983657163611</v>
      </c>
      <c r="AH21" s="5">
        <f>JORD100!AH18/'Ark1'!AH$4</f>
        <v>-695.8823906083245</v>
      </c>
      <c r="AI21" s="5">
        <f>JORD100!AI18/'Ark1'!AI$4</f>
        <v>-737.70972393177419</v>
      </c>
      <c r="AJ21" s="5">
        <f>JORD100!AJ18/'Ark1'!AJ$4</f>
        <v>-724.90583765112262</v>
      </c>
      <c r="AK21" s="5">
        <f>JORD100!AK18/'Ark1'!AK$4</f>
        <v>-599.39579661016944</v>
      </c>
      <c r="AL21" s="5">
        <f>JORD100!AL18/'Ark1'!AL$4</f>
        <v>-575.1682719546742</v>
      </c>
      <c r="AM21" s="5">
        <f>JORD100!AM18/'Ark1'!AM$4</f>
        <v>-563.30082191780821</v>
      </c>
      <c r="AN21" s="5">
        <f>JORD100!AN18/'Ark1'!AN$4</f>
        <v>-1145.4273898520757</v>
      </c>
      <c r="AO21" s="5">
        <f>JORD100!AO18/'Ark1'!AO$4</f>
        <v>-583.42773631840794</v>
      </c>
      <c r="AP21" s="5">
        <f>JORD100!AP18/'Ark1'!AP$4</f>
        <v>-453.77678922681196</v>
      </c>
      <c r="AQ21" s="5">
        <f>JORD100!AQ18/'Ark1'!AQ$4</f>
        <v>-136.06229314420804</v>
      </c>
      <c r="AR21" s="5">
        <f>JORD100!AR18/'Ark1'!AR$4</f>
        <v>-385.00002932121384</v>
      </c>
      <c r="AS21" s="5">
        <f>JORD100!AS18/'Ark1'!AS$4</f>
        <v>-499.32122448979595</v>
      </c>
      <c r="AT21" s="5">
        <f>JORD100!AT18/'Ark1'!AT$4</f>
        <v>-314.75878682339282</v>
      </c>
      <c r="AU21" s="5">
        <f>JORD100!AU18/'Ark1'!AU$4</f>
        <v>-545.17221016066003</v>
      </c>
      <c r="AV21" s="5">
        <f>JORD100!AV18/'Ark1'!AV$4</f>
        <v>-489.05020034344597</v>
      </c>
      <c r="AW21" s="5">
        <f>JORD100!AW18/'Ark1'!AW$4</f>
        <v>-529.06895670688436</v>
      </c>
      <c r="AX21" s="5">
        <f>JORD100!AX18/'Ark1'!AX$4</f>
        <v>-370.78968723584109</v>
      </c>
      <c r="AY21" s="5">
        <f>JORD100!AY18/'Ark1'!AY$4</f>
        <v>-1.119023569023569</v>
      </c>
      <c r="AZ21" s="5">
        <f>JORD100!AZ18/'Ark1'!AZ$4</f>
        <v>278.58644628099177</v>
      </c>
      <c r="BA21" s="5">
        <f>JORD100!BA18/'Ark1'!BA$4</f>
        <v>580.04026090292882</v>
      </c>
      <c r="BB21" s="5">
        <f>JORD100!BB18/'Ark1'!BB$4</f>
        <v>-120.99571623127397</v>
      </c>
      <c r="BC21" s="5">
        <f>JORD100!BC18/'Ark1'!BC$4</f>
        <v>-44.966536394723981</v>
      </c>
    </row>
    <row r="22" spans="1:55" x14ac:dyDescent="0.25">
      <c r="C22" s="3" t="s">
        <v>64</v>
      </c>
      <c r="D22" s="5">
        <f>JORD100!D19</f>
        <v>0.4</v>
      </c>
      <c r="E22" s="5">
        <f>JORD100!E19</f>
        <v>-0.6</v>
      </c>
      <c r="F22" s="5">
        <f>JORD100!F19</f>
        <v>-2.1</v>
      </c>
      <c r="G22" s="5">
        <f>JORD100!G19</f>
        <v>-3</v>
      </c>
      <c r="H22" s="5">
        <f>JORD100!H19</f>
        <v>-1.6</v>
      </c>
      <c r="I22" s="5">
        <f>JORD100!I19</f>
        <v>-4.4000000000000004</v>
      </c>
      <c r="J22" s="5">
        <f>JORD100!J19</f>
        <v>-4.5</v>
      </c>
      <c r="K22" s="5">
        <f>JORD100!K19</f>
        <v>-5.7</v>
      </c>
      <c r="L22" s="5">
        <f>JORD100!L19</f>
        <v>-6.2</v>
      </c>
      <c r="M22" s="5">
        <f>JORD100!M19</f>
        <v>-5.4</v>
      </c>
      <c r="N22" s="5">
        <f>JORD100!N19</f>
        <v>-9.4</v>
      </c>
      <c r="O22" s="5">
        <f>JORD100!O19</f>
        <v>-3.3</v>
      </c>
      <c r="P22" s="5">
        <f>JORD100!P19</f>
        <v>-5.5</v>
      </c>
      <c r="Q22" s="5">
        <f>JORD100!Q19</f>
        <v>-5.0999999999999996</v>
      </c>
      <c r="R22" s="5">
        <f>JORD100!R19</f>
        <v>-7.1</v>
      </c>
      <c r="S22" s="5">
        <f>JORD100!S19</f>
        <v>-7.3</v>
      </c>
      <c r="T22" s="5">
        <f>JORD100!T19</f>
        <v>-6.5</v>
      </c>
      <c r="U22" s="5">
        <f>JORD100!U19</f>
        <v>-4.8</v>
      </c>
      <c r="V22" s="5">
        <f>JORD100!V19</f>
        <v>-4.9000000000000004</v>
      </c>
      <c r="W22" s="5">
        <f>JORD100!W19</f>
        <v>-7.5</v>
      </c>
      <c r="X22" s="5">
        <f>JORD100!X19</f>
        <v>-6.4</v>
      </c>
      <c r="Y22" s="5">
        <f>JORD100!Y19</f>
        <v>-5.9</v>
      </c>
      <c r="Z22" s="5">
        <f>JORD100!Z19</f>
        <v>-5.4</v>
      </c>
      <c r="AA22" s="5">
        <f>JORD100!AA19</f>
        <v>-5.6</v>
      </c>
      <c r="AB22" s="5">
        <f>JORD100!AB19</f>
        <v>-5.4</v>
      </c>
      <c r="AC22" s="5">
        <f>JORD100!AC19</f>
        <v>-4.2</v>
      </c>
      <c r="AD22" s="5">
        <f>JORD100!AD19</f>
        <v>-3.8</v>
      </c>
      <c r="AE22" s="5">
        <f>JORD100!AE19</f>
        <v>-3.9</v>
      </c>
      <c r="AF22" s="5">
        <f>JORD100!AF19</f>
        <v>-3.7</v>
      </c>
      <c r="AG22" s="5">
        <f>JORD100!AG19</f>
        <v>-4.5</v>
      </c>
      <c r="AH22" s="5">
        <f>JORD100!AH19</f>
        <v>-3.9</v>
      </c>
      <c r="AI22" s="5">
        <f>JORD100!AI19</f>
        <v>-3.5</v>
      </c>
      <c r="AJ22" s="5">
        <f>JORD100!AJ19</f>
        <v>-3.3</v>
      </c>
      <c r="AK22" s="5">
        <f>JORD100!AK19</f>
        <v>-2</v>
      </c>
      <c r="AL22" s="5">
        <f>JORD100!AL19</f>
        <v>-1.9</v>
      </c>
      <c r="AM22" s="5">
        <f>JORD100!AM19</f>
        <v>-1.9</v>
      </c>
      <c r="AN22" s="5">
        <f>JORD100!AN19</f>
        <v>-2.6</v>
      </c>
      <c r="AO22" s="5">
        <f>JORD100!AO19</f>
        <v>-1.5</v>
      </c>
      <c r="AP22" s="5">
        <f>JORD100!AP19</f>
        <v>-1.3</v>
      </c>
      <c r="AQ22" s="5">
        <f>JORD100!AQ19</f>
        <v>-0.4</v>
      </c>
      <c r="AR22" s="5">
        <f>JORD100!AR19</f>
        <v>-1.2</v>
      </c>
      <c r="AS22" s="5">
        <f>JORD100!AS19</f>
        <v>-1.5</v>
      </c>
      <c r="AT22" s="5">
        <f>JORD100!AT19</f>
        <v>-0.9</v>
      </c>
      <c r="AU22" s="5">
        <f>JORD100!AU19</f>
        <v>-1.4</v>
      </c>
      <c r="AV22" s="5">
        <f>JORD100!AV19</f>
        <v>-1.4</v>
      </c>
      <c r="AW22" s="5">
        <f>JORD100!AW19</f>
        <v>-1.4</v>
      </c>
      <c r="AX22" s="5">
        <f>JORD100!AX19</f>
        <v>-1.1000000000000001</v>
      </c>
      <c r="AY22" s="5">
        <f>JORD100!AY19</f>
        <v>0</v>
      </c>
      <c r="AZ22" s="5">
        <f>JORD100!AZ19</f>
        <v>0.8</v>
      </c>
      <c r="BA22" s="5">
        <f>JORD100!BA19</f>
        <v>1.7</v>
      </c>
      <c r="BB22" s="5">
        <f>JORD100!BB19</f>
        <v>-0.4</v>
      </c>
      <c r="BC22" s="5">
        <f>JORD100!BC19</f>
        <v>-0.2</v>
      </c>
    </row>
    <row r="23" spans="1:55" x14ac:dyDescent="0.25">
      <c r="A23" s="3" t="s">
        <v>66</v>
      </c>
      <c r="B23" s="3" t="s">
        <v>55</v>
      </c>
      <c r="C23" s="3" t="s">
        <v>56</v>
      </c>
      <c r="D23" s="5">
        <f>JORD100!D20/'Ark1'!D$4</f>
        <v>29.4</v>
      </c>
      <c r="E23" s="5">
        <f>JORD100!E20/'Ark1'!E$4</f>
        <v>26.450112528132031</v>
      </c>
      <c r="F23" s="5">
        <f>JORD100!F20/'Ark1'!F$4</f>
        <v>25.39876796714579</v>
      </c>
      <c r="G23" s="5">
        <f>JORD100!G20/'Ark1'!G$4</f>
        <v>24.47060301507538</v>
      </c>
      <c r="H23" s="5">
        <f>JORD100!H20/'Ark1'!H$4</f>
        <v>22.414245336348216</v>
      </c>
      <c r="I23" s="5">
        <f>JORD100!I20/'Ark1'!I$4</f>
        <v>21.266598150051387</v>
      </c>
      <c r="J23" s="5">
        <f>JORD100!J20/'Ark1'!J$4</f>
        <v>20.215096108766993</v>
      </c>
      <c r="K23" s="5">
        <f>JORD100!K20/'Ark1'!K$4</f>
        <v>18.285642737896495</v>
      </c>
      <c r="L23" s="5">
        <f>JORD100!L20/'Ark1'!L$4</f>
        <v>16.927605528576766</v>
      </c>
      <c r="M23" s="5">
        <f>JORD100!M20/'Ark1'!M$4</f>
        <v>16.312618724559023</v>
      </c>
      <c r="N23" s="5">
        <f>JORD100!N20/'Ark1'!N$4</f>
        <v>15.806979695431473</v>
      </c>
      <c r="O23" s="5">
        <f>JORD100!O20/'Ark1'!O$4</f>
        <v>15.666388059701491</v>
      </c>
      <c r="P23" s="5">
        <f>JORD100!P20/'Ark1'!P$4</f>
        <v>15.52540633019675</v>
      </c>
      <c r="Q23" s="5">
        <f>JORD100!Q20/'Ark1'!Q$4</f>
        <v>15.483278327832783</v>
      </c>
      <c r="R23" s="5">
        <f>JORD100!R20/'Ark1'!R$4</f>
        <v>15.221787414066631</v>
      </c>
      <c r="S23" s="5">
        <f>JORD100!S20/'Ark1'!S$4</f>
        <v>15.177434859600302</v>
      </c>
      <c r="T23" s="5">
        <f>JORD100!T20/'Ark1'!T$4</f>
        <v>14.959343312409464</v>
      </c>
      <c r="U23" s="5">
        <f>JORD100!U20/'Ark1'!U$4</f>
        <v>15.337191249117854</v>
      </c>
      <c r="V23" s="5">
        <f>JORD100!V20/'Ark1'!V$4</f>
        <v>15.349597978405695</v>
      </c>
      <c r="W23" s="5">
        <f>JORD100!W20/'Ark1'!W$4</f>
        <v>15.734083239595051</v>
      </c>
      <c r="X23" s="5">
        <f>JORD100!X20/'Ark1'!X$4</f>
        <v>16.132622222222221</v>
      </c>
      <c r="Y23" s="5">
        <f>JORD100!Y20/'Ark1'!Y$4</f>
        <v>16.068148148148147</v>
      </c>
      <c r="Z23" s="5">
        <f>JORD100!Z20/'Ark1'!Z$4</f>
        <v>16.898420827998294</v>
      </c>
      <c r="AA23" s="5">
        <f>JORD100!AA20/'Ark1'!AA$4</f>
        <v>17.660104493207939</v>
      </c>
      <c r="AB23" s="5">
        <f>JORD100!AB20/'Ark1'!AB$4</f>
        <v>17.611860940695298</v>
      </c>
      <c r="AC23" s="5">
        <f>JORD100!AC20/'Ark1'!AC$4</f>
        <v>17.966746987951808</v>
      </c>
      <c r="AD23" s="5">
        <f>JORD100!AD20/'Ark1'!AD$4</f>
        <v>18.775940438871473</v>
      </c>
      <c r="AE23" s="5">
        <f>JORD100!AE20/'Ark1'!AE$4</f>
        <v>19.32168284789644</v>
      </c>
      <c r="AF23" s="5">
        <f>JORD100!AF20/'Ark1'!AF$4</f>
        <v>19.435075320810864</v>
      </c>
      <c r="AG23" s="5">
        <f>JORD100!AG20/'Ark1'!AG$4</f>
        <v>20.634610495732701</v>
      </c>
      <c r="AH23" s="5">
        <f>JORD100!AH20/'Ark1'!AH$4</f>
        <v>21.343436499466382</v>
      </c>
      <c r="AI23" s="5">
        <f>JORD100!AI20/'Ark1'!AI$4</f>
        <v>22.522384385440478</v>
      </c>
      <c r="AJ23" s="5">
        <f>JORD100!AJ20/'Ark1'!AJ$4</f>
        <v>22.700725388601036</v>
      </c>
      <c r="AK23" s="5">
        <f>JORD100!AK20/'Ark1'!AK$4</f>
        <v>24.72664406779661</v>
      </c>
      <c r="AL23" s="5">
        <f>JORD100!AL20/'Ark1'!AL$4</f>
        <v>25.986402266288952</v>
      </c>
      <c r="AM23" s="5">
        <f>JORD100!AM20/'Ark1'!AM$4</f>
        <v>27.386301369863016</v>
      </c>
      <c r="AN23" s="5">
        <f>JORD100!AN20/'Ark1'!AN$4</f>
        <v>28.389756640687132</v>
      </c>
      <c r="AO23" s="5">
        <f>JORD100!AO20/'Ark1'!AO$4</f>
        <v>28.900000000000002</v>
      </c>
      <c r="AP23" s="5">
        <f>JORD100!AP20/'Ark1'!AP$4</f>
        <v>27.513814495385081</v>
      </c>
      <c r="AQ23" s="5">
        <f>JORD100!AQ20/'Ark1'!AQ$4</f>
        <v>27.021158392434987</v>
      </c>
      <c r="AR23" s="5">
        <f>JORD100!AR20/'Ark1'!AR$4</f>
        <v>27.709426770268287</v>
      </c>
      <c r="AS23" s="5">
        <f>JORD100!AS20/'Ark1'!AS$4</f>
        <v>28.293352769679302</v>
      </c>
      <c r="AT23" s="5">
        <f>JORD100!AT20/'Ark1'!AT$4</f>
        <v>27.981541140618198</v>
      </c>
      <c r="AU23" s="5">
        <f>JORD100!AU20/'Ark1'!AU$4</f>
        <v>31.321927920104208</v>
      </c>
      <c r="AV23" s="5">
        <f>JORD100!AV20/'Ark1'!AV$4</f>
        <v>31.728792215226107</v>
      </c>
      <c r="AW23" s="5">
        <f>JORD100!AW20/'Ark1'!AW$4</f>
        <v>31.751029098651529</v>
      </c>
      <c r="AX23" s="5">
        <f>JORD100!AX20/'Ark1'!AX$4</f>
        <v>32.930853761622991</v>
      </c>
      <c r="AY23" s="5">
        <f>JORD100!AY20/'Ark1'!AY$4</f>
        <v>34.251851851851853</v>
      </c>
      <c r="AZ23" s="5">
        <f>JORD100!AZ20/'Ark1'!AZ$4</f>
        <v>37.912341597796143</v>
      </c>
      <c r="BA23" s="5">
        <f>JORD100!BA20/'Ark1'!BA$4</f>
        <v>36.665558255531394</v>
      </c>
      <c r="BB23" s="5">
        <f>JORD100!BB20/'Ark1'!BB$4</f>
        <v>38.943617679831618</v>
      </c>
      <c r="BC23" s="5">
        <f>JORD100!BC20/'Ark1'!BC$4</f>
        <v>39.982804103566188</v>
      </c>
    </row>
    <row r="24" spans="1:55" x14ac:dyDescent="0.25">
      <c r="C24" s="3" t="s">
        <v>58</v>
      </c>
      <c r="D24" s="5">
        <f>JORD100!D21/'Ark1'!D$4</f>
        <v>565.79999999999995</v>
      </c>
      <c r="E24" s="5">
        <f>JORD100!E21/'Ark1'!E$4</f>
        <v>600.98124531132783</v>
      </c>
      <c r="F24" s="5">
        <f>JORD100!F21/'Ark1'!F$4</f>
        <v>669.38809034907604</v>
      </c>
      <c r="G24" s="5">
        <f>JORD100!G21/'Ark1'!G$4</f>
        <v>776.88718592964835</v>
      </c>
      <c r="H24" s="5">
        <f>JORD100!H21/'Ark1'!H$4</f>
        <v>757.70604861503671</v>
      </c>
      <c r="I24" s="5">
        <f>JORD100!I21/'Ark1'!I$4</f>
        <v>831.65467625899282</v>
      </c>
      <c r="J24" s="5">
        <f>JORD100!J21/'Ark1'!J$4</f>
        <v>904.42231598687295</v>
      </c>
      <c r="K24" s="5">
        <f>JORD100!K21/'Ark1'!K$4</f>
        <v>818.60818030050086</v>
      </c>
      <c r="L24" s="5">
        <f>JORD100!L21/'Ark1'!L$4</f>
        <v>636.64206200971239</v>
      </c>
      <c r="M24" s="5">
        <f>JORD100!M21/'Ark1'!M$4</f>
        <v>606.19416553595659</v>
      </c>
      <c r="N24" s="5">
        <f>JORD100!N21/'Ark1'!N$4</f>
        <v>596.44758883248733</v>
      </c>
      <c r="O24" s="5">
        <f>JORD100!O21/'Ark1'!O$4</f>
        <v>666.58065671641793</v>
      </c>
      <c r="P24" s="5">
        <f>JORD100!P21/'Ark1'!P$4</f>
        <v>730.68297690333611</v>
      </c>
      <c r="Q24" s="5">
        <f>JORD100!Q21/'Ark1'!Q$4</f>
        <v>849.29119911991199</v>
      </c>
      <c r="R24" s="5">
        <f>JORD100!R21/'Ark1'!R$4</f>
        <v>814.18223162347954</v>
      </c>
      <c r="S24" s="5">
        <f>JORD100!S21/'Ark1'!S$4</f>
        <v>797.56104224639512</v>
      </c>
      <c r="T24" s="5">
        <f>JORD100!T21/'Ark1'!T$4</f>
        <v>794.2964751327861</v>
      </c>
      <c r="U24" s="5">
        <f>JORD100!U21/'Ark1'!U$4</f>
        <v>771.61844271936013</v>
      </c>
      <c r="V24" s="5">
        <f>JORD100!V21/'Ark1'!V$4</f>
        <v>811.05894785205601</v>
      </c>
      <c r="W24" s="5">
        <f>JORD100!W21/'Ark1'!W$4</f>
        <v>812.16476940382461</v>
      </c>
      <c r="X24" s="5">
        <f>JORD100!X21/'Ark1'!X$4</f>
        <v>829.00613333333331</v>
      </c>
      <c r="Y24" s="5">
        <f>JORD100!Y21/'Ark1'!Y$4</f>
        <v>837.96148148148143</v>
      </c>
      <c r="Z24" s="5">
        <f>JORD100!Z21/'Ark1'!Z$4</f>
        <v>1000.2878361075545</v>
      </c>
      <c r="AA24" s="5">
        <f>JORD100!AA21/'Ark1'!AA$4</f>
        <v>1077.7012330198536</v>
      </c>
      <c r="AB24" s="5">
        <f>JORD100!AB21/'Ark1'!AB$4</f>
        <v>1238.07836400818</v>
      </c>
      <c r="AC24" s="5">
        <f>JORD100!AC21/'Ark1'!AC$4</f>
        <v>1385.4590361445782</v>
      </c>
      <c r="AD24" s="5">
        <f>JORD100!AD21/'Ark1'!AD$4</f>
        <v>1577.5413793103448</v>
      </c>
      <c r="AE24" s="5">
        <f>JORD100!AE21/'Ark1'!AE$4</f>
        <v>1691.3074433656959</v>
      </c>
      <c r="AF24" s="5">
        <f>JORD100!AF21/'Ark1'!AF$4</f>
        <v>1903.0034591779804</v>
      </c>
      <c r="AG24" s="5">
        <f>JORD100!AG21/'Ark1'!AG$4</f>
        <v>2007.7706918467406</v>
      </c>
      <c r="AH24" s="5">
        <f>JORD100!AH21/'Ark1'!AH$4</f>
        <v>2106.2558520099606</v>
      </c>
      <c r="AI24" s="5">
        <f>JORD100!AI21/'Ark1'!AI$4</f>
        <v>2432.5191489361705</v>
      </c>
      <c r="AJ24" s="5">
        <f>JORD100!AJ21/'Ark1'!AJ$4</f>
        <v>2777.5745077720208</v>
      </c>
      <c r="AK24" s="5">
        <f>JORD100!AK21/'Ark1'!AK$4</f>
        <v>4098.9016949152538</v>
      </c>
      <c r="AL24" s="5">
        <f>JORD100!AL21/'Ark1'!AL$4</f>
        <v>4315.8617563739381</v>
      </c>
      <c r="AM24" s="5">
        <f>JORD100!AM21/'Ark1'!AM$4</f>
        <v>4378.5852054794523</v>
      </c>
      <c r="AN24" s="5">
        <f>JORD100!AN21/'Ark1'!AN$4</f>
        <v>7258.5473516780648</v>
      </c>
      <c r="AO24" s="5">
        <f>JORD100!AO21/'Ark1'!AO$4</f>
        <v>6825.7917910447768</v>
      </c>
      <c r="AP24" s="5">
        <f>JORD100!AP21/'Ark1'!AP$4</f>
        <v>6446.9432591920104</v>
      </c>
      <c r="AQ24" s="5">
        <f>JORD100!AQ21/'Ark1'!AQ$4</f>
        <v>6191.2955082742319</v>
      </c>
      <c r="AR24" s="5">
        <f>JORD100!AR21/'Ark1'!AR$4</f>
        <v>6316.6816009382783</v>
      </c>
      <c r="AS24" s="5">
        <f>JORD100!AS21/'Ark1'!AS$4</f>
        <v>6423.6527113702623</v>
      </c>
      <c r="AT24" s="5">
        <f>JORD100!AT21/'Ark1'!AT$4</f>
        <v>6420.9416920621088</v>
      </c>
      <c r="AU24" s="5">
        <f>JORD100!AU21/'Ark1'!AU$4</f>
        <v>7133.6527427992478</v>
      </c>
      <c r="AV24" s="5">
        <f>JORD100!AV21/'Ark1'!AV$4</f>
        <v>7139.1767601602751</v>
      </c>
      <c r="AW24" s="5">
        <f>JORD100!AW21/'Ark1'!AW$4</f>
        <v>7152.6782114975167</v>
      </c>
      <c r="AX24" s="5">
        <f>JORD100!AX21/'Ark1'!AX$4</f>
        <v>7298.3859678782756</v>
      </c>
      <c r="AY24" s="5">
        <f>JORD100!AY21/'Ark1'!AY$4</f>
        <v>7653.8617283950625</v>
      </c>
      <c r="AZ24" s="5">
        <f>JORD100!AZ21/'Ark1'!AZ$4</f>
        <v>8309.5859504132241</v>
      </c>
      <c r="BA24" s="5">
        <f>JORD100!BA21/'Ark1'!BA$4</f>
        <v>8034.7396342243246</v>
      </c>
      <c r="BB24" s="5">
        <f>JORD100!BB21/'Ark1'!BB$4</f>
        <v>8731.8432091122941</v>
      </c>
      <c r="BC24" s="5">
        <f>JORD100!BC21/'Ark1'!BC$4</f>
        <v>9338.1024914509035</v>
      </c>
    </row>
    <row r="25" spans="1:55" x14ac:dyDescent="0.25">
      <c r="C25" s="3" t="s">
        <v>59</v>
      </c>
      <c r="D25" s="5">
        <f>JORD100!D22/'Ark1'!D$4</f>
        <v>201.7</v>
      </c>
      <c r="E25" s="5">
        <f>JORD100!E22/'Ark1'!E$4</f>
        <v>190.61425356339083</v>
      </c>
      <c r="F25" s="5">
        <f>JORD100!F22/'Ark1'!F$4</f>
        <v>206.90896646132785</v>
      </c>
      <c r="G25" s="5">
        <f>JORD100!G22/'Ark1'!G$4</f>
        <v>212.24798994974876</v>
      </c>
      <c r="H25" s="5">
        <f>JORD100!H22/'Ark1'!H$4</f>
        <v>230.54652345958169</v>
      </c>
      <c r="I25" s="5">
        <f>JORD100!I22/'Ark1'!I$4</f>
        <v>242.18972250770813</v>
      </c>
      <c r="J25" s="5">
        <f>JORD100!J22/'Ark1'!J$4</f>
        <v>252.44481950304734</v>
      </c>
      <c r="K25" s="5">
        <f>JORD100!K22/'Ark1'!K$4</f>
        <v>253.49015025041734</v>
      </c>
      <c r="L25" s="5">
        <f>JORD100!L22/'Ark1'!L$4</f>
        <v>280.77370190511772</v>
      </c>
      <c r="M25" s="5">
        <f>JORD100!M22/'Ark1'!M$4</f>
        <v>310.33188602442328</v>
      </c>
      <c r="N25" s="5">
        <f>JORD100!N22/'Ark1'!N$4</f>
        <v>312.87550761421318</v>
      </c>
      <c r="O25" s="5">
        <f>JORD100!O22/'Ark1'!O$4</f>
        <v>338.93229850746269</v>
      </c>
      <c r="P25" s="5">
        <f>JORD100!P22/'Ark1'!P$4</f>
        <v>323.13282007413744</v>
      </c>
      <c r="Q25" s="5">
        <f>JORD100!Q22/'Ark1'!Q$4</f>
        <v>306.54983498349839</v>
      </c>
      <c r="R25" s="5">
        <f>JORD100!R22/'Ark1'!R$4</f>
        <v>282.55060814383921</v>
      </c>
      <c r="S25" s="5">
        <f>JORD100!S22/'Ark1'!S$4</f>
        <v>307.02868707310904</v>
      </c>
      <c r="T25" s="5">
        <f>JORD100!T22/'Ark1'!T$4</f>
        <v>338.6505070014486</v>
      </c>
      <c r="U25" s="5">
        <f>JORD100!U22/'Ark1'!U$4</f>
        <v>318.73620324629496</v>
      </c>
      <c r="V25" s="5">
        <f>JORD100!V22/'Ark1'!V$4</f>
        <v>326.59058120836204</v>
      </c>
      <c r="W25" s="5">
        <f>JORD100!W22/'Ark1'!W$4</f>
        <v>325.16238470191229</v>
      </c>
      <c r="X25" s="5">
        <f>JORD100!X22/'Ark1'!X$4</f>
        <v>333.6216</v>
      </c>
      <c r="Y25" s="5">
        <f>JORD100!Y22/'Ark1'!Y$4</f>
        <v>336.97777777777776</v>
      </c>
      <c r="Z25" s="5">
        <f>JORD100!Z22/'Ark1'!Z$4</f>
        <v>359.25795988049509</v>
      </c>
      <c r="AA25" s="5">
        <f>JORD100!AA22/'Ark1'!AA$4</f>
        <v>382.79665621734586</v>
      </c>
      <c r="AB25" s="5">
        <f>JORD100!AB22/'Ark1'!AB$4</f>
        <v>404.69456032719842</v>
      </c>
      <c r="AC25" s="5">
        <f>JORD100!AC22/'Ark1'!AC$4</f>
        <v>375.79285140562251</v>
      </c>
      <c r="AD25" s="5">
        <f>JORD100!AD22/'Ark1'!AD$4</f>
        <v>385.59757053291537</v>
      </c>
      <c r="AE25" s="5">
        <f>JORD100!AE22/'Ark1'!AE$4</f>
        <v>444.39870550161817</v>
      </c>
      <c r="AF25" s="5">
        <f>JORD100!AF22/'Ark1'!AF$4</f>
        <v>498.47528361539889</v>
      </c>
      <c r="AG25" s="5">
        <f>JORD100!AG22/'Ark1'!AG$4</f>
        <v>474.17621209369895</v>
      </c>
      <c r="AH25" s="5">
        <f>JORD100!AH22/'Ark1'!AH$4</f>
        <v>484.62760583422272</v>
      </c>
      <c r="AI25" s="5">
        <f>JORD100!AI22/'Ark1'!AI$4</f>
        <v>533.03653947599798</v>
      </c>
      <c r="AJ25" s="5">
        <f>JORD100!AJ22/'Ark1'!AJ$4</f>
        <v>525.33112262521581</v>
      </c>
      <c r="AK25" s="5">
        <f>JORD100!AK22/'Ark1'!AK$4</f>
        <v>646.51749152542368</v>
      </c>
      <c r="AL25" s="5">
        <f>JORD100!AL22/'Ark1'!AL$4</f>
        <v>697.2407932011331</v>
      </c>
      <c r="AM25" s="5">
        <f>JORD100!AM22/'Ark1'!AM$4</f>
        <v>788.20383561643848</v>
      </c>
      <c r="AN25" s="5">
        <f>JORD100!AN22/'Ark1'!AN$4</f>
        <v>689.24224590424683</v>
      </c>
      <c r="AO25" s="5">
        <f>JORD100!AO22/'Ark1'!AO$4</f>
        <v>868.90509950248759</v>
      </c>
      <c r="AP25" s="5">
        <f>JORD100!AP22/'Ark1'!AP$4</f>
        <v>975.80463004993192</v>
      </c>
      <c r="AQ25" s="5">
        <f>JORD100!AQ22/'Ark1'!AQ$4</f>
        <v>1082.5543735224587</v>
      </c>
      <c r="AR25" s="5">
        <f>JORD100!AR22/'Ark1'!AR$4</f>
        <v>1112.8004104969946</v>
      </c>
      <c r="AS25" s="5">
        <f>JORD100!AS22/'Ark1'!AS$4</f>
        <v>1027.8457725947521</v>
      </c>
      <c r="AT25" s="5">
        <f>JORD100!AT22/'Ark1'!AT$4</f>
        <v>1020.403598897112</v>
      </c>
      <c r="AU25" s="5">
        <f>JORD100!AU22/'Ark1'!AU$4</f>
        <v>1110.4225792444638</v>
      </c>
      <c r="AV25" s="5">
        <f>JORD100!AV22/'Ark1'!AV$4</f>
        <v>1238.6966800228963</v>
      </c>
      <c r="AW25" s="5">
        <f>JORD100!AW22/'Ark1'!AW$4</f>
        <v>1116.438381831086</v>
      </c>
      <c r="AX25" s="5">
        <f>JORD100!AX22/'Ark1'!AX$4</f>
        <v>1370.1645533953226</v>
      </c>
      <c r="AY25" s="5">
        <f>JORD100!AY22/'Ark1'!AY$4</f>
        <v>1437.5236251402919</v>
      </c>
      <c r="AZ25" s="5">
        <f>JORD100!AZ22/'Ark1'!AZ$4</f>
        <v>1547.6228650137741</v>
      </c>
      <c r="BA25" s="5">
        <f>JORD100!BA22/'Ark1'!BA$4</f>
        <v>1896.511216268065</v>
      </c>
      <c r="BB25" s="5">
        <f>JORD100!BB22/'Ark1'!BB$4</f>
        <v>1905.7326234988236</v>
      </c>
      <c r="BC25" s="5">
        <f>JORD100!BC22/'Ark1'!BC$4</f>
        <v>2025.9507083536882</v>
      </c>
    </row>
    <row r="26" spans="1:55" x14ac:dyDescent="0.25">
      <c r="C26" s="3" t="s">
        <v>60</v>
      </c>
      <c r="D26" s="5">
        <f>JORD100!D23/'Ark1'!D$4</f>
        <v>126.8</v>
      </c>
      <c r="E26" s="5">
        <f>JORD100!E23/'Ark1'!E$4</f>
        <v>127.56759189797448</v>
      </c>
      <c r="F26" s="5">
        <f>JORD100!F23/'Ark1'!F$4</f>
        <v>140.28665297741273</v>
      </c>
      <c r="G26" s="5">
        <f>JORD100!G23/'Ark1'!G$4</f>
        <v>156.1180904522613</v>
      </c>
      <c r="H26" s="5">
        <f>JORD100!H23/'Ark1'!H$4</f>
        <v>154.87394007914074</v>
      </c>
      <c r="I26" s="5">
        <f>JORD100!I23/'Ark1'!I$4</f>
        <v>170.72682425488179</v>
      </c>
      <c r="J26" s="5">
        <f>JORD100!J23/'Ark1'!J$4</f>
        <v>181.39390529770276</v>
      </c>
      <c r="K26" s="5">
        <f>JORD100!K23/'Ark1'!K$4</f>
        <v>190.43121869782971</v>
      </c>
      <c r="L26" s="5">
        <f>JORD100!L23/'Ark1'!L$4</f>
        <v>197.81979828165859</v>
      </c>
      <c r="M26" s="5">
        <f>JORD100!M23/'Ark1'!M$4</f>
        <v>213.31886024423335</v>
      </c>
      <c r="N26" s="5">
        <f>JORD100!N23/'Ark1'!N$4</f>
        <v>238.24162436548224</v>
      </c>
      <c r="O26" s="5">
        <f>JORD100!O23/'Ark1'!O$4</f>
        <v>227.47319402985076</v>
      </c>
      <c r="P26" s="5">
        <f>JORD100!P23/'Ark1'!P$4</f>
        <v>227.96966067864273</v>
      </c>
      <c r="Q26" s="5">
        <f>JORD100!Q23/'Ark1'!Q$4</f>
        <v>220.32673267326732</v>
      </c>
      <c r="R26" s="5">
        <f>JORD100!R23/'Ark1'!R$4</f>
        <v>212.49370703331573</v>
      </c>
      <c r="S26" s="5">
        <f>JORD100!S23/'Ark1'!S$4</f>
        <v>222.74859600303569</v>
      </c>
      <c r="T26" s="5">
        <f>JORD100!T23/'Ark1'!T$4</f>
        <v>227.09734427812651</v>
      </c>
      <c r="U26" s="5">
        <f>JORD100!U23/'Ark1'!U$4</f>
        <v>231.14561279698896</v>
      </c>
      <c r="V26" s="5">
        <f>JORD100!V23/'Ark1'!V$4</f>
        <v>232.74027107741787</v>
      </c>
      <c r="W26" s="5">
        <f>JORD100!W23/'Ark1'!W$4</f>
        <v>244.17736782902139</v>
      </c>
      <c r="X26" s="5">
        <f>JORD100!X23/'Ark1'!X$4</f>
        <v>247.74364444444444</v>
      </c>
      <c r="Y26" s="5">
        <f>JORD100!Y23/'Ark1'!Y$4</f>
        <v>241.52592592592592</v>
      </c>
      <c r="Z26" s="5">
        <f>JORD100!Z23/'Ark1'!Z$4</f>
        <v>254.53708920187796</v>
      </c>
      <c r="AA26" s="5">
        <f>JORD100!AA23/'Ark1'!AA$4</f>
        <v>266.85843260188085</v>
      </c>
      <c r="AB26" s="5">
        <f>JORD100!AB23/'Ark1'!AB$4</f>
        <v>287.69979550102249</v>
      </c>
      <c r="AC26" s="5">
        <f>JORD100!AC23/'Ark1'!AC$4</f>
        <v>300.1653815261044</v>
      </c>
      <c r="AD26" s="5">
        <f>JORD100!AD23/'Ark1'!AD$4</f>
        <v>306.53025078369905</v>
      </c>
      <c r="AE26" s="5">
        <f>JORD100!AE23/'Ark1'!AE$4</f>
        <v>321.22847896440129</v>
      </c>
      <c r="AF26" s="5">
        <f>JORD100!AF23/'Ark1'!AF$4</f>
        <v>358.08696299051513</v>
      </c>
      <c r="AG26" s="5">
        <f>JORD100!AG23/'Ark1'!AG$4</f>
        <v>377.25861630651895</v>
      </c>
      <c r="AH26" s="5">
        <f>JORD100!AH23/'Ark1'!AH$4</f>
        <v>392.38612593383135</v>
      </c>
      <c r="AI26" s="5">
        <f>JORD100!AI23/'Ark1'!AI$4</f>
        <v>425.2421311763672</v>
      </c>
      <c r="AJ26" s="5">
        <f>JORD100!AJ23/'Ark1'!AJ$4</f>
        <v>457.82791018998273</v>
      </c>
      <c r="AK26" s="5">
        <f>JORD100!AK23/'Ark1'!AK$4</f>
        <v>540.61613559322029</v>
      </c>
      <c r="AL26" s="5">
        <f>JORD100!AL23/'Ark1'!AL$4</f>
        <v>627.66118980169972</v>
      </c>
      <c r="AM26" s="5">
        <f>JORD100!AM23/'Ark1'!AM$4</f>
        <v>729.18356164383567</v>
      </c>
      <c r="AN26" s="5">
        <f>JORD100!AN23/'Ark1'!AN$4</f>
        <v>697.93936694766978</v>
      </c>
      <c r="AO26" s="5">
        <f>JORD100!AO23/'Ark1'!AO$4</f>
        <v>734.32599502487562</v>
      </c>
      <c r="AP26" s="5">
        <f>JORD100!AP23/'Ark1'!AP$4</f>
        <v>825.20453926463915</v>
      </c>
      <c r="AQ26" s="5">
        <f>JORD100!AQ23/'Ark1'!AQ$4</f>
        <v>859.38215130023639</v>
      </c>
      <c r="AR26" s="5">
        <f>JORD100!AR23/'Ark1'!AR$4</f>
        <v>917.9192493769242</v>
      </c>
      <c r="AS26" s="5">
        <f>JORD100!AS23/'Ark1'!AS$4</f>
        <v>893.65877551020412</v>
      </c>
      <c r="AT26" s="5">
        <f>JORD100!AT23/'Ark1'!AT$4</f>
        <v>916.17739079959358</v>
      </c>
      <c r="AU26" s="5">
        <f>JORD100!AU23/'Ark1'!AU$4</f>
        <v>993.96925749023023</v>
      </c>
      <c r="AV26" s="5">
        <f>JORD100!AV23/'Ark1'!AV$4</f>
        <v>1005.7431597023469</v>
      </c>
      <c r="AW26" s="5">
        <f>JORD100!AW23/'Ark1'!AW$4</f>
        <v>1022.6620865862313</v>
      </c>
      <c r="AX26" s="5">
        <f>JORD100!AX23/'Ark1'!AX$4</f>
        <v>1080.6759650605804</v>
      </c>
      <c r="AY26" s="5">
        <f>JORD100!AY23/'Ark1'!AY$4</f>
        <v>1143.382603815937</v>
      </c>
      <c r="AZ26" s="5">
        <f>JORD100!AZ23/'Ark1'!AZ$4</f>
        <v>1277.3959228650137</v>
      </c>
      <c r="BA26" s="5">
        <f>JORD100!BA23/'Ark1'!BA$4</f>
        <v>1426.6302596239927</v>
      </c>
      <c r="BB26" s="5">
        <f>JORD100!BB23/'Ark1'!BB$4</f>
        <v>1527.5315587470593</v>
      </c>
      <c r="BC26" s="5">
        <f>JORD100!BC23/'Ark1'!BC$4</f>
        <v>1601.7404982901808</v>
      </c>
    </row>
    <row r="27" spans="1:55" x14ac:dyDescent="0.25">
      <c r="C27" s="3" t="s">
        <v>61</v>
      </c>
      <c r="D27" s="5">
        <f>JORD100!D24/'Ark1'!D$4</f>
        <v>9.3000000000000007</v>
      </c>
      <c r="E27" s="5">
        <f>JORD100!E24/'Ark1'!E$4</f>
        <v>9.7128282070517624</v>
      </c>
      <c r="F27" s="5">
        <f>JORD100!F24/'Ark1'!F$4</f>
        <v>10.919096509240248</v>
      </c>
      <c r="G27" s="5">
        <f>JORD100!G24/'Ark1'!G$4</f>
        <v>11.109798994974875</v>
      </c>
      <c r="H27" s="5">
        <f>JORD100!H24/'Ark1'!H$4</f>
        <v>10.324929338609383</v>
      </c>
      <c r="I27" s="5">
        <f>JORD100!I24/'Ark1'!I$4</f>
        <v>13.54409044193217</v>
      </c>
      <c r="J27" s="5">
        <f>JORD100!J24/'Ark1'!J$4</f>
        <v>12.62766057196437</v>
      </c>
      <c r="K27" s="5">
        <f>JORD100!K24/'Ark1'!K$4</f>
        <v>12.110016694490819</v>
      </c>
      <c r="L27" s="5">
        <f>JORD100!L24/'Ark1'!L$4</f>
        <v>11.400224131490475</v>
      </c>
      <c r="M27" s="5">
        <f>JORD100!M24/'Ark1'!M$4</f>
        <v>12.548168249660787</v>
      </c>
      <c r="N27" s="5">
        <f>JORD100!N24/'Ark1'!N$4</f>
        <v>13.129695431472079</v>
      </c>
      <c r="O27" s="5">
        <f>JORD100!O24/'Ark1'!O$4</f>
        <v>13.837492537313432</v>
      </c>
      <c r="P27" s="5">
        <f>JORD100!P24/'Ark1'!P$4</f>
        <v>15.920958083832335</v>
      </c>
      <c r="Q27" s="5">
        <f>JORD100!Q24/'Ark1'!Q$4</f>
        <v>16.182728272827283</v>
      </c>
      <c r="R27" s="5">
        <f>JORD100!R24/'Ark1'!R$4</f>
        <v>16.047065044949761</v>
      </c>
      <c r="S27" s="5">
        <f>JORD100!S24/'Ark1'!S$4</f>
        <v>16.317935745003794</v>
      </c>
      <c r="T27" s="5">
        <f>JORD100!T24/'Ark1'!T$4</f>
        <v>16.829261226460648</v>
      </c>
      <c r="U27" s="5">
        <f>JORD100!U24/'Ark1'!U$4</f>
        <v>18.382874617737002</v>
      </c>
      <c r="V27" s="5">
        <f>JORD100!V24/'Ark1'!V$4</f>
        <v>18.748816907879622</v>
      </c>
      <c r="W27" s="5">
        <f>JORD100!W24/'Ark1'!W$4</f>
        <v>19.817142857142859</v>
      </c>
      <c r="X27" s="5">
        <f>JORD100!X24/'Ark1'!X$4</f>
        <v>19.600622222222221</v>
      </c>
      <c r="Y27" s="5">
        <f>JORD100!Y24/'Ark1'!Y$4</f>
        <v>19.820740740740742</v>
      </c>
      <c r="Z27" s="5">
        <f>JORD100!Z24/'Ark1'!Z$4</f>
        <v>21.437558685446014</v>
      </c>
      <c r="AA27" s="5">
        <f>JORD100!AA24/'Ark1'!AA$4</f>
        <v>22.612664576802505</v>
      </c>
      <c r="AB27" s="5">
        <f>JORD100!AB24/'Ark1'!AB$4</f>
        <v>24.774805725971369</v>
      </c>
      <c r="AC27" s="5">
        <f>JORD100!AC24/'Ark1'!AC$4</f>
        <v>25.348433734939761</v>
      </c>
      <c r="AD27" s="5">
        <f>JORD100!AD24/'Ark1'!AD$4</f>
        <v>26.929545454545455</v>
      </c>
      <c r="AE27" s="5">
        <f>JORD100!AE24/'Ark1'!AE$4</f>
        <v>28.014239482200647</v>
      </c>
      <c r="AF27" s="5">
        <f>JORD100!AF24/'Ark1'!AF$4</f>
        <v>30.163064906081463</v>
      </c>
      <c r="AG27" s="5">
        <f>JORD100!AG24/'Ark1'!AG$4</f>
        <v>32.893626293807877</v>
      </c>
      <c r="AH27" s="5">
        <f>JORD100!AH24/'Ark1'!AH$4</f>
        <v>36.312628957666313</v>
      </c>
      <c r="AI27" s="5">
        <f>JORD100!AI24/'Ark1'!AI$4</f>
        <v>38.255530156497272</v>
      </c>
      <c r="AJ27" s="5">
        <f>JORD100!AJ24/'Ark1'!AJ$4</f>
        <v>42.226943005181347</v>
      </c>
      <c r="AK27" s="5">
        <f>JORD100!AK24/'Ark1'!AK$4</f>
        <v>47.043322033898299</v>
      </c>
      <c r="AL27" s="5">
        <f>JORD100!AL24/'Ark1'!AL$4</f>
        <v>53.01303116147308</v>
      </c>
      <c r="AM27" s="5">
        <f>JORD100!AM24/'Ark1'!AM$4</f>
        <v>57.697534246575344</v>
      </c>
      <c r="AN27" s="5">
        <f>JORD100!AN24/'Ark1'!AN$4</f>
        <v>64.263082551296321</v>
      </c>
      <c r="AO27" s="5">
        <f>JORD100!AO24/'Ark1'!AO$4</f>
        <v>69.140733830845775</v>
      </c>
      <c r="AP27" s="5">
        <f>JORD100!AP24/'Ark1'!AP$4</f>
        <v>70.052655469813885</v>
      </c>
      <c r="AQ27" s="5">
        <f>JORD100!AQ24/'Ark1'!AQ$4</f>
        <v>71.976713947990547</v>
      </c>
      <c r="AR27" s="5">
        <f>JORD100!AR24/'Ark1'!AR$4</f>
        <v>80.230230171529101</v>
      </c>
      <c r="AS27" s="5">
        <f>JORD100!AS24/'Ark1'!AS$4</f>
        <v>84.307113702623909</v>
      </c>
      <c r="AT27" s="5">
        <f>JORD100!AT24/'Ark1'!AT$4</f>
        <v>93.556987374836751</v>
      </c>
      <c r="AU27" s="5">
        <f>JORD100!AU24/'Ark1'!AU$4</f>
        <v>104.60720798957881</v>
      </c>
      <c r="AV27" s="5">
        <f>JORD100!AV24/'Ark1'!AV$4</f>
        <v>109.28070978820837</v>
      </c>
      <c r="AW27" s="5">
        <f>JORD100!AW24/'Ark1'!AW$4</f>
        <v>112.84332150461321</v>
      </c>
      <c r="AX27" s="5">
        <f>JORD100!AX24/'Ark1'!AX$4</f>
        <v>120.50216962524655</v>
      </c>
      <c r="AY27" s="5">
        <f>JORD100!AY24/'Ark1'!AY$4</f>
        <v>132.28804713804715</v>
      </c>
      <c r="AZ27" s="5">
        <f>JORD100!AZ24/'Ark1'!AZ$4</f>
        <v>148.17818181818183</v>
      </c>
      <c r="BA27" s="5">
        <f>JORD100!BA24/'Ark1'!BA$4</f>
        <v>150.18094385471287</v>
      </c>
      <c r="BB27" s="5">
        <f>JORD100!BB24/'Ark1'!BB$4</f>
        <v>165.57835830134951</v>
      </c>
      <c r="BC27" s="5">
        <f>JORD100!BC24/'Ark1'!BC$4</f>
        <v>194.22437713727405</v>
      </c>
    </row>
    <row r="28" spans="1:55" x14ac:dyDescent="0.25">
      <c r="C28" s="3" t="s">
        <v>62</v>
      </c>
      <c r="D28" s="5">
        <f>JORD100!D25/'Ark1'!D$4</f>
        <v>48.1</v>
      </c>
      <c r="E28" s="5">
        <f>JORD100!E25/'Ark1'!E$4</f>
        <v>53.680720180045007</v>
      </c>
      <c r="F28" s="5">
        <f>JORD100!F25/'Ark1'!F$4</f>
        <v>55.544969199178645</v>
      </c>
      <c r="G28" s="5">
        <f>JORD100!G25/'Ark1'!G$4</f>
        <v>57.219095477386929</v>
      </c>
      <c r="H28" s="5">
        <f>JORD100!H25/'Ark1'!H$4</f>
        <v>60.773318258903331</v>
      </c>
      <c r="I28" s="5">
        <f>JORD100!I25/'Ark1'!I$4</f>
        <v>68.492702980472771</v>
      </c>
      <c r="J28" s="5">
        <f>JORD100!J25/'Ark1'!J$4</f>
        <v>70.671542428504452</v>
      </c>
      <c r="K28" s="5">
        <f>JORD100!K25/'Ark1'!K$4</f>
        <v>65.423038397328881</v>
      </c>
      <c r="L28" s="5">
        <f>JORD100!L25/'Ark1'!L$4</f>
        <v>65.119462084422864</v>
      </c>
      <c r="M28" s="5">
        <f>JORD100!M25/'Ark1'!M$4</f>
        <v>63.68195386702849</v>
      </c>
      <c r="N28" s="5">
        <f>JORD100!N25/'Ark1'!N$4</f>
        <v>64.034771573604061</v>
      </c>
      <c r="O28" s="5">
        <f>JORD100!O25/'Ark1'!O$4</f>
        <v>61.76835820895522</v>
      </c>
      <c r="P28" s="5">
        <f>JORD100!P25/'Ark1'!P$4</f>
        <v>59.596464214428295</v>
      </c>
      <c r="Q28" s="5">
        <f>JORD100!Q25/'Ark1'!Q$4</f>
        <v>61.011111111111113</v>
      </c>
      <c r="R28" s="5">
        <f>JORD100!R25/'Ark1'!R$4</f>
        <v>63.424114225277627</v>
      </c>
      <c r="S28" s="5">
        <f>JORD100!S25/'Ark1'!S$4</f>
        <v>66.41224386541866</v>
      </c>
      <c r="T28" s="5">
        <f>JORD100!T25/'Ark1'!T$4</f>
        <v>64.442394978271366</v>
      </c>
      <c r="U28" s="5">
        <f>JORD100!U25/'Ark1'!U$4</f>
        <v>65.373418019289574</v>
      </c>
      <c r="V28" s="5">
        <f>JORD100!V25/'Ark1'!V$4</f>
        <v>66.33788192051459</v>
      </c>
      <c r="W28" s="5">
        <f>JORD100!W25/'Ark1'!W$4</f>
        <v>68.241709786276715</v>
      </c>
      <c r="X28" s="5">
        <f>JORD100!X25/'Ark1'!X$4</f>
        <v>69.000355555555558</v>
      </c>
      <c r="Y28" s="5">
        <f>JORD100!Y25/'Ark1'!Y$4</f>
        <v>79.711111111111109</v>
      </c>
      <c r="Z28" s="5">
        <f>JORD100!Z25/'Ark1'!Z$4</f>
        <v>84.738796414852757</v>
      </c>
      <c r="AA28" s="5">
        <f>JORD100!AA25/'Ark1'!AA$4</f>
        <v>85.691368861024031</v>
      </c>
      <c r="AB28" s="5">
        <f>JORD100!AB25/'Ark1'!AB$4</f>
        <v>86.097177914110432</v>
      </c>
      <c r="AC28" s="5">
        <f>JORD100!AC25/'Ark1'!AC$4</f>
        <v>66.017349397590351</v>
      </c>
      <c r="AD28" s="5">
        <f>JORD100!AD25/'Ark1'!AD$4</f>
        <v>68.626175548589345</v>
      </c>
      <c r="AE28" s="5">
        <f>JORD100!AE25/'Ark1'!AE$4</f>
        <v>70.112621359223311</v>
      </c>
      <c r="AF28" s="5">
        <f>JORD100!AF25/'Ark1'!AF$4</f>
        <v>72.473051887669712</v>
      </c>
      <c r="AG28" s="5">
        <f>JORD100!AG25/'Ark1'!AG$4</f>
        <v>70.846195750862535</v>
      </c>
      <c r="AH28" s="5">
        <f>JORD100!AH25/'Ark1'!AH$4</f>
        <v>72.501885450017795</v>
      </c>
      <c r="AI28" s="5">
        <f>JORD100!AI25/'Ark1'!AI$4</f>
        <v>73.279057499560409</v>
      </c>
      <c r="AJ28" s="5">
        <f>JORD100!AJ25/'Ark1'!AJ$4</f>
        <v>71.895613126079454</v>
      </c>
      <c r="AK28" s="5">
        <f>JORD100!AK25/'Ark1'!AK$4</f>
        <v>76.648677966101687</v>
      </c>
      <c r="AL28" s="5">
        <f>JORD100!AL25/'Ark1'!AL$4</f>
        <v>76.572237960339933</v>
      </c>
      <c r="AM28" s="5">
        <f>JORD100!AM25/'Ark1'!AM$4</f>
        <v>75.489315068493156</v>
      </c>
      <c r="AN28" s="5">
        <f>JORD100!AN25/'Ark1'!AN$4</f>
        <v>78.071830761889615</v>
      </c>
      <c r="AO28" s="5">
        <f>JORD100!AO25/'Ark1'!AO$4</f>
        <v>76.239925373134326</v>
      </c>
      <c r="AP28" s="5">
        <f>JORD100!AP25/'Ark1'!AP$4</f>
        <v>73.865758813738836</v>
      </c>
      <c r="AQ28" s="5">
        <f>JORD100!AQ25/'Ark1'!AQ$4</f>
        <v>73.650591016548461</v>
      </c>
      <c r="AR28" s="5">
        <f>JORD100!AR25/'Ark1'!AR$4</f>
        <v>73.129159947221808</v>
      </c>
      <c r="AS28" s="5">
        <f>JORD100!AS25/'Ark1'!AS$4</f>
        <v>74.988338192419832</v>
      </c>
      <c r="AT28" s="5">
        <f>JORD100!AT25/'Ark1'!AT$4</f>
        <v>74.701320563053258</v>
      </c>
      <c r="AU28" s="5">
        <f>JORD100!AU25/'Ark1'!AU$4</f>
        <v>78.756578376031257</v>
      </c>
      <c r="AV28" s="5">
        <f>JORD100!AV25/'Ark1'!AV$4</f>
        <v>78.130910131654275</v>
      </c>
      <c r="AW28" s="5">
        <f>JORD100!AW25/'Ark1'!AW$4</f>
        <v>76.66191625266147</v>
      </c>
      <c r="AX28" s="5">
        <f>JORD100!AX25/'Ark1'!AX$4</f>
        <v>79.379318117779661</v>
      </c>
      <c r="AY28" s="5">
        <f>JORD100!AY25/'Ark1'!AY$4</f>
        <v>79.256060606060601</v>
      </c>
      <c r="AZ28" s="5">
        <f>JORD100!AZ25/'Ark1'!AZ$4</f>
        <v>78.993333333333339</v>
      </c>
      <c r="BA28" s="5">
        <f>JORD100!BA25/'Ark1'!BA$4</f>
        <v>72.547538048343768</v>
      </c>
      <c r="BB28" s="5">
        <f>JORD100!BB25/'Ark1'!BB$4</f>
        <v>72.706202798068588</v>
      </c>
      <c r="BC28" s="5">
        <f>JORD100!BC25/'Ark1'!BC$4</f>
        <v>74.953639472398621</v>
      </c>
    </row>
    <row r="29" spans="1:55" x14ac:dyDescent="0.25">
      <c r="C29" s="3" t="s">
        <v>63</v>
      </c>
      <c r="D29" s="5">
        <f>JORD100!D26/'Ark1'!D$4</f>
        <v>74.900000000000006</v>
      </c>
      <c r="E29" s="5">
        <f>JORD100!E26/'Ark1'!E$4</f>
        <v>63.046661665416352</v>
      </c>
      <c r="F29" s="5">
        <f>JORD100!F26/'Ark1'!F$4</f>
        <v>66.622313483915136</v>
      </c>
      <c r="G29" s="5">
        <f>JORD100!G26/'Ark1'!G$4</f>
        <v>56.129899497487436</v>
      </c>
      <c r="H29" s="5">
        <f>JORD100!H26/'Ark1'!H$4</f>
        <v>75.672583380440926</v>
      </c>
      <c r="I29" s="5">
        <f>JORD100!I26/'Ark1'!I$4</f>
        <v>71.462898252826307</v>
      </c>
      <c r="J29" s="5">
        <f>JORD100!J26/'Ark1'!J$4</f>
        <v>71.050914205344583</v>
      </c>
      <c r="K29" s="5">
        <f>JORD100!K26/'Ark1'!K$4</f>
        <v>63.058931552587637</v>
      </c>
      <c r="L29" s="5">
        <f>JORD100!L26/'Ark1'!L$4</f>
        <v>82.953903623459098</v>
      </c>
      <c r="M29" s="5">
        <f>JORD100!M26/'Ark1'!M$4</f>
        <v>97.013025780189949</v>
      </c>
      <c r="N29" s="5">
        <f>JORD100!N26/'Ark1'!N$4</f>
        <v>74.633883248730967</v>
      </c>
      <c r="O29" s="5">
        <f>JORD100!O26/'Ark1'!O$4</f>
        <v>111.45910447761193</v>
      </c>
      <c r="P29" s="5">
        <f>JORD100!P26/'Ark1'!P$4</f>
        <v>95.163159395494731</v>
      </c>
      <c r="Q29" s="5">
        <f>JORD100!Q26/'Ark1'!Q$4</f>
        <v>86.223102310231013</v>
      </c>
      <c r="R29" s="5">
        <f>JORD100!R26/'Ark1'!R$4</f>
        <v>70.056901110523526</v>
      </c>
      <c r="S29" s="5">
        <f>JORD100!S26/'Ark1'!S$4</f>
        <v>84.280091070073354</v>
      </c>
      <c r="T29" s="5">
        <f>JORD100!T26/'Ark1'!T$4</f>
        <v>111.55316272332206</v>
      </c>
      <c r="U29" s="5">
        <f>JORD100!U26/'Ark1'!U$4</f>
        <v>87.590590449306049</v>
      </c>
      <c r="V29" s="5">
        <f>JORD100!V26/'Ark1'!V$4</f>
        <v>93.850310130944166</v>
      </c>
      <c r="W29" s="5">
        <f>JORD100!W26/'Ark1'!W$4</f>
        <v>80.985016872890881</v>
      </c>
      <c r="X29" s="5">
        <f>JORD100!X26/'Ark1'!X$4</f>
        <v>85.877955555555559</v>
      </c>
      <c r="Y29" s="5">
        <f>JORD100!Y26/'Ark1'!Y$4</f>
        <v>95.451851851851856</v>
      </c>
      <c r="Z29" s="5">
        <f>JORD100!Z26/'Ark1'!Z$4</f>
        <v>104.72087067861717</v>
      </c>
      <c r="AA29" s="5">
        <f>JORD100!AA26/'Ark1'!AA$4</f>
        <v>115.93822361546499</v>
      </c>
      <c r="AB29" s="5">
        <f>JORD100!AB26/'Ark1'!AB$4</f>
        <v>116.99476482617587</v>
      </c>
      <c r="AC29" s="5">
        <f>JORD100!AC26/'Ark1'!AC$4</f>
        <v>75.627469879518074</v>
      </c>
      <c r="AD29" s="5">
        <f>JORD100!AD26/'Ark1'!AD$4</f>
        <v>79.06731974921631</v>
      </c>
      <c r="AE29" s="5">
        <f>JORD100!AE26/'Ark1'!AE$4</f>
        <v>123.17022653721685</v>
      </c>
      <c r="AF29" s="5">
        <f>JORD100!AF26/'Ark1'!AF$4</f>
        <v>140.38832062488376</v>
      </c>
      <c r="AG29" s="5">
        <f>JORD100!AG26/'Ark1'!AG$4</f>
        <v>96.917595787179948</v>
      </c>
      <c r="AH29" s="5">
        <f>JORD100!AH26/'Ark1'!AH$4</f>
        <v>92.241479900391326</v>
      </c>
      <c r="AI29" s="5">
        <f>JORD100!AI26/'Ark1'!AI$4</f>
        <v>107.79440829963073</v>
      </c>
      <c r="AJ29" s="5">
        <f>JORD100!AJ26/'Ark1'!AJ$4</f>
        <v>67.503212435233166</v>
      </c>
      <c r="AK29" s="5">
        <f>JORD100!AK26/'Ark1'!AK$4</f>
        <v>105.90135593220339</v>
      </c>
      <c r="AL29" s="5">
        <f>JORD100!AL26/'Ark1'!AL$4</f>
        <v>69.579603399433424</v>
      </c>
      <c r="AM29" s="5">
        <f>JORD100!AM26/'Ark1'!AM$4</f>
        <v>59.020273972602745</v>
      </c>
      <c r="AN29" s="5">
        <f>JORD100!AN26/'Ark1'!AN$4</f>
        <v>-8.6971210434229356</v>
      </c>
      <c r="AO29" s="5">
        <f>JORD100!AO26/'Ark1'!AO$4</f>
        <v>134.57910447761193</v>
      </c>
      <c r="AP29" s="5">
        <f>JORD100!AP26/'Ark1'!AP$4</f>
        <v>150.60009078529276</v>
      </c>
      <c r="AQ29" s="5">
        <f>JORD100!AQ26/'Ark1'!AQ$4</f>
        <v>223.17222222222222</v>
      </c>
      <c r="AR29" s="5">
        <f>JORD100!AR26/'Ark1'!AR$4</f>
        <v>194.88116112007037</v>
      </c>
      <c r="AS29" s="5">
        <f>JORD100!AS26/'Ark1'!AS$4</f>
        <v>134.1869970845481</v>
      </c>
      <c r="AT29" s="5">
        <f>JORD100!AT26/'Ark1'!AT$4</f>
        <v>104.22620809751849</v>
      </c>
      <c r="AU29" s="5">
        <f>JORD100!AU26/'Ark1'!AU$4</f>
        <v>116.45332175423361</v>
      </c>
      <c r="AV29" s="5">
        <f>JORD100!AV26/'Ark1'!AV$4</f>
        <v>232.95352032054953</v>
      </c>
      <c r="AW29" s="5">
        <f>JORD100!AW26/'Ark1'!AW$4</f>
        <v>93.776295244854509</v>
      </c>
      <c r="AX29" s="5">
        <f>JORD100!AX26/'Ark1'!AX$4</f>
        <v>289.48858833474219</v>
      </c>
      <c r="AY29" s="5">
        <f>JORD100!AY26/'Ark1'!AY$4</f>
        <v>294.14102132435465</v>
      </c>
      <c r="AZ29" s="5">
        <f>JORD100!AZ26/'Ark1'!AZ$4</f>
        <v>270.22694214876032</v>
      </c>
      <c r="BA29" s="5">
        <f>JORD100!BA26/'Ark1'!BA$4</f>
        <v>469.88095664407211</v>
      </c>
      <c r="BB29" s="5">
        <f>JORD100!BB26/'Ark1'!BB$4</f>
        <v>378.20106475176425</v>
      </c>
      <c r="BC29" s="5">
        <f>JORD100!BC26/'Ark1'!BC$4</f>
        <v>424.21021006350753</v>
      </c>
    </row>
    <row r="30" spans="1:55" x14ac:dyDescent="0.25">
      <c r="C30" s="3" t="s">
        <v>64</v>
      </c>
      <c r="D30" s="5">
        <f>JORD100!D27</f>
        <v>4.7</v>
      </c>
      <c r="E30" s="5">
        <f>JORD100!E27</f>
        <v>1.6</v>
      </c>
      <c r="F30" s="5">
        <f>JORD100!F27</f>
        <v>1.7</v>
      </c>
      <c r="G30" s="5">
        <f>JORD100!G27</f>
        <v>-0.1</v>
      </c>
      <c r="H30" s="5">
        <f>JORD100!H27</f>
        <v>2</v>
      </c>
      <c r="I30" s="5">
        <f>JORD100!I27</f>
        <v>0.4</v>
      </c>
      <c r="J30" s="5">
        <f>JORD100!J27</f>
        <v>0</v>
      </c>
      <c r="K30" s="5">
        <f>JORD100!K27</f>
        <v>-0.3</v>
      </c>
      <c r="L30" s="5">
        <f>JORD100!L27</f>
        <v>2.8</v>
      </c>
      <c r="M30" s="5">
        <f>JORD100!M27</f>
        <v>5.5</v>
      </c>
      <c r="N30" s="5">
        <f>JORD100!N27</f>
        <v>1.8</v>
      </c>
      <c r="O30" s="5">
        <f>JORD100!O27</f>
        <v>7.5</v>
      </c>
      <c r="P30" s="5">
        <f>JORD100!P27</f>
        <v>4.9000000000000004</v>
      </c>
      <c r="Q30" s="5">
        <f>JORD100!Q27</f>
        <v>3</v>
      </c>
      <c r="R30" s="5">
        <f>JORD100!R27</f>
        <v>0.8</v>
      </c>
      <c r="S30" s="5">
        <f>JORD100!S27</f>
        <v>2.2000000000000002</v>
      </c>
      <c r="T30" s="5">
        <f>JORD100!T27</f>
        <v>5.9</v>
      </c>
      <c r="U30" s="5">
        <f>JORD100!U27</f>
        <v>3.5</v>
      </c>
      <c r="V30" s="5">
        <f>JORD100!V27</f>
        <v>3.9</v>
      </c>
      <c r="W30" s="5">
        <f>JORD100!W27</f>
        <v>2.2000000000000002</v>
      </c>
      <c r="X30" s="5">
        <f>JORD100!X27</f>
        <v>2.7</v>
      </c>
      <c r="Y30" s="5">
        <f>JORD100!Y27</f>
        <v>2.4</v>
      </c>
      <c r="Z30" s="5">
        <f>JORD100!Z27</f>
        <v>2.4</v>
      </c>
      <c r="AA30" s="5">
        <f>JORD100!AA27</f>
        <v>3.2</v>
      </c>
      <c r="AB30" s="5">
        <f>JORD100!AB27</f>
        <v>2.9</v>
      </c>
      <c r="AC30" s="5">
        <f>JORD100!AC27</f>
        <v>1.1000000000000001</v>
      </c>
      <c r="AD30" s="5">
        <f>JORD100!AD27</f>
        <v>1</v>
      </c>
      <c r="AE30" s="5">
        <f>JORD100!AE27</f>
        <v>3.4</v>
      </c>
      <c r="AF30" s="5">
        <f>JORD100!AF27</f>
        <v>3.8</v>
      </c>
      <c r="AG30" s="5">
        <f>JORD100!AG27</f>
        <v>1.5</v>
      </c>
      <c r="AH30" s="5">
        <f>JORD100!AH27</f>
        <v>1.1000000000000001</v>
      </c>
      <c r="AI30" s="5">
        <f>JORD100!AI27</f>
        <v>1.6</v>
      </c>
      <c r="AJ30" s="5">
        <f>JORD100!AJ27</f>
        <v>2</v>
      </c>
      <c r="AK30" s="5">
        <f>JORD100!AK27</f>
        <v>2.5</v>
      </c>
      <c r="AL30" s="5">
        <f>JORD100!AL27</f>
        <v>1.5</v>
      </c>
      <c r="AM30" s="5">
        <f>JORD100!AM27</f>
        <v>1.4</v>
      </c>
      <c r="AN30" s="5">
        <f>JORD100!AN27</f>
        <v>-0.1</v>
      </c>
      <c r="AO30" s="5">
        <f>JORD100!AO27</f>
        <v>2</v>
      </c>
      <c r="AP30" s="5">
        <f>JORD100!AP27</f>
        <v>2.2999999999999998</v>
      </c>
      <c r="AQ30" s="5">
        <f>JORD100!AQ27</f>
        <v>3.6</v>
      </c>
      <c r="AR30" s="5">
        <f>JORD100!AR27</f>
        <v>3.1</v>
      </c>
      <c r="AS30" s="5">
        <f>JORD100!AS27</f>
        <v>2.1</v>
      </c>
      <c r="AT30" s="5">
        <f>JORD100!AT27</f>
        <v>1.6</v>
      </c>
      <c r="AU30" s="5">
        <f>JORD100!AU27</f>
        <v>1.6</v>
      </c>
      <c r="AV30" s="5">
        <f>JORD100!AV27</f>
        <v>3.3</v>
      </c>
      <c r="AW30" s="5">
        <f>JORD100!AW27</f>
        <v>1.3</v>
      </c>
      <c r="AX30" s="5">
        <f>JORD100!AX27</f>
        <v>4</v>
      </c>
      <c r="AY30" s="5">
        <f>JORD100!AY27</f>
        <v>3.8</v>
      </c>
      <c r="AZ30" s="5">
        <f>JORD100!AZ27</f>
        <v>3.3</v>
      </c>
      <c r="BA30" s="5">
        <f>JORD100!BA27</f>
        <v>6</v>
      </c>
      <c r="BB30" s="5">
        <f>JORD100!BB27</f>
        <v>4.4000000000000004</v>
      </c>
      <c r="BC30" s="5">
        <f>JORD100!BC27</f>
        <v>4.5999999999999996</v>
      </c>
    </row>
    <row r="31" spans="1:55" x14ac:dyDescent="0.25">
      <c r="B31" s="3" t="s">
        <v>65</v>
      </c>
      <c r="C31" s="3" t="s">
        <v>56</v>
      </c>
      <c r="D31" s="5">
        <f>JORD100!D28/'Ark1'!D$4</f>
        <v>13.4</v>
      </c>
      <c r="E31" s="5">
        <f>JORD100!E28/'Ark1'!E$4</f>
        <v>11.880870217554387</v>
      </c>
      <c r="F31" s="5">
        <f>JORD100!F28/'Ark1'!F$4</f>
        <v>11.077344284736482</v>
      </c>
      <c r="G31" s="5">
        <f>JORD100!G28/'Ark1'!G$4</f>
        <v>10.09321608040201</v>
      </c>
      <c r="H31" s="5">
        <f>JORD100!H28/'Ark1'!H$4</f>
        <v>9.279366873940079</v>
      </c>
      <c r="I31" s="5">
        <f>JORD100!I28/'Ark1'!I$4</f>
        <v>8.6135662898252825</v>
      </c>
      <c r="J31" s="5">
        <f>JORD100!J28/'Ark1'!J$4</f>
        <v>7.9668073136427564</v>
      </c>
      <c r="K31" s="5">
        <f>JORD100!K28/'Ark1'!K$4</f>
        <v>7.2853088480801338</v>
      </c>
      <c r="L31" s="5">
        <f>JORD100!L28/'Ark1'!L$4</f>
        <v>6.7796787448636531</v>
      </c>
      <c r="M31" s="5">
        <f>JORD100!M28/'Ark1'!M$4</f>
        <v>6.0780189959294431</v>
      </c>
      <c r="N31" s="5">
        <f>JORD100!N28/'Ark1'!N$4</f>
        <v>5.831345177664975</v>
      </c>
      <c r="O31" s="5">
        <f>JORD100!O28/'Ark1'!O$4</f>
        <v>5.5902089552238801</v>
      </c>
      <c r="P31" s="5">
        <f>JORD100!P28/'Ark1'!P$4</f>
        <v>5.471799258625607</v>
      </c>
      <c r="Q31" s="5">
        <f>JORD100!Q28/'Ark1'!Q$4</f>
        <v>5.2458745874587462</v>
      </c>
      <c r="R31" s="5">
        <f>JORD100!R28/'Ark1'!R$4</f>
        <v>5.0433632998413538</v>
      </c>
      <c r="S31" s="5">
        <f>JORD100!S28/'Ark1'!S$4</f>
        <v>5.0299013407538578</v>
      </c>
      <c r="T31" s="5">
        <f>JORD100!T28/'Ark1'!T$4</f>
        <v>4.7445678416224046</v>
      </c>
      <c r="U31" s="5">
        <f>JORD100!U28/'Ark1'!U$4</f>
        <v>5.8194307221830153</v>
      </c>
      <c r="V31" s="5">
        <f>JORD100!V28/'Ark1'!V$4</f>
        <v>5.7096255456007352</v>
      </c>
      <c r="W31" s="5">
        <f>JORD100!W28/'Ark1'!W$4</f>
        <v>5.5394375703037122</v>
      </c>
      <c r="X31" s="5">
        <f>JORD100!X28/'Ark1'!X$4</f>
        <v>5.6515555555555554</v>
      </c>
      <c r="Y31" s="5">
        <f>JORD100!Y28/'Ark1'!Y$4</f>
        <v>5.2888888888888888</v>
      </c>
      <c r="Z31" s="5">
        <f>JORD100!Z28/'Ark1'!Z$4</f>
        <v>5.4025608194622281</v>
      </c>
      <c r="AA31" s="5">
        <f>JORD100!AA28/'Ark1'!AA$4</f>
        <v>5.3632601880877742</v>
      </c>
      <c r="AB31" s="5">
        <f>JORD100!AB28/'Ark1'!AB$4</f>
        <v>5.2480981595092029</v>
      </c>
      <c r="AC31" s="5">
        <f>JORD100!AC28/'Ark1'!AC$4</f>
        <v>5.5014457831325299</v>
      </c>
      <c r="AD31" s="5">
        <f>JORD100!AD28/'Ark1'!AD$4</f>
        <v>5.5489811912225706</v>
      </c>
      <c r="AE31" s="5">
        <f>JORD100!AE28/'Ark1'!AE$4</f>
        <v>5.4135922330097088</v>
      </c>
      <c r="AF31" s="5">
        <f>JORD100!AF28/'Ark1'!AF$4</f>
        <v>5.4177422354472755</v>
      </c>
      <c r="AG31" s="5">
        <f>JORD100!AG28/'Ark1'!AG$4</f>
        <v>5.4577810059923735</v>
      </c>
      <c r="AH31" s="5">
        <f>JORD100!AH28/'Ark1'!AH$4</f>
        <v>5.5106367840626111</v>
      </c>
      <c r="AI31" s="5">
        <f>JORD100!AI28/'Ark1'!AI$4</f>
        <v>5.4273254791630032</v>
      </c>
      <c r="AJ31" s="5">
        <f>JORD100!AJ28/'Ark1'!AJ$4</f>
        <v>5.5703626943005178</v>
      </c>
      <c r="AK31" s="5">
        <f>JORD100!AK28/'Ark1'!AK$4</f>
        <v>5.6232542372881351</v>
      </c>
      <c r="AL31" s="5">
        <f>JORD100!AL28/'Ark1'!AL$4</f>
        <v>5.4130311614730875</v>
      </c>
      <c r="AM31" s="5">
        <f>JORD100!AM28/'Ark1'!AM$4</f>
        <v>5.5331506849315071</v>
      </c>
      <c r="AN31" s="5">
        <f>JORD100!AN28/'Ark1'!AN$4</f>
        <v>5.3690472403372036</v>
      </c>
      <c r="AO31" s="5">
        <f>JORD100!AO28/'Ark1'!AO$4</f>
        <v>5.841106965174129</v>
      </c>
      <c r="AP31" s="5">
        <f>JORD100!AP28/'Ark1'!AP$4</f>
        <v>6.1219549099712509</v>
      </c>
      <c r="AQ31" s="5">
        <f>JORD100!AQ28/'Ark1'!AQ$4</f>
        <v>5.9610520094562647</v>
      </c>
      <c r="AR31" s="5">
        <f>JORD100!AR28/'Ark1'!AR$4</f>
        <v>6.050315203049407</v>
      </c>
      <c r="AS31" s="5">
        <f>JORD100!AS28/'Ark1'!AS$4</f>
        <v>5.9316618075801761</v>
      </c>
      <c r="AT31" s="5">
        <f>JORD100!AT28/'Ark1'!AT$4</f>
        <v>6.5088956610071103</v>
      </c>
      <c r="AU31" s="5">
        <f>JORD100!AU28/'Ark1'!AU$4</f>
        <v>6.0234476769431176</v>
      </c>
      <c r="AV31" s="5">
        <f>JORD100!AV28/'Ark1'!AV$4</f>
        <v>6.0546078992558678</v>
      </c>
      <c r="AW31" s="5">
        <f>JORD100!AW28/'Ark1'!AW$4</f>
        <v>6.0712562100780696</v>
      </c>
      <c r="AX31" s="5">
        <f>JORD100!AX28/'Ark1'!AX$4</f>
        <v>6.7099464637926181</v>
      </c>
      <c r="AY31" s="5">
        <f>JORD100!AY28/'Ark1'!AY$4</f>
        <v>9.4549382716049379</v>
      </c>
      <c r="AZ31" s="5">
        <f>JORD100!AZ28/'Ark1'!AZ$4</f>
        <v>9.4104132231404964</v>
      </c>
      <c r="BA31" s="5">
        <f>JORD100!BA28/'Ark1'!BA$4</f>
        <v>8.4863025962399288</v>
      </c>
      <c r="BB31" s="5">
        <f>JORD100!BB28/'Ark1'!BB$4</f>
        <v>8.3297263835582509</v>
      </c>
      <c r="BC31" s="5">
        <f>JORD100!BC28/'Ark1'!BC$4</f>
        <v>9.1768441621885675</v>
      </c>
    </row>
    <row r="32" spans="1:55" x14ac:dyDescent="0.25">
      <c r="C32" s="3" t="s">
        <v>58</v>
      </c>
      <c r="D32" s="5">
        <f>JORD100!D29/'Ark1'!D$4</f>
        <v>274.39999999999998</v>
      </c>
      <c r="E32" s="5">
        <f>JORD100!E29/'Ark1'!E$4</f>
        <v>261.72603150787694</v>
      </c>
      <c r="F32" s="5">
        <f>JORD100!F29/'Ark1'!F$4</f>
        <v>280.17768651608492</v>
      </c>
      <c r="G32" s="5">
        <f>JORD100!G29/'Ark1'!G$4</f>
        <v>303.15954773869345</v>
      </c>
      <c r="H32" s="5">
        <f>JORD100!H29/'Ark1'!H$4</f>
        <v>282.10582249858675</v>
      </c>
      <c r="I32" s="5">
        <f>JORD100!I29/'Ark1'!I$4</f>
        <v>294.88098663926002</v>
      </c>
      <c r="J32" s="5">
        <f>JORD100!J29/'Ark1'!J$4</f>
        <v>319.26844819503049</v>
      </c>
      <c r="K32" s="5">
        <f>JORD100!K29/'Ark1'!K$4</f>
        <v>279.83305509181969</v>
      </c>
      <c r="L32" s="5">
        <f>JORD100!L29/'Ark1'!L$4</f>
        <v>213.49510646245798</v>
      </c>
      <c r="M32" s="5">
        <f>JORD100!M29/'Ark1'!M$4</f>
        <v>194.26132971506104</v>
      </c>
      <c r="N32" s="5">
        <f>JORD100!N29/'Ark1'!N$4</f>
        <v>182.67880710659898</v>
      </c>
      <c r="O32" s="5">
        <f>JORD100!O29/'Ark1'!O$4</f>
        <v>205.38841791044777</v>
      </c>
      <c r="P32" s="5">
        <f>JORD100!P29/'Ark1'!P$4</f>
        <v>228.00262332477902</v>
      </c>
      <c r="Q32" s="5">
        <f>JORD100!Q29/'Ark1'!Q$4</f>
        <v>261.91221122112211</v>
      </c>
      <c r="R32" s="5">
        <f>JORD100!R29/'Ark1'!R$4</f>
        <v>251.19005817028025</v>
      </c>
      <c r="S32" s="5">
        <f>JORD100!S29/'Ark1'!S$4</f>
        <v>256.0863141917531</v>
      </c>
      <c r="T32" s="5">
        <f>JORD100!T29/'Ark1'!T$4</f>
        <v>243.11723804925157</v>
      </c>
      <c r="U32" s="5">
        <f>JORD100!U29/'Ark1'!U$4</f>
        <v>273.37727593507407</v>
      </c>
      <c r="V32" s="5">
        <f>JORD100!V29/'Ark1'!V$4</f>
        <v>272.41552951987131</v>
      </c>
      <c r="W32" s="5">
        <f>JORD100!W29/'Ark1'!W$4</f>
        <v>254.21597300337459</v>
      </c>
      <c r="X32" s="5">
        <f>JORD100!X29/'Ark1'!X$4</f>
        <v>247.15280000000001</v>
      </c>
      <c r="Y32" s="5">
        <f>JORD100!Y29/'Ark1'!Y$4</f>
        <v>248.72888888888889</v>
      </c>
      <c r="Z32" s="5">
        <f>JORD100!Z29/'Ark1'!Z$4</f>
        <v>279.20631668800684</v>
      </c>
      <c r="AA32" s="5">
        <f>JORD100!AA29/'Ark1'!AA$4</f>
        <v>283.91456635318707</v>
      </c>
      <c r="AB32" s="5">
        <f>JORD100!AB29/'Ark1'!AB$4</f>
        <v>305.50077709611452</v>
      </c>
      <c r="AC32" s="5">
        <f>JORD100!AC29/'Ark1'!AC$4</f>
        <v>339.18618473895583</v>
      </c>
      <c r="AD32" s="5">
        <f>JORD100!AD29/'Ark1'!AD$4</f>
        <v>373.2539184952978</v>
      </c>
      <c r="AE32" s="5">
        <f>JORD100!AE29/'Ark1'!AE$4</f>
        <v>409.01229773462785</v>
      </c>
      <c r="AF32" s="5">
        <f>JORD100!AF29/'Ark1'!AF$4</f>
        <v>448.68365259438349</v>
      </c>
      <c r="AG32" s="5">
        <f>JORD100!AG29/'Ark1'!AG$4</f>
        <v>473.65142545850733</v>
      </c>
      <c r="AH32" s="5">
        <f>JORD100!AH29/'Ark1'!AH$4</f>
        <v>474.34656705798648</v>
      </c>
      <c r="AI32" s="5">
        <f>JORD100!AI29/'Ark1'!AI$4</f>
        <v>557.95751714436437</v>
      </c>
      <c r="AJ32" s="5">
        <f>JORD100!AJ29/'Ark1'!AJ$4</f>
        <v>611.90134715025908</v>
      </c>
      <c r="AK32" s="5">
        <f>JORD100!AK29/'Ark1'!AK$4</f>
        <v>853.59823728813558</v>
      </c>
      <c r="AL32" s="5">
        <f>JORD100!AL29/'Ark1'!AL$4</f>
        <v>864.62096317280441</v>
      </c>
      <c r="AM32" s="5">
        <f>JORD100!AM29/'Ark1'!AM$4</f>
        <v>872.74739726027406</v>
      </c>
      <c r="AN32" s="5">
        <f>JORD100!AN29/'Ark1'!AN$4</f>
        <v>1296.643295689518</v>
      </c>
      <c r="AO32" s="5">
        <f>JORD100!AO29/'Ark1'!AO$4</f>
        <v>1270.7373134328357</v>
      </c>
      <c r="AP32" s="5">
        <f>JORD100!AP29/'Ark1'!AP$4</f>
        <v>1238.174126191557</v>
      </c>
      <c r="AQ32" s="5">
        <f>JORD100!AQ29/'Ark1'!AQ$4</f>
        <v>1176.7868203309692</v>
      </c>
      <c r="AR32" s="5">
        <f>JORD100!AR29/'Ark1'!AR$4</f>
        <v>1193.8780237501833</v>
      </c>
      <c r="AS32" s="5">
        <f>JORD100!AS29/'Ark1'!AS$4</f>
        <v>1207.345947521866</v>
      </c>
      <c r="AT32" s="5">
        <f>JORD100!AT29/'Ark1'!AT$4</f>
        <v>1443.7166739225077</v>
      </c>
      <c r="AU32" s="5">
        <f>JORD100!AU29/'Ark1'!AU$4</f>
        <v>1360.3287306411926</v>
      </c>
      <c r="AV32" s="5">
        <f>JORD100!AV29/'Ark1'!AV$4</f>
        <v>1300.764682312536</v>
      </c>
      <c r="AW32" s="5">
        <f>JORD100!AW29/'Ark1'!AW$4</f>
        <v>1357.2211213626686</v>
      </c>
      <c r="AX32" s="5">
        <f>JORD100!AX29/'Ark1'!AX$4</f>
        <v>1445.6351648351649</v>
      </c>
      <c r="AY32" s="5">
        <f>JORD100!AY29/'Ark1'!AY$4</f>
        <v>1937.4838945005613</v>
      </c>
      <c r="AZ32" s="5">
        <f>JORD100!AZ29/'Ark1'!AZ$4</f>
        <v>2063.5714600550964</v>
      </c>
      <c r="BA32" s="5">
        <f>JORD100!BA29/'Ark1'!BA$4</f>
        <v>1946.0392889116256</v>
      </c>
      <c r="BB32" s="5">
        <f>JORD100!BB29/'Ark1'!BB$4</f>
        <v>1839.3524328339729</v>
      </c>
      <c r="BC32" s="5">
        <f>JORD100!BC29/'Ark1'!BC$4</f>
        <v>1908.4306301905226</v>
      </c>
    </row>
    <row r="33" spans="3:55" x14ac:dyDescent="0.25">
      <c r="C33" s="3" t="s">
        <v>59</v>
      </c>
      <c r="D33" s="5">
        <f>JORD100!D30/'Ark1'!D$4</f>
        <v>58.5</v>
      </c>
      <c r="E33" s="5">
        <f>JORD100!E30/'Ark1'!E$4</f>
        <v>53.420555138784692</v>
      </c>
      <c r="F33" s="5">
        <f>JORD100!F30/'Ark1'!F$4</f>
        <v>51.826146475017111</v>
      </c>
      <c r="G33" s="5">
        <f>JORD100!G30/'Ark1'!G$4</f>
        <v>49.086432160804016</v>
      </c>
      <c r="H33" s="5">
        <f>JORD100!H30/'Ark1'!H$4</f>
        <v>51.755342001130579</v>
      </c>
      <c r="I33" s="5">
        <f>JORD100!I30/'Ark1'!I$4</f>
        <v>51.206166495375129</v>
      </c>
      <c r="J33" s="5">
        <f>JORD100!J30/'Ark1'!J$4</f>
        <v>54.250164088138767</v>
      </c>
      <c r="K33" s="5">
        <f>JORD100!K30/'Ark1'!K$4</f>
        <v>49.019031719532549</v>
      </c>
      <c r="L33" s="5">
        <f>JORD100!L30/'Ark1'!L$4</f>
        <v>51.776017930519245</v>
      </c>
      <c r="M33" s="5">
        <f>JORD100!M30/'Ark1'!M$4</f>
        <v>56.545183175033912</v>
      </c>
      <c r="N33" s="5">
        <f>JORD100!N30/'Ark1'!N$4</f>
        <v>50.831725888324868</v>
      </c>
      <c r="O33" s="5">
        <f>JORD100!O30/'Ark1'!O$4</f>
        <v>61.733850746268658</v>
      </c>
      <c r="P33" s="5">
        <f>JORD100!P30/'Ark1'!P$4</f>
        <v>57.157228400342177</v>
      </c>
      <c r="Q33" s="5">
        <f>JORD100!Q30/'Ark1'!Q$4</f>
        <v>53.539713971397141</v>
      </c>
      <c r="R33" s="5">
        <f>JORD100!R30/'Ark1'!R$4</f>
        <v>46.307244843997886</v>
      </c>
      <c r="S33" s="5">
        <f>JORD100!S30/'Ark1'!S$4</f>
        <v>50.67918036933974</v>
      </c>
      <c r="T33" s="5">
        <f>JORD100!T30/'Ark1'!T$4</f>
        <v>51.966972477064218</v>
      </c>
      <c r="U33" s="5">
        <f>JORD100!U30/'Ark1'!U$4</f>
        <v>60.28821453775582</v>
      </c>
      <c r="V33" s="5">
        <f>JORD100!V30/'Ark1'!V$4</f>
        <v>59.433218470020677</v>
      </c>
      <c r="W33" s="5">
        <f>JORD100!W30/'Ark1'!W$4</f>
        <v>47.982452193475815</v>
      </c>
      <c r="X33" s="5">
        <f>JORD100!X30/'Ark1'!X$4</f>
        <v>51.352088888888893</v>
      </c>
      <c r="Y33" s="5">
        <f>JORD100!Y30/'Ark1'!Y$4</f>
        <v>51.5037037037037</v>
      </c>
      <c r="Z33" s="5">
        <f>JORD100!Z30/'Ark1'!Z$4</f>
        <v>51.706700810926165</v>
      </c>
      <c r="AA33" s="5">
        <f>JORD100!AA30/'Ark1'!AA$4</f>
        <v>51.844848484848484</v>
      </c>
      <c r="AB33" s="5">
        <f>JORD100!AB30/'Ark1'!AB$4</f>
        <v>51.180777096114518</v>
      </c>
      <c r="AC33" s="5">
        <f>JORD100!AC30/'Ark1'!AC$4</f>
        <v>50.302248995983931</v>
      </c>
      <c r="AD33" s="5">
        <f>JORD100!AD30/'Ark1'!AD$4</f>
        <v>48.491300940438869</v>
      </c>
      <c r="AE33" s="5">
        <f>JORD100!AE30/'Ark1'!AE$4</f>
        <v>51.209061488673136</v>
      </c>
      <c r="AF33" s="5">
        <f>JORD100!AF30/'Ark1'!AF$4</f>
        <v>52.801487818486144</v>
      </c>
      <c r="AG33" s="5">
        <f>JORD100!AG30/'Ark1'!AG$4</f>
        <v>48.721191211185761</v>
      </c>
      <c r="AH33" s="5">
        <f>JORD100!AH30/'Ark1'!AH$4</f>
        <v>52.248239060832439</v>
      </c>
      <c r="AI33" s="5">
        <f>JORD100!AI30/'Ark1'!AI$4</f>
        <v>53.114612273606475</v>
      </c>
      <c r="AJ33" s="5">
        <f>JORD100!AJ30/'Ark1'!AJ$4</f>
        <v>42.766010362694296</v>
      </c>
      <c r="AK33" s="5">
        <f>JORD100!AK30/'Ark1'!AK$4</f>
        <v>48.199322033898305</v>
      </c>
      <c r="AL33" s="5">
        <f>JORD100!AL30/'Ark1'!AL$4</f>
        <v>54.322946175637391</v>
      </c>
      <c r="AM33" s="5">
        <f>JORD100!AM30/'Ark1'!AM$4</f>
        <v>55.201095890410969</v>
      </c>
      <c r="AN33" s="5">
        <f>JORD100!AN30/'Ark1'!AN$4</f>
        <v>44.846254175282326</v>
      </c>
      <c r="AO33" s="5">
        <f>JORD100!AO30/'Ark1'!AO$4</f>
        <v>60.981156716417914</v>
      </c>
      <c r="AP33" s="5">
        <f>JORD100!AP30/'Ark1'!AP$4</f>
        <v>65.347495839007422</v>
      </c>
      <c r="AQ33" s="5">
        <f>JORD100!AQ30/'Ark1'!AQ$4</f>
        <v>76.434692671394799</v>
      </c>
      <c r="AR33" s="5">
        <f>JORD100!AR30/'Ark1'!AR$4</f>
        <v>70.756487318574983</v>
      </c>
      <c r="AS33" s="5">
        <f>JORD100!AS30/'Ark1'!AS$4</f>
        <v>65.753819241982512</v>
      </c>
      <c r="AT33" s="5">
        <f>JORD100!AT30/'Ark1'!AT$4</f>
        <v>76.848585111014373</v>
      </c>
      <c r="AU33" s="5">
        <f>JORD100!AU30/'Ark1'!AU$4</f>
        <v>70.474337820234481</v>
      </c>
      <c r="AV33" s="5">
        <f>JORD100!AV30/'Ark1'!AV$4</f>
        <v>70.488208357183751</v>
      </c>
      <c r="AW33" s="5">
        <f>JORD100!AW30/'Ark1'!AW$4</f>
        <v>71.985408090844572</v>
      </c>
      <c r="AX33" s="5">
        <f>JORD100!AX30/'Ark1'!AX$4</f>
        <v>78.825584671738525</v>
      </c>
      <c r="AY33" s="5">
        <f>JORD100!AY30/'Ark1'!AY$4</f>
        <v>114.54584736251402</v>
      </c>
      <c r="AZ33" s="5">
        <f>JORD100!AZ30/'Ark1'!AZ$4</f>
        <v>136.04495867768597</v>
      </c>
      <c r="BA33" s="5">
        <f>JORD100!BA30/'Ark1'!BA$4</f>
        <v>151.76288527944749</v>
      </c>
      <c r="BB33" s="5">
        <f>JORD100!BB30/'Ark1'!BB$4</f>
        <v>117.431967314597</v>
      </c>
      <c r="BC33" s="5">
        <f>JORD100!BC30/'Ark1'!BC$4</f>
        <v>122.88500244259892</v>
      </c>
    </row>
    <row r="34" spans="3:55" x14ac:dyDescent="0.25">
      <c r="C34" s="3" t="s">
        <v>60</v>
      </c>
      <c r="D34" s="5">
        <f>JORD100!D31/'Ark1'!D$4</f>
        <v>38.799999999999997</v>
      </c>
      <c r="E34" s="5">
        <f>JORD100!E31/'Ark1'!E$4</f>
        <v>36.162940735183795</v>
      </c>
      <c r="F34" s="5">
        <f>JORD100!F31/'Ark1'!F$4</f>
        <v>37.267351129363448</v>
      </c>
      <c r="G34" s="5">
        <f>JORD100!G31/'Ark1'!G$4</f>
        <v>37.468341708542717</v>
      </c>
      <c r="H34" s="5">
        <f>JORD100!H31/'Ark1'!H$4</f>
        <v>35.483776144714525</v>
      </c>
      <c r="I34" s="5">
        <f>JORD100!I31/'Ark1'!I$4</f>
        <v>37.840287769784176</v>
      </c>
      <c r="J34" s="5">
        <f>JORD100!J31/'Ark1'!J$4</f>
        <v>41.080543834974215</v>
      </c>
      <c r="K34" s="5">
        <f>JORD100!K31/'Ark1'!K$4</f>
        <v>41.106510851419031</v>
      </c>
      <c r="L34" s="5">
        <f>JORD100!L31/'Ark1'!L$4</f>
        <v>41.757639148300342</v>
      </c>
      <c r="M34" s="5">
        <f>JORD100!M31/'Ark1'!M$4</f>
        <v>42.585345997286289</v>
      </c>
      <c r="N34" s="5">
        <f>JORD100!N31/'Ark1'!N$4</f>
        <v>43.019923857868022</v>
      </c>
      <c r="O34" s="5">
        <f>JORD100!O31/'Ark1'!O$4</f>
        <v>44.859701492537312</v>
      </c>
      <c r="P34" s="5">
        <f>JORD100!P31/'Ark1'!P$4</f>
        <v>46.21362988309096</v>
      </c>
      <c r="Q34" s="5">
        <f>JORD100!Q31/'Ark1'!Q$4</f>
        <v>43.3023102310231</v>
      </c>
      <c r="R34" s="5">
        <f>JORD100!R31/'Ark1'!R$4</f>
        <v>41.049920676890537</v>
      </c>
      <c r="S34" s="5">
        <f>JORD100!S31/'Ark1'!S$4</f>
        <v>45.590791803693399</v>
      </c>
      <c r="T34" s="5">
        <f>JORD100!T31/'Ark1'!T$4</f>
        <v>44.3477547078706</v>
      </c>
      <c r="U34" s="5">
        <f>JORD100!U31/'Ark1'!U$4</f>
        <v>51.559068454481299</v>
      </c>
      <c r="V34" s="5">
        <f>JORD100!V31/'Ark1'!V$4</f>
        <v>50.589937973811161</v>
      </c>
      <c r="W34" s="5">
        <f>JORD100!W31/'Ark1'!W$4</f>
        <v>45.459797525309341</v>
      </c>
      <c r="X34" s="5">
        <f>JORD100!X31/'Ark1'!X$4</f>
        <v>45.212444444444444</v>
      </c>
      <c r="Y34" s="5">
        <f>JORD100!Y31/'Ark1'!Y$4</f>
        <v>42.865185185185183</v>
      </c>
      <c r="Z34" s="5">
        <f>JORD100!Z31/'Ark1'!Z$4</f>
        <v>41.394963721724295</v>
      </c>
      <c r="AA34" s="5">
        <f>JORD100!AA31/'Ark1'!AA$4</f>
        <v>41.988045977011495</v>
      </c>
      <c r="AB34" s="5">
        <f>JORD100!AB31/'Ark1'!AB$4</f>
        <v>42.032065439672806</v>
      </c>
      <c r="AC34" s="5">
        <f>JORD100!AC31/'Ark1'!AC$4</f>
        <v>44.847228915662647</v>
      </c>
      <c r="AD34" s="5">
        <f>JORD100!AD31/'Ark1'!AD$4</f>
        <v>42.874373040752353</v>
      </c>
      <c r="AE34" s="5">
        <f>JORD100!AE31/'Ark1'!AE$4</f>
        <v>44.387055016181229</v>
      </c>
      <c r="AF34" s="5">
        <f>JORD100!AF31/'Ark1'!AF$4</f>
        <v>46.803273200669516</v>
      </c>
      <c r="AG34" s="5">
        <f>JORD100!AG31/'Ark1'!AG$4</f>
        <v>47.167822771018699</v>
      </c>
      <c r="AH34" s="5">
        <f>JORD100!AH31/'Ark1'!AH$4</f>
        <v>47.518961223763782</v>
      </c>
      <c r="AI34" s="5">
        <f>JORD100!AI31/'Ark1'!AI$4</f>
        <v>49.17116229998242</v>
      </c>
      <c r="AJ34" s="5">
        <f>JORD100!AJ31/'Ark1'!AJ$4</f>
        <v>52.768704663212439</v>
      </c>
      <c r="AK34" s="5">
        <f>JORD100!AK31/'Ark1'!AK$4</f>
        <v>55.860271186440677</v>
      </c>
      <c r="AL34" s="5">
        <f>JORD100!AL31/'Ark1'!AL$4</f>
        <v>60.10198300283286</v>
      </c>
      <c r="AM34" s="5">
        <f>JORD100!AM31/'Ark1'!AM$4</f>
        <v>62.727671232876716</v>
      </c>
      <c r="AN34" s="5">
        <f>JORD100!AN31/'Ark1'!AN$4</f>
        <v>66.70857324638142</v>
      </c>
      <c r="AO34" s="5">
        <f>JORD100!AO31/'Ark1'!AO$4</f>
        <v>69.66194029850746</v>
      </c>
      <c r="AP34" s="5">
        <f>JORD100!AP31/'Ark1'!AP$4</f>
        <v>72.553911333030712</v>
      </c>
      <c r="AQ34" s="5">
        <f>JORD100!AQ31/'Ark1'!AQ$4</f>
        <v>72.31832151300236</v>
      </c>
      <c r="AR34" s="5">
        <f>JORD100!AR31/'Ark1'!AR$4</f>
        <v>75.772995161999702</v>
      </c>
      <c r="AS34" s="5">
        <f>JORD100!AS31/'Ark1'!AS$4</f>
        <v>72.578600583090378</v>
      </c>
      <c r="AT34" s="5">
        <f>JORD100!AT31/'Ark1'!AT$4</f>
        <v>78.006094906399653</v>
      </c>
      <c r="AU34" s="5">
        <f>JORD100!AU31/'Ark1'!AU$4</f>
        <v>75.962367925893759</v>
      </c>
      <c r="AV34" s="5">
        <f>JORD100!AV31/'Ark1'!AV$4</f>
        <v>73.300457927876366</v>
      </c>
      <c r="AW34" s="5">
        <f>JORD100!AW31/'Ark1'!AW$4</f>
        <v>77.203406671398156</v>
      </c>
      <c r="AX34" s="5">
        <f>JORD100!AX31/'Ark1'!AX$4</f>
        <v>82.489997182304876</v>
      </c>
      <c r="AY34" s="5">
        <f>JORD100!AY31/'Ark1'!AY$4</f>
        <v>104.8476430976431</v>
      </c>
      <c r="AZ34" s="5">
        <f>JORD100!AZ31/'Ark1'!AZ$4</f>
        <v>111.88997245179064</v>
      </c>
      <c r="BA34" s="5">
        <f>JORD100!BA31/'Ark1'!BA$4</f>
        <v>111.75603018288783</v>
      </c>
      <c r="BB34" s="5">
        <f>JORD100!BB31/'Ark1'!BB$4</f>
        <v>115.58568775535471</v>
      </c>
      <c r="BC34" s="5">
        <f>JORD100!BC31/'Ark1'!BC$4</f>
        <v>117.23771372740595</v>
      </c>
    </row>
    <row r="35" spans="3:55" x14ac:dyDescent="0.25">
      <c r="C35" s="3" t="s">
        <v>61</v>
      </c>
      <c r="D35" s="5">
        <f>JORD100!D32/'Ark1'!D$4</f>
        <v>0.3</v>
      </c>
      <c r="E35" s="5">
        <f>JORD100!E32/'Ark1'!E$4</f>
        <v>0.43360840210052509</v>
      </c>
      <c r="F35" s="5">
        <f>JORD100!F32/'Ark1'!F$4</f>
        <v>0.39561943874058864</v>
      </c>
      <c r="G35" s="5">
        <f>JORD100!G32/'Ark1'!G$4</f>
        <v>0.43567839195979896</v>
      </c>
      <c r="H35" s="5">
        <f>JORD100!H32/'Ark1'!H$4</f>
        <v>0.32673827020915769</v>
      </c>
      <c r="I35" s="5">
        <f>JORD100!I32/'Ark1'!I$4</f>
        <v>0.29701952723535457</v>
      </c>
      <c r="J35" s="5">
        <f>JORD100!J32/'Ark1'!J$4</f>
        <v>0.27097984060009378</v>
      </c>
      <c r="K35" s="5">
        <f>JORD100!K32/'Ark1'!K$4</f>
        <v>0.28948247078464107</v>
      </c>
      <c r="L35" s="5">
        <f>JORD100!L32/'Ark1'!L$4</f>
        <v>0.25909600298841989</v>
      </c>
      <c r="M35" s="5">
        <f>JORD100!M32/'Ark1'!M$4</f>
        <v>0.50976933514246947</v>
      </c>
      <c r="N35" s="5">
        <f>JORD100!N32/'Ark1'!N$4</f>
        <v>0.47677664974619288</v>
      </c>
      <c r="O35" s="5">
        <f>JORD100!O32/'Ark1'!O$4</f>
        <v>1.0007164179104477</v>
      </c>
      <c r="P35" s="5">
        <f>JORD100!P32/'Ark1'!P$4</f>
        <v>0.98887938408896492</v>
      </c>
      <c r="Q35" s="5">
        <f>JORD100!Q32/'Ark1'!Q$4</f>
        <v>0.66765676567656773</v>
      </c>
      <c r="R35" s="5">
        <f>JORD100!R32/'Ark1'!R$4</f>
        <v>0.73358011634056053</v>
      </c>
      <c r="S35" s="5">
        <f>JORD100!S32/'Ark1'!S$4</f>
        <v>1.1989881102959776</v>
      </c>
      <c r="T35" s="5">
        <f>JORD100!T32/'Ark1'!T$4</f>
        <v>1.0326412361178174</v>
      </c>
      <c r="U35" s="5">
        <f>JORD100!U32/'Ark1'!U$4</f>
        <v>0.92458245118795579</v>
      </c>
      <c r="V35" s="5">
        <f>JORD100!V32/'Ark1'!V$4</f>
        <v>0.84980473236848153</v>
      </c>
      <c r="W35" s="5">
        <f>JORD100!W32/'Ark1'!W$4</f>
        <v>0.41610798650168734</v>
      </c>
      <c r="X35" s="5">
        <f>JORD100!X32/'Ark1'!X$4</f>
        <v>0.43671111111111111</v>
      </c>
      <c r="Y35" s="5">
        <f>JORD100!Y32/'Ark1'!Y$4</f>
        <v>0.45333333333333331</v>
      </c>
      <c r="Z35" s="5">
        <f>JORD100!Z32/'Ark1'!Z$4</f>
        <v>0.32069995731967565</v>
      </c>
      <c r="AA35" s="5">
        <f>JORD100!AA32/'Ark1'!AA$4</f>
        <v>0.48317659352142112</v>
      </c>
      <c r="AB35" s="5">
        <f>JORD100!AB32/'Ark1'!AB$4</f>
        <v>0.37824130879345608</v>
      </c>
      <c r="AC35" s="5">
        <f>JORD100!AC32/'Ark1'!AC$4</f>
        <v>0.53389558232931722</v>
      </c>
      <c r="AD35" s="5">
        <f>JORD100!AD32/'Ark1'!AD$4</f>
        <v>0.52092476489028205</v>
      </c>
      <c r="AE35" s="5">
        <f>JORD100!AE32/'Ark1'!AE$4</f>
        <v>0.48414239482200655</v>
      </c>
      <c r="AF35" s="5">
        <f>JORD100!AF32/'Ark1'!AF$4</f>
        <v>0.51597545099497855</v>
      </c>
      <c r="AG35" s="5">
        <f>JORD100!AG32/'Ark1'!AG$4</f>
        <v>0.48280370437624837</v>
      </c>
      <c r="AH35" s="5">
        <f>JORD100!AH32/'Ark1'!AH$4</f>
        <v>0.39067947349697613</v>
      </c>
      <c r="AI35" s="5">
        <f>JORD100!AI32/'Ark1'!AI$4</f>
        <v>0.44719535783365577</v>
      </c>
      <c r="AJ35" s="5">
        <f>JORD100!AJ32/'Ark1'!AJ$4</f>
        <v>0.35937823834196891</v>
      </c>
      <c r="AK35" s="5">
        <f>JORD100!AK32/'Ark1'!AK$4</f>
        <v>0.50942372881355935</v>
      </c>
      <c r="AL35" s="5">
        <f>JORD100!AL32/'Ark1'!AL$4</f>
        <v>0.71274787535410766</v>
      </c>
      <c r="AM35" s="5">
        <f>JORD100!AM32/'Ark1'!AM$4</f>
        <v>0.3167123287671233</v>
      </c>
      <c r="AN35" s="5">
        <f>JORD100!AN32/'Ark1'!AN$4</f>
        <v>0.38613010975027834</v>
      </c>
      <c r="AO35" s="5">
        <f>JORD100!AO32/'Ark1'!AO$4</f>
        <v>0.98849502487562191</v>
      </c>
      <c r="AP35" s="5">
        <f>JORD100!AP32/'Ark1'!AP$4</f>
        <v>0.6821606899682251</v>
      </c>
      <c r="AQ35" s="5">
        <f>JORD100!AQ32/'Ark1'!AQ$4</f>
        <v>0.56365248226950349</v>
      </c>
      <c r="AR35" s="5">
        <f>JORD100!AR32/'Ark1'!AR$4</f>
        <v>0.47453452572936516</v>
      </c>
      <c r="AS35" s="5">
        <f>JORD100!AS32/'Ark1'!AS$4</f>
        <v>0.70775510204081638</v>
      </c>
      <c r="AT35" s="5">
        <f>JORD100!AT32/'Ark1'!AT$4</f>
        <v>1.2246118125090697</v>
      </c>
      <c r="AU35" s="5">
        <f>JORD100!AU32/'Ark1'!AU$4</f>
        <v>0.61907656679693157</v>
      </c>
      <c r="AV35" s="5">
        <f>JORD100!AV32/'Ark1'!AV$4</f>
        <v>0.52936462507155124</v>
      </c>
      <c r="AW35" s="5">
        <f>JORD100!AW32/'Ark1'!AW$4</f>
        <v>0.75480482611781408</v>
      </c>
      <c r="AX35" s="5">
        <f>JORD100!AX32/'Ark1'!AX$4</f>
        <v>0.66773739081431382</v>
      </c>
      <c r="AY35" s="5">
        <f>JORD100!AY32/'Ark1'!AY$4</f>
        <v>0.95684624017957354</v>
      </c>
      <c r="AZ35" s="5">
        <f>JORD100!AZ32/'Ark1'!AZ$4</f>
        <v>1.4649035812672175</v>
      </c>
      <c r="BA35" s="5">
        <f>JORD100!BA32/'Ark1'!BA$4</f>
        <v>1.1679754444302342</v>
      </c>
      <c r="BB35" s="5">
        <f>JORD100!BB32/'Ark1'!BB$4</f>
        <v>0.88735916800792369</v>
      </c>
      <c r="BC35" s="5">
        <f>JORD100!BC32/'Ark1'!BC$4</f>
        <v>1.0023937469467512</v>
      </c>
    </row>
    <row r="36" spans="3:55" x14ac:dyDescent="0.25">
      <c r="C36" s="3" t="s">
        <v>62</v>
      </c>
      <c r="D36" s="5">
        <f>JORD100!D33/'Ark1'!D$4</f>
        <v>18.5</v>
      </c>
      <c r="E36" s="5">
        <f>JORD100!E33/'Ark1'!E$4</f>
        <v>18.905326331582895</v>
      </c>
      <c r="F36" s="5">
        <f>JORD100!F33/'Ark1'!F$4</f>
        <v>20.413963039014373</v>
      </c>
      <c r="G36" s="5">
        <f>JORD100!G33/'Ark1'!G$4</f>
        <v>20.549497487437186</v>
      </c>
      <c r="H36" s="5">
        <f>JORD100!H33/'Ark1'!H$4</f>
        <v>20.911249293386092</v>
      </c>
      <c r="I36" s="5">
        <f>JORD100!I33/'Ark1'!I$4</f>
        <v>26.434737923946557</v>
      </c>
      <c r="J36" s="5">
        <f>JORD100!J33/'Ark1'!J$4</f>
        <v>27.423159868729488</v>
      </c>
      <c r="K36" s="5">
        <f>JORD100!K33/'Ark1'!K$4</f>
        <v>23.978797996661104</v>
      </c>
      <c r="L36" s="5">
        <f>JORD100!L33/'Ark1'!L$4</f>
        <v>23.145909600298843</v>
      </c>
      <c r="M36" s="5">
        <f>JORD100!M33/'Ark1'!M$4</f>
        <v>24.390502035278153</v>
      </c>
      <c r="N36" s="5">
        <f>JORD100!N33/'Ark1'!N$4</f>
        <v>24.939086294416242</v>
      </c>
      <c r="O36" s="5">
        <f>JORD100!O33/'Ark1'!O$4</f>
        <v>23.741134328358207</v>
      </c>
      <c r="P36" s="5">
        <f>JORD100!P33/'Ark1'!P$4</f>
        <v>23.40347875677217</v>
      </c>
      <c r="Q36" s="5">
        <f>JORD100!Q33/'Ark1'!Q$4</f>
        <v>23.654125412541255</v>
      </c>
      <c r="R36" s="5">
        <f>JORD100!R33/'Ark1'!R$4</f>
        <v>22.98551031200423</v>
      </c>
      <c r="S36" s="5">
        <f>JORD100!S33/'Ark1'!S$4</f>
        <v>23.716569693903363</v>
      </c>
      <c r="T36" s="5">
        <f>JORD100!T33/'Ark1'!T$4</f>
        <v>23.30420086914534</v>
      </c>
      <c r="U36" s="5">
        <f>JORD100!U33/'Ark1'!U$4</f>
        <v>22.761044460127028</v>
      </c>
      <c r="V36" s="5">
        <f>JORD100!V33/'Ark1'!V$4</f>
        <v>23.10406616126809</v>
      </c>
      <c r="W36" s="5">
        <f>JORD100!W33/'Ark1'!W$4</f>
        <v>22.391811023622047</v>
      </c>
      <c r="X36" s="5">
        <f>JORD100!X33/'Ark1'!X$4</f>
        <v>22.734666666666666</v>
      </c>
      <c r="Y36" s="5">
        <f>JORD100!Y33/'Ark1'!Y$4</f>
        <v>24.278518518518521</v>
      </c>
      <c r="Z36" s="5">
        <f>JORD100!Z33/'Ark1'!Z$4</f>
        <v>26.075373452838246</v>
      </c>
      <c r="AA36" s="5">
        <f>JORD100!AA33/'Ark1'!AA$4</f>
        <v>26.284806687565307</v>
      </c>
      <c r="AB36" s="5">
        <f>JORD100!AB33/'Ark1'!AB$4</f>
        <v>25.909529652351736</v>
      </c>
      <c r="AC36" s="5">
        <f>JORD100!AC33/'Ark1'!AC$4</f>
        <v>20.125542168674698</v>
      </c>
      <c r="AD36" s="5">
        <f>JORD100!AD33/'Ark1'!AD$4</f>
        <v>20.429310344827588</v>
      </c>
      <c r="AE36" s="5">
        <f>JORD100!AE33/'Ark1'!AE$4</f>
        <v>23.612944983818771</v>
      </c>
      <c r="AF36" s="5">
        <f>JORD100!AF33/'Ark1'!AF$4</f>
        <v>23.541379951645901</v>
      </c>
      <c r="AG36" s="5">
        <f>JORD100!AG33/'Ark1'!AG$4</f>
        <v>23.846304703105137</v>
      </c>
      <c r="AH36" s="5">
        <f>JORD100!AH33/'Ark1'!AH$4</f>
        <v>24.222127356812521</v>
      </c>
      <c r="AI36" s="5">
        <f>JORD100!AI33/'Ark1'!AI$4</f>
        <v>24.351819940214526</v>
      </c>
      <c r="AJ36" s="5">
        <f>JORD100!AJ33/'Ark1'!AJ$4</f>
        <v>24.258031088082902</v>
      </c>
      <c r="AK36" s="5">
        <f>JORD100!AK33/'Ark1'!AK$4</f>
        <v>24.72664406779661</v>
      </c>
      <c r="AL36" s="5">
        <f>JORD100!AL33/'Ark1'!AL$4</f>
        <v>25.042492917847024</v>
      </c>
      <c r="AM36" s="5">
        <f>JORD100!AM33/'Ark1'!AM$4</f>
        <v>23.976986301369863</v>
      </c>
      <c r="AN36" s="5">
        <f>JORD100!AN33/'Ark1'!AN$4</f>
        <v>25.8523302051853</v>
      </c>
      <c r="AO36" s="5">
        <f>JORD100!AO33/'Ark1'!AO$4</f>
        <v>25.125746268656719</v>
      </c>
      <c r="AP36" s="5">
        <f>JORD100!AP33/'Ark1'!AP$4</f>
        <v>24.540293539113332</v>
      </c>
      <c r="AQ36" s="5">
        <f>JORD100!AQ33/'Ark1'!AQ$4</f>
        <v>23.588002364066192</v>
      </c>
      <c r="AR36" s="5">
        <f>JORD100!AR33/'Ark1'!AR$4</f>
        <v>24.489371059961883</v>
      </c>
      <c r="AS36" s="5">
        <f>JORD100!AS33/'Ark1'!AS$4</f>
        <v>24.838833819241984</v>
      </c>
      <c r="AT36" s="5">
        <f>JORD100!AT33/'Ark1'!AT$4</f>
        <v>25.062603395733564</v>
      </c>
      <c r="AU36" s="5">
        <f>JORD100!AU33/'Ark1'!AU$4</f>
        <v>27.389955130988564</v>
      </c>
      <c r="AV36" s="5">
        <f>JORD100!AV33/'Ark1'!AV$4</f>
        <v>28.072867773325701</v>
      </c>
      <c r="AW36" s="5">
        <f>JORD100!AW33/'Ark1'!AW$4</f>
        <v>27.862143364088009</v>
      </c>
      <c r="AX36" s="5">
        <f>JORD100!AX33/'Ark1'!AX$4</f>
        <v>26.611777965624121</v>
      </c>
      <c r="AY36" s="5">
        <f>JORD100!AY33/'Ark1'!AY$4</f>
        <v>31.170482603815937</v>
      </c>
      <c r="AZ36" s="5">
        <f>JORD100!AZ33/'Ark1'!AZ$4</f>
        <v>29.552837465564739</v>
      </c>
      <c r="BA36" s="5">
        <f>JORD100!BA33/'Ark1'!BA$4</f>
        <v>25.547614784499299</v>
      </c>
      <c r="BB36" s="5">
        <f>JORD100!BB33/'Ark1'!BB$4</f>
        <v>25.304048532871114</v>
      </c>
      <c r="BC36" s="5">
        <f>JORD100!BC33/'Ark1'!BC$4</f>
        <v>25.878700537371763</v>
      </c>
    </row>
    <row r="37" spans="3:55" x14ac:dyDescent="0.25">
      <c r="C37" s="3" t="s">
        <v>63</v>
      </c>
      <c r="D37" s="5">
        <f>JORD100!D34/'Ark1'!D$4</f>
        <v>19.7</v>
      </c>
      <c r="E37" s="5">
        <f>JORD100!E34/'Ark1'!E$4</f>
        <v>17.257614403600897</v>
      </c>
      <c r="F37" s="5">
        <f>JORD100!F34/'Ark1'!F$4</f>
        <v>14.55879534565366</v>
      </c>
      <c r="G37" s="5">
        <f>JORD100!G34/'Ark1'!G$4</f>
        <v>11.618090452261306</v>
      </c>
      <c r="H37" s="5">
        <f>JORD100!H34/'Ark1'!H$4</f>
        <v>16.271565856416053</v>
      </c>
      <c r="I37" s="5">
        <f>JORD100!I34/'Ark1'!I$4</f>
        <v>13.365878725590957</v>
      </c>
      <c r="J37" s="5">
        <f>JORD100!J34/'Ark1'!J$4</f>
        <v>13.169620253164558</v>
      </c>
      <c r="K37" s="5">
        <f>JORD100!K34/'Ark1'!K$4</f>
        <v>7.9125208681135222</v>
      </c>
      <c r="L37" s="5">
        <f>JORD100!L34/'Ark1'!L$4</f>
        <v>10.018378782218901</v>
      </c>
      <c r="M37" s="5">
        <f>JORD100!M34/'Ark1'!M$4</f>
        <v>13.959837177747625</v>
      </c>
      <c r="N37" s="5">
        <f>JORD100!N34/'Ark1'!N$4</f>
        <v>7.8118020304568532</v>
      </c>
      <c r="O37" s="5">
        <f>JORD100!O34/'Ark1'!O$4</f>
        <v>16.874149253731343</v>
      </c>
      <c r="P37" s="5">
        <f>JORD100!P34/'Ark1'!P$4</f>
        <v>10.943598517251214</v>
      </c>
      <c r="Q37" s="5">
        <f>JORD100!Q34/'Ark1'!Q$4</f>
        <v>10.237403740374038</v>
      </c>
      <c r="R37" s="5">
        <f>JORD100!R34/'Ark1'!R$4</f>
        <v>5.2573241671073507</v>
      </c>
      <c r="S37" s="5">
        <f>JORD100!S34/'Ark1'!S$4</f>
        <v>5.0883885656463441</v>
      </c>
      <c r="T37" s="5">
        <f>JORD100!T34/'Ark1'!T$4</f>
        <v>7.6192177691936269</v>
      </c>
      <c r="U37" s="5">
        <f>JORD100!U34/'Ark1'!U$4</f>
        <v>8.7291460832745233</v>
      </c>
      <c r="V37" s="5">
        <f>JORD100!V34/'Ark1'!V$4</f>
        <v>8.8432804962095091</v>
      </c>
      <c r="W37" s="5">
        <f>JORD100!W34/'Ark1'!W$4</f>
        <v>2.5226546681664792</v>
      </c>
      <c r="X37" s="5">
        <f>JORD100!X34/'Ark1'!X$4</f>
        <v>6.1396444444444445</v>
      </c>
      <c r="Y37" s="5">
        <f>JORD100!Y34/'Ark1'!Y$4</f>
        <v>8.6385185185185183</v>
      </c>
      <c r="Z37" s="5">
        <f>JORD100!Z34/'Ark1'!Z$4</f>
        <v>10.311737089201879</v>
      </c>
      <c r="AA37" s="5">
        <f>JORD100!AA34/'Ark1'!AA$4</f>
        <v>9.8568025078369903</v>
      </c>
      <c r="AB37" s="5">
        <f>JORD100!AB34/'Ark1'!AB$4</f>
        <v>9.1487116564417192</v>
      </c>
      <c r="AC37" s="5">
        <f>JORD100!AC34/'Ark1'!AC$4</f>
        <v>5.4550200803212849</v>
      </c>
      <c r="AD37" s="5">
        <f>JORD100!AD34/'Ark1'!AD$4</f>
        <v>5.6169278996865204</v>
      </c>
      <c r="AE37" s="5">
        <f>JORD100!AE34/'Ark1'!AE$4</f>
        <v>6.8220064724919096</v>
      </c>
      <c r="AF37" s="5">
        <f>JORD100!AF34/'Ark1'!AF$4</f>
        <v>5.9982146178166262</v>
      </c>
      <c r="AG37" s="5">
        <f>JORD100!AG34/'Ark1'!AG$4</f>
        <v>1.5533684401670602</v>
      </c>
      <c r="AH37" s="5">
        <f>JORD100!AH34/'Ark1'!AH$4</f>
        <v>4.7292778370686586</v>
      </c>
      <c r="AI37" s="5">
        <f>JORD100!AI34/'Ark1'!AI$4</f>
        <v>3.9434499736240549</v>
      </c>
      <c r="AJ37" s="5">
        <f>JORD100!AJ34/'Ark1'!AJ$4</f>
        <v>-10.002694300518135</v>
      </c>
      <c r="AK37" s="5">
        <f>JORD100!AK34/'Ark1'!AK$4</f>
        <v>-7.660949152542373</v>
      </c>
      <c r="AL37" s="5">
        <f>JORD100!AL34/'Ark1'!AL$4</f>
        <v>-5.7790368271954673</v>
      </c>
      <c r="AM37" s="5">
        <f>JORD100!AM34/'Ark1'!AM$4</f>
        <v>-7.5265753424657538</v>
      </c>
      <c r="AN37" s="5">
        <f>JORD100!AN34/'Ark1'!AN$4</f>
        <v>-21.862319071099094</v>
      </c>
      <c r="AO37" s="5">
        <f>JORD100!AO34/'Ark1'!AO$4</f>
        <v>-8.6807835820895516</v>
      </c>
      <c r="AP37" s="5">
        <f>JORD100!AP34/'Ark1'!AP$4</f>
        <v>-7.2064154940233021</v>
      </c>
      <c r="AQ37" s="5">
        <f>JORD100!AQ34/'Ark1'!AQ$4</f>
        <v>4.1163711583924352</v>
      </c>
      <c r="AR37" s="5">
        <f>JORD100!AR34/'Ark1'!AR$4</f>
        <v>-5.0165078434247174</v>
      </c>
      <c r="AS37" s="5">
        <f>JORD100!AS34/'Ark1'!AS$4</f>
        <v>-6.8247813411078724</v>
      </c>
      <c r="AT37" s="5">
        <f>JORD100!AT34/'Ark1'!AT$4</f>
        <v>-1.1575097953852851</v>
      </c>
      <c r="AU37" s="5">
        <f>JORD100!AU34/'Ark1'!AU$4</f>
        <v>-5.4880301056592842</v>
      </c>
      <c r="AV37" s="5">
        <f>JORD100!AV34/'Ark1'!AV$4</f>
        <v>-2.8122495706926163</v>
      </c>
      <c r="AW37" s="5">
        <f>JORD100!AW34/'Ark1'!AW$4</f>
        <v>-5.2179985805535845</v>
      </c>
      <c r="AX37" s="5">
        <f>JORD100!AX34/'Ark1'!AX$4</f>
        <v>-3.6644125105663568</v>
      </c>
      <c r="AY37" s="5">
        <f>JORD100!AY34/'Ark1'!AY$4</f>
        <v>9.698204264870931</v>
      </c>
      <c r="AZ37" s="5">
        <f>JORD100!AZ34/'Ark1'!AZ$4</f>
        <v>24.154986225895318</v>
      </c>
      <c r="BA37" s="5">
        <f>JORD100!BA34/'Ark1'!BA$4</f>
        <v>40.006855096559661</v>
      </c>
      <c r="BB37" s="5">
        <f>JORD100!BB34/'Ark1'!BB$4</f>
        <v>1.8462795592422929</v>
      </c>
      <c r="BC37" s="5">
        <f>JORD100!BC34/'Ark1'!BC$4</f>
        <v>5.6472887151929649</v>
      </c>
    </row>
    <row r="38" spans="3:55" x14ac:dyDescent="0.25">
      <c r="C38" s="3" t="s">
        <v>64</v>
      </c>
      <c r="D38" s="5">
        <f>JORD100!D35/'Ark1'!$D$4</f>
        <v>0.4</v>
      </c>
      <c r="E38" s="5">
        <f>JORD100!E35/'Ark1'!$D$4</f>
        <v>-0.6</v>
      </c>
      <c r="F38" s="5">
        <f>JORD100!F35/'Ark1'!$D$4</f>
        <v>-2.1</v>
      </c>
      <c r="G38" s="5">
        <f>JORD100!G35/'Ark1'!$D$4</f>
        <v>-3</v>
      </c>
      <c r="H38" s="5">
        <f>JORD100!H35/'Ark1'!$D$4</f>
        <v>-1.6</v>
      </c>
      <c r="I38" s="5">
        <f>JORD100!I35/'Ark1'!$D$4</f>
        <v>-4.4000000000000004</v>
      </c>
      <c r="J38" s="5">
        <f>JORD100!J35/'Ark1'!$D$4</f>
        <v>-4.5</v>
      </c>
      <c r="K38" s="5">
        <f>JORD100!K35/'Ark1'!$D$4</f>
        <v>-5.7</v>
      </c>
      <c r="L38" s="5">
        <f>JORD100!L35/'Ark1'!$D$4</f>
        <v>-6.2</v>
      </c>
      <c r="M38" s="5">
        <f>JORD100!M35/'Ark1'!$D$4</f>
        <v>-5.4</v>
      </c>
      <c r="N38" s="5">
        <f>JORD100!N35/'Ark1'!$D$4</f>
        <v>-9.4</v>
      </c>
      <c r="O38" s="5">
        <f>JORD100!O35/'Ark1'!$D$4</f>
        <v>-3.3</v>
      </c>
      <c r="P38" s="5">
        <f>JORD100!P35/'Ark1'!$D$4</f>
        <v>-5.5</v>
      </c>
      <c r="Q38" s="5">
        <f>JORD100!Q35/'Ark1'!$D$4</f>
        <v>-5.0999999999999996</v>
      </c>
      <c r="R38" s="5">
        <f>JORD100!R35/'Ark1'!$D$4</f>
        <v>-7.1</v>
      </c>
      <c r="S38" s="5">
        <f>JORD100!S35/'Ark1'!$D$4</f>
        <v>-7.3</v>
      </c>
      <c r="T38" s="5">
        <f>JORD100!T35/'Ark1'!$D$4</f>
        <v>-6.5</v>
      </c>
      <c r="U38" s="5">
        <f>JORD100!U35/'Ark1'!$D$4</f>
        <v>-4.8</v>
      </c>
      <c r="V38" s="5">
        <f>JORD100!V35/'Ark1'!$D$4</f>
        <v>-4.9000000000000004</v>
      </c>
      <c r="W38" s="5">
        <f>JORD100!W35/'Ark1'!$D$4</f>
        <v>-7.5</v>
      </c>
      <c r="X38" s="5">
        <f>JORD100!X35/'Ark1'!$D$4</f>
        <v>-6.4</v>
      </c>
      <c r="Y38" s="5">
        <f>JORD100!Y35/'Ark1'!$D$4</f>
        <v>-5.9</v>
      </c>
      <c r="Z38" s="5">
        <f>JORD100!Z35/'Ark1'!$D$4</f>
        <v>-5.4</v>
      </c>
      <c r="AA38" s="5">
        <f>JORD100!AA35/'Ark1'!$D$4</f>
        <v>-5.6</v>
      </c>
      <c r="AB38" s="5">
        <f>JORD100!AB35/'Ark1'!$D$4</f>
        <v>-5.4</v>
      </c>
      <c r="AC38" s="5">
        <f>JORD100!AC35/'Ark1'!$D$4</f>
        <v>-4.2</v>
      </c>
      <c r="AD38" s="5">
        <f>JORD100!AD35/'Ark1'!$D$4</f>
        <v>-3.8</v>
      </c>
      <c r="AE38" s="5">
        <f>JORD100!AE35/'Ark1'!$D$4</f>
        <v>-3.9</v>
      </c>
      <c r="AF38" s="5">
        <f>JORD100!AF35/'Ark1'!$D$4</f>
        <v>-3.7</v>
      </c>
      <c r="AG38" s="5">
        <f>JORD100!AG35/'Ark1'!$D$4</f>
        <v>-4.5</v>
      </c>
      <c r="AH38" s="5">
        <f>JORD100!AH35/'Ark1'!$D$4</f>
        <v>-3.9</v>
      </c>
      <c r="AI38" s="5">
        <f>JORD100!AI35/'Ark1'!$D$4</f>
        <v>-3.5</v>
      </c>
      <c r="AJ38" s="5">
        <f>JORD100!AJ35/'Ark1'!$D$4</f>
        <v>-3.3</v>
      </c>
      <c r="AK38" s="5">
        <f>JORD100!AK35/'Ark1'!$D$4</f>
        <v>-2</v>
      </c>
      <c r="AL38" s="5">
        <f>JORD100!AL35/'Ark1'!$D$4</f>
        <v>-1.9</v>
      </c>
      <c r="AM38" s="5">
        <f>JORD100!AM35/'Ark1'!$D$4</f>
        <v>-1.9</v>
      </c>
      <c r="AN38" s="5">
        <f>JORD100!AN35/'Ark1'!$D$4</f>
        <v>-2.6</v>
      </c>
      <c r="AO38" s="5">
        <f>JORD100!AO35/'Ark1'!$D$4</f>
        <v>-1.5</v>
      </c>
      <c r="AP38" s="5">
        <f>JORD100!AP35/'Ark1'!$D$4</f>
        <v>-1.3</v>
      </c>
      <c r="AQ38" s="5">
        <f>JORD100!AQ35/'Ark1'!$D$4</f>
        <v>-0.4</v>
      </c>
      <c r="AR38" s="5">
        <f>JORD100!AR35/'Ark1'!$D$4</f>
        <v>-1.2</v>
      </c>
      <c r="AS38" s="5">
        <f>JORD100!AS35/'Ark1'!$D$4</f>
        <v>-1.5</v>
      </c>
      <c r="AT38" s="5">
        <f>JORD100!AT35/'Ark1'!$D$4</f>
        <v>-0.9</v>
      </c>
      <c r="AU38" s="5">
        <f>JORD100!AU35/'Ark1'!$D$4</f>
        <v>-1.4</v>
      </c>
      <c r="AV38" s="5">
        <f>JORD100!AV35/'Ark1'!$D$4</f>
        <v>-1.4</v>
      </c>
      <c r="AW38" s="5">
        <f>JORD100!AW35/'Ark1'!$D$4</f>
        <v>-1.4</v>
      </c>
      <c r="AX38" s="5">
        <f>JORD100!AX35/'Ark1'!$D$4</f>
        <v>-1.1000000000000001</v>
      </c>
      <c r="AY38" s="5">
        <f>JORD100!AY35/'Ark1'!$D$4</f>
        <v>0</v>
      </c>
      <c r="AZ38" s="5">
        <f>JORD100!AZ35/'Ark1'!$D$4</f>
        <v>0.8</v>
      </c>
      <c r="BA38" s="5">
        <f>JORD100!BA35/'Ark1'!$D$4</f>
        <v>1.7</v>
      </c>
      <c r="BB38" s="5">
        <f>JORD100!BB35/'Ark1'!$D$4</f>
        <v>-0.4</v>
      </c>
      <c r="BC38" s="5">
        <f>JORD100!BC35/'Ark1'!$D$4</f>
        <v>-0.2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7B8300B3AF1B47816F117AB132B39B" ma:contentTypeVersion="10" ma:contentTypeDescription="Create a new document." ma:contentTypeScope="" ma:versionID="9ddd8332b2f2c4a6681adf5c11ec9624">
  <xsd:schema xmlns:xsd="http://www.w3.org/2001/XMLSchema" xmlns:xs="http://www.w3.org/2001/XMLSchema" xmlns:p="http://schemas.microsoft.com/office/2006/metadata/properties" xmlns:ns3="9b00c0b4-e938-4f71-ab94-f7b193f91a70" targetNamespace="http://schemas.microsoft.com/office/2006/metadata/properties" ma:root="true" ma:fieldsID="f538849a4e2db9465f26668d380212fe" ns3:_="">
    <xsd:import namespace="9b00c0b4-e938-4f71-ab94-f7b193f91a7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ServiceOCR"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00c0b4-e938-4f71-ab94-f7b193f91a7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description="" ma:indexed="true"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4FBED4-440D-450A-BC24-3231FAC47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00c0b4-e938-4f71-ab94-f7b193f91a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230850-285C-4328-9B05-C1672E9794DF}">
  <ds:schemaRefs>
    <ds:schemaRef ds:uri="http://schemas.microsoft.com/sharepoint/v3/contenttype/forms"/>
  </ds:schemaRefs>
</ds:datastoreItem>
</file>

<file path=customXml/itemProps3.xml><?xml version="1.0" encoding="utf-8"?>
<ds:datastoreItem xmlns:ds="http://schemas.openxmlformats.org/officeDocument/2006/customXml" ds:itemID="{08672F72-78C8-44AA-8E6C-254F6AD29E4D}">
  <ds:schemaRefs>
    <ds:schemaRef ds:uri="http://schemas.openxmlformats.org/package/2006/metadata/core-properties"/>
    <ds:schemaRef ds:uri="http://schemas.microsoft.com/office/2006/documentManagement/types"/>
    <ds:schemaRef ds:uri="http://purl.org/dc/terms/"/>
    <ds:schemaRef ds:uri="http://purl.org/dc/elements/1.1/"/>
    <ds:schemaRef ds:uri="http://purl.org/dc/dcmitype/"/>
    <ds:schemaRef ds:uri="http://www.w3.org/XML/1998/namespace"/>
    <ds:schemaRef ds:uri="http://schemas.microsoft.com/office/2006/metadata/properties"/>
    <ds:schemaRef ds:uri="9b00c0b4-e938-4f71-ab94-f7b193f91a70"/>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JORD100</vt:lpstr>
      <vt:lpstr>Ark1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Stephensen</cp:lastModifiedBy>
  <dcterms:created xsi:type="dcterms:W3CDTF">2026-02-04T11:53:35Z</dcterms:created>
  <dcterms:modified xsi:type="dcterms:W3CDTF">2026-02-05T11:49:34Z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0x0101008D7B8300B3AF1B47816F117AB132B39B</vt:lpwstr>
  </property>
</Properties>
</file>