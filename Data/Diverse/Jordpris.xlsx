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kcu2103-my.sharepoint.com/personal/psp_dreamgruppen_dk/Documents/Projekter/GronREFORM/Landbrug/HistoriskAnalyse/"/>
    </mc:Choice>
  </mc:AlternateContent>
  <xr:revisionPtr revIDLastSave="155" documentId="8_{47EBC3BB-F0CF-4B1A-AD72-1FE8135C016A}" xr6:coauthVersionLast="47" xr6:coauthVersionMax="47" xr10:uidLastSave="{831D38EC-75E3-4735-9549-2BC4E862B80C}"/>
  <bookViews>
    <workbookView xWindow="-120" yWindow="-120" windowWidth="29040" windowHeight="17520" activeTab="1" xr2:uid="{00000000-000D-0000-FFFF-FFFF00000000}"/>
  </bookViews>
  <sheets>
    <sheet name="LPRIS35" sheetId="2" r:id="rId1"/>
    <sheet name="Ark1" sheetId="4" r:id="rId2"/>
    <sheet name="DiagramInfo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" i="4" l="1"/>
  <c r="AT7" i="4"/>
  <c r="AT6" i="4"/>
  <c r="AS32" i="4"/>
  <c r="AR32" i="4"/>
  <c r="AQ32" i="4"/>
  <c r="AP32" i="4"/>
  <c r="AO32" i="4"/>
  <c r="AN32" i="4"/>
  <c r="AM32" i="4"/>
  <c r="AM36" i="4" s="1"/>
  <c r="AL32" i="4"/>
  <c r="AL36" i="4" s="1"/>
  <c r="AK32" i="4"/>
  <c r="AK36" i="4" s="1"/>
  <c r="AJ32" i="4"/>
  <c r="AJ36" i="4" s="1"/>
  <c r="AI32" i="4"/>
  <c r="AI36" i="4" s="1"/>
  <c r="AH32" i="4"/>
  <c r="AH36" i="4" s="1"/>
  <c r="AG32" i="4"/>
  <c r="AG36" i="4" s="1"/>
  <c r="AF32" i="4"/>
  <c r="AE32" i="4"/>
  <c r="AD32" i="4"/>
  <c r="AC32" i="4"/>
  <c r="AB32" i="4"/>
  <c r="AA32" i="4"/>
  <c r="Z32" i="4"/>
  <c r="Y32" i="4"/>
  <c r="X32" i="4"/>
  <c r="W32" i="4"/>
  <c r="W36" i="4" s="1"/>
  <c r="V32" i="4"/>
  <c r="V36" i="4" s="1"/>
  <c r="U32" i="4"/>
  <c r="U36" i="4" s="1"/>
  <c r="T32" i="4"/>
  <c r="T36" i="4" s="1"/>
  <c r="S32" i="4"/>
  <c r="S36" i="4" s="1"/>
  <c r="R32" i="4"/>
  <c r="R36" i="4" s="1"/>
  <c r="Q32" i="4"/>
  <c r="Q36" i="4" s="1"/>
  <c r="P32" i="4"/>
  <c r="O32" i="4"/>
  <c r="N32" i="4"/>
  <c r="M32" i="4"/>
  <c r="L32" i="4"/>
  <c r="K32" i="4"/>
  <c r="J32" i="4"/>
  <c r="I32" i="4"/>
  <c r="H32" i="4"/>
  <c r="G32" i="4"/>
  <c r="G36" i="4" s="1"/>
  <c r="AS36" i="4"/>
  <c r="AR36" i="4"/>
  <c r="AQ36" i="4"/>
  <c r="AP36" i="4"/>
  <c r="AO36" i="4"/>
  <c r="AN36" i="4"/>
  <c r="AF36" i="4"/>
  <c r="AE36" i="4"/>
  <c r="AD36" i="4"/>
  <c r="AC36" i="4"/>
  <c r="AB36" i="4"/>
  <c r="AA36" i="4"/>
  <c r="Z36" i="4"/>
  <c r="Y36" i="4"/>
  <c r="X36" i="4"/>
  <c r="P36" i="4"/>
  <c r="O36" i="4"/>
  <c r="N36" i="4"/>
  <c r="M36" i="4"/>
  <c r="L36" i="4"/>
  <c r="K36" i="4"/>
  <c r="J36" i="4"/>
  <c r="I36" i="4"/>
  <c r="H36" i="4"/>
  <c r="F36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F37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F31" i="4"/>
  <c r="F32" i="4"/>
  <c r="G31" i="4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F28" i="4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E29" i="4"/>
  <c r="E28" i="4"/>
  <c r="D29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G25" i="4"/>
  <c r="G24" i="4"/>
  <c r="G23" i="4"/>
  <c r="F25" i="4"/>
  <c r="F24" i="4"/>
  <c r="F23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21" i="4"/>
  <c r="F20" i="4"/>
  <c r="F19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7" i="4"/>
  <c r="F16" i="4"/>
  <c r="F15" i="4"/>
  <c r="AM13" i="4"/>
  <c r="AJ13" i="4"/>
  <c r="AI13" i="4"/>
  <c r="AE13" i="4"/>
  <c r="AD13" i="4"/>
  <c r="AA13" i="4"/>
  <c r="W13" i="4"/>
  <c r="T13" i="4"/>
  <c r="S13" i="4"/>
  <c r="O13" i="4"/>
  <c r="N13" i="4"/>
  <c r="K13" i="4"/>
  <c r="G13" i="4"/>
  <c r="AS12" i="4"/>
  <c r="AR12" i="4"/>
  <c r="AQ12" i="4"/>
  <c r="AQ13" i="4" s="1"/>
  <c r="AP12" i="4"/>
  <c r="AO12" i="4"/>
  <c r="AN12" i="4"/>
  <c r="AM12" i="4"/>
  <c r="AL12" i="4"/>
  <c r="AL13" i="4" s="1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V13" i="4" s="1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AS11" i="4"/>
  <c r="AS13" i="4" s="1"/>
  <c r="AR11" i="4"/>
  <c r="AR13" i="4" s="1"/>
  <c r="AQ11" i="4"/>
  <c r="AP11" i="4"/>
  <c r="AP13" i="4" s="1"/>
  <c r="AO11" i="4"/>
  <c r="AO13" i="4" s="1"/>
  <c r="AN11" i="4"/>
  <c r="AN13" i="4" s="1"/>
  <c r="AM11" i="4"/>
  <c r="AL11" i="4"/>
  <c r="AK11" i="4"/>
  <c r="AK13" i="4" s="1"/>
  <c r="AJ11" i="4"/>
  <c r="AI11" i="4"/>
  <c r="AH11" i="4"/>
  <c r="AH13" i="4" s="1"/>
  <c r="AG11" i="4"/>
  <c r="AG13" i="4" s="1"/>
  <c r="AF11" i="4"/>
  <c r="AF13" i="4" s="1"/>
  <c r="AE11" i="4"/>
  <c r="AD11" i="4"/>
  <c r="AC11" i="4"/>
  <c r="AC13" i="4" s="1"/>
  <c r="AB11" i="4"/>
  <c r="AB13" i="4" s="1"/>
  <c r="AA11" i="4"/>
  <c r="Z11" i="4"/>
  <c r="Z13" i="4" s="1"/>
  <c r="Y11" i="4"/>
  <c r="Y13" i="4" s="1"/>
  <c r="X11" i="4"/>
  <c r="X13" i="4" s="1"/>
  <c r="W11" i="4"/>
  <c r="V11" i="4"/>
  <c r="U11" i="4"/>
  <c r="U13" i="4" s="1"/>
  <c r="T11" i="4"/>
  <c r="S11" i="4"/>
  <c r="R11" i="4"/>
  <c r="R13" i="4" s="1"/>
  <c r="Q11" i="4"/>
  <c r="Q13" i="4" s="1"/>
  <c r="P11" i="4"/>
  <c r="P13" i="4" s="1"/>
  <c r="O11" i="4"/>
  <c r="N11" i="4"/>
  <c r="M11" i="4"/>
  <c r="M13" i="4" s="1"/>
  <c r="L11" i="4"/>
  <c r="L13" i="4" s="1"/>
  <c r="K11" i="4"/>
  <c r="J11" i="4"/>
  <c r="J13" i="4" s="1"/>
  <c r="I11" i="4"/>
  <c r="I13" i="4" s="1"/>
  <c r="H11" i="4"/>
  <c r="H13" i="4" s="1"/>
  <c r="G11" i="4"/>
  <c r="F13" i="4"/>
  <c r="F12" i="4"/>
  <c r="F11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E6" i="4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D6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E2" i="4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D2" i="4"/>
  <c r="M21" i="2"/>
  <c r="M22" i="2"/>
  <c r="AT20" i="2"/>
  <c r="AS20" i="2"/>
  <c r="L21" i="2"/>
  <c r="L22" i="2"/>
  <c r="K21" i="2"/>
  <c r="K22" i="2"/>
  <c r="G22" i="2"/>
  <c r="H22" i="2" s="1"/>
  <c r="I22" i="2" s="1"/>
  <c r="J22" i="2" s="1"/>
  <c r="G21" i="2"/>
  <c r="H21" i="2" s="1"/>
  <c r="I21" i="2" s="1"/>
  <c r="J21" i="2" s="1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2" i="2"/>
  <c r="F21" i="2"/>
  <c r="F20" i="2"/>
  <c r="E20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D16" i="2"/>
  <c r="O21" i="2" l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O22" i="2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S5" i="2"/>
  <c r="R5" i="2" s="1"/>
  <c r="Q5" i="2" s="1"/>
  <c r="P5" i="2" s="1"/>
  <c r="O5" i="2" s="1"/>
  <c r="N5" i="2" s="1"/>
  <c r="M5" i="2" s="1"/>
  <c r="L5" i="2" s="1"/>
  <c r="K5" i="2" s="1"/>
  <c r="Y4" i="2"/>
  <c r="X4" i="2" s="1"/>
  <c r="W4" i="2" l="1"/>
  <c r="X6" i="2"/>
  <c r="Y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Z6" i="2"/>
  <c r="V4" i="2" l="1"/>
  <c r="W6" i="2"/>
  <c r="U4" i="2" l="1"/>
  <c r="V6" i="2"/>
  <c r="T4" i="2" l="1"/>
  <c r="U6" i="2"/>
  <c r="S4" i="2" l="1"/>
  <c r="T6" i="2"/>
  <c r="R4" i="2" l="1"/>
  <c r="S6" i="2"/>
  <c r="Q4" i="2" l="1"/>
  <c r="R6" i="2"/>
  <c r="P4" i="2" l="1"/>
  <c r="Q6" i="2"/>
  <c r="O4" i="2" l="1"/>
  <c r="P6" i="2"/>
  <c r="N4" i="2" l="1"/>
  <c r="O6" i="2"/>
  <c r="M4" i="2" l="1"/>
  <c r="N6" i="2"/>
  <c r="L4" i="2" l="1"/>
  <c r="M6" i="2"/>
  <c r="K4" i="2" l="1"/>
  <c r="L6" i="2"/>
  <c r="J4" i="2" l="1"/>
  <c r="I4" i="2" s="1"/>
  <c r="H4" i="2" s="1"/>
  <c r="G4" i="2" s="1"/>
  <c r="F4" i="2" s="1"/>
  <c r="E4" i="2" s="1"/>
  <c r="D4" i="2" s="1"/>
  <c r="C4" i="2" s="1"/>
  <c r="K6" i="2"/>
</calcChain>
</file>

<file path=xl/sharedStrings.xml><?xml version="1.0" encoding="utf-8"?>
<sst xmlns="http://schemas.openxmlformats.org/spreadsheetml/2006/main" count="58" uniqueCount="40">
  <si>
    <t>Prices at agricultural input by unit, product and time</t>
  </si>
  <si>
    <t>Units: -</t>
  </si>
  <si>
    <t>Current prices</t>
  </si>
  <si>
    <t>Arable land, buying price (DKK per ha)</t>
  </si>
  <si>
    <t>DKK per 100 Euro</t>
  </si>
  <si>
    <t>Arable land, buying price (Euro per ha)</t>
  </si>
  <si>
    <t>LPRIS35 Diagram 1</t>
  </si>
  <si>
    <t>Kurver</t>
  </si>
  <si>
    <t>dstpal</t>
  </si>
  <si>
    <t>13 * 7</t>
  </si>
  <si>
    <t>Ingen</t>
  </si>
  <si>
    <t>Kolonner</t>
  </si>
  <si>
    <t>Vandret</t>
  </si>
  <si>
    <t>LPRIS35 Diagram 2</t>
  </si>
  <si>
    <t>Rækker</t>
  </si>
  <si>
    <t>nytpal</t>
  </si>
  <si>
    <t>Net price index</t>
  </si>
  <si>
    <t>Handelsværdi pr. ha</t>
  </si>
  <si>
    <t>LPRIS35 Diagram 3</t>
  </si>
  <si>
    <t>forløb</t>
  </si>
  <si>
    <t>Kilder:</t>
  </si>
  <si>
    <t>www.statistikbanken.dk/LPRIS37</t>
  </si>
  <si>
    <t>www.statistikbanken.dk/LPRIS35</t>
  </si>
  <si>
    <t>(2015-2025)</t>
  </si>
  <si>
    <t>(2005-2015)</t>
  </si>
  <si>
    <t>1982-2005: Tilbageregnet med ejendomsvurdering pr. ha (brugt i Landbrugsregnskaber i 100 år 1916-2015    )</t>
  </si>
  <si>
    <t xml:space="preserve">https://www.dst.dk/da/Statistik/udgivelser/VisPub?cid=28376 </t>
  </si>
  <si>
    <t>Jord</t>
  </si>
  <si>
    <t>Rente</t>
  </si>
  <si>
    <t>Nettoudbytte</t>
  </si>
  <si>
    <t>Pr. ha</t>
  </si>
  <si>
    <t>Jordpris</t>
  </si>
  <si>
    <t>Vækst i jordpris</t>
  </si>
  <si>
    <t>Diff</t>
  </si>
  <si>
    <t>a</t>
  </si>
  <si>
    <t>b</t>
  </si>
  <si>
    <t>rente</t>
  </si>
  <si>
    <t>Vækst</t>
  </si>
  <si>
    <t>Vækst jord</t>
  </si>
  <si>
    <t>Vækst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</si>
</sst>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right"/>
    </xf>
    <xf numFmtId="0" fontId="2" fillId="0" borderId="0" xfId="0" applyFont="1" applyFill="1" applyAlignment="1" applyProtection="1">
      <alignment wrapText="1"/>
    </xf>
    <xf numFmtId="2" fontId="0" fillId="0" borderId="0" xfId="0" applyNumberFormat="1" applyFill="1" applyAlignment="1" applyProtection="1">
      <alignment horizontal="right"/>
    </xf>
    <xf numFmtId="0" fontId="3" fillId="0" borderId="0" xfId="0" applyNumberFormat="1" applyFont="1" applyFill="1" applyAlignment="1" applyProtection="1">
      <alignment horizontal="left"/>
    </xf>
    <xf numFmtId="165" fontId="0" fillId="0" borderId="0" xfId="1" applyNumberFormat="1" applyFont="1" applyFill="1"/>
    <xf numFmtId="165" fontId="0" fillId="0" borderId="0" xfId="0" applyNumberFormat="1" applyFill="1" applyAlignment="1" applyProtection="1">
      <alignment horizontal="right"/>
    </xf>
    <xf numFmtId="2" fontId="5" fillId="0" borderId="0" xfId="0" applyNumberFormat="1" applyFont="1" applyFill="1" applyAlignment="1" applyProtection="1">
      <alignment horizontal="right"/>
    </xf>
    <xf numFmtId="0" fontId="6" fillId="0" borderId="0" xfId="0" applyFont="1" applyFill="1" applyProtection="1"/>
    <xf numFmtId="0" fontId="7" fillId="0" borderId="0" xfId="2" applyFill="1" applyProtection="1"/>
    <xf numFmtId="0" fontId="0" fillId="0" borderId="0" xfId="0"/>
    <xf numFmtId="0" fontId="0" fillId="0" borderId="0" xfId="0" applyAlignment="1">
      <alignment horizontal="right"/>
    </xf>
  </cellXfs>
  <cellStyles count="3">
    <cellStyle name="Komma" xfId="1" builtinId="3"/>
    <cellStyle name="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0854700854700855E-2"/>
          <c:y val="8.0634920634920629E-2"/>
          <c:w val="0.98914529914529914"/>
          <c:h val="0.91936507936507939"/>
        </c:manualLayout>
      </c:layout>
      <c:lineChart>
        <c:grouping val="standard"/>
        <c:varyColors val="0"/>
        <c:ser>
          <c:idx val="2"/>
          <c:order val="2"/>
          <c:tx>
            <c:strRef>
              <c:f>LPRIS35!$B$6</c:f>
              <c:strCache>
                <c:ptCount val="1"/>
                <c:pt idx="0">
                  <c:v>Arable land, buying price (Euro per ha)</c:v>
                </c:pt>
              </c:strCache>
            </c:strRef>
          </c:tx>
          <c:spPr>
            <a:ln w="22225">
              <a:solidFill>
                <a:srgbClr val="0091D4"/>
              </a:solidFill>
              <a:prstDash val="solid"/>
            </a:ln>
          </c:spPr>
          <c:marker>
            <c:symbol val="none"/>
          </c:marker>
          <c:cat>
            <c:numRef>
              <c:f>LPRIS35!$K$3:$AS$3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LPRIS35!$K$6:$AS$6</c:f>
              <c:numCache>
                <c:formatCode>General</c:formatCode>
                <c:ptCount val="35"/>
                <c:pt idx="0">
                  <c:v>8279.5063458880413</c:v>
                </c:pt>
                <c:pt idx="1">
                  <c:v>8635.9721468491971</c:v>
                </c:pt>
                <c:pt idx="2">
                  <c:v>8432.3071642642371</c:v>
                </c:pt>
                <c:pt idx="3">
                  <c:v>8319.2097021600039</c:v>
                </c:pt>
                <c:pt idx="4">
                  <c:v>8513.7989150977573</c:v>
                </c:pt>
                <c:pt idx="5">
                  <c:v>9660.0247997548013</c:v>
                </c:pt>
                <c:pt idx="6">
                  <c:v>9890.6094400388229</c:v>
                </c:pt>
                <c:pt idx="7">
                  <c:v>11293.391063291449</c:v>
                </c:pt>
                <c:pt idx="8">
                  <c:v>12318.080529919369</c:v>
                </c:pt>
                <c:pt idx="9">
                  <c:v>13378.658511897371</c:v>
                </c:pt>
                <c:pt idx="10">
                  <c:v>14217.997085247276</c:v>
                </c:pt>
                <c:pt idx="11">
                  <c:v>15712.078037190333</c:v>
                </c:pt>
                <c:pt idx="12">
                  <c:v>15887.31232633063</c:v>
                </c:pt>
                <c:pt idx="13">
                  <c:v>16091.840878523422</c:v>
                </c:pt>
                <c:pt idx="14">
                  <c:v>17852.225193019964</c:v>
                </c:pt>
                <c:pt idx="15">
                  <c:v>19860.634705627152</c:v>
                </c:pt>
                <c:pt idx="16">
                  <c:v>24801.919802657158</c:v>
                </c:pt>
                <c:pt idx="17">
                  <c:v>29526.675275425936</c:v>
                </c:pt>
                <c:pt idx="18">
                  <c:v>34512.593525674849</c:v>
                </c:pt>
                <c:pt idx="19">
                  <c:v>28203.454328896514</c:v>
                </c:pt>
                <c:pt idx="20">
                  <c:v>23041.163407147786</c:v>
                </c:pt>
                <c:pt idx="21">
                  <c:v>17476.477173634248</c:v>
                </c:pt>
                <c:pt idx="22">
                  <c:v>17562.247850579635</c:v>
                </c:pt>
                <c:pt idx="23">
                  <c:v>15708.270682337396</c:v>
                </c:pt>
                <c:pt idx="24">
                  <c:v>17208.78029162918</c:v>
                </c:pt>
                <c:pt idx="25">
                  <c:v>18752.383163962215</c:v>
                </c:pt>
                <c:pt idx="26">
                  <c:v>17583.85695662113</c:v>
                </c:pt>
                <c:pt idx="27">
                  <c:v>17328.121601343908</c:v>
                </c:pt>
                <c:pt idx="28">
                  <c:v>17723.877342863423</c:v>
                </c:pt>
                <c:pt idx="29">
                  <c:v>17579.880358608076</c:v>
                </c:pt>
                <c:pt idx="30">
                  <c:v>17491.151998879563</c:v>
                </c:pt>
                <c:pt idx="31">
                  <c:v>18213.018265458464</c:v>
                </c:pt>
                <c:pt idx="32">
                  <c:v>19841.229836338418</c:v>
                </c:pt>
                <c:pt idx="33">
                  <c:v>21420.400884125189</c:v>
                </c:pt>
                <c:pt idx="34">
                  <c:v>22467.537081565031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DB-4916-B8BD-239AD59CB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597632"/>
        <c:axId val="2061598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LPRIS35!$B$4</c15:sqref>
                        </c15:formulaRef>
                      </c:ext>
                    </c:extLst>
                    <c:strCache>
                      <c:ptCount val="1"/>
                      <c:pt idx="0">
                        <c:v>Arable land, buying price (DKK per ha)</c:v>
                      </c:pt>
                    </c:strCache>
                  </c:strRef>
                </c:tx>
                <c:spPr>
                  <a:ln w="22225">
                    <a:solidFill>
                      <a:srgbClr val="0091D4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LPRIS35!$K$3:$AS$3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LPRIS35!$K$4:$AS$4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5"/>
                      <c:pt idx="0">
                        <c:v>61563.378888700885</c:v>
                      </c:pt>
                      <c:pt idx="1">
                        <c:v>64213.928118164884</c:v>
                      </c:pt>
                      <c:pt idx="2">
                        <c:v>62699.549849046751</c:v>
                      </c:pt>
                      <c:pt idx="3">
                        <c:v>61858.598514510806</c:v>
                      </c:pt>
                      <c:pt idx="4">
                        <c:v>63305.492682264005</c:v>
                      </c:pt>
                      <c:pt idx="5">
                        <c:v>71828.408841899989</c:v>
                      </c:pt>
                      <c:pt idx="6">
                        <c:v>73542.951833073632</c:v>
                      </c:pt>
                      <c:pt idx="7">
                        <c:v>83973.522565506049</c:v>
                      </c:pt>
                      <c:pt idx="8">
                        <c:v>91592.738403006471</c:v>
                      </c:pt>
                      <c:pt idx="9">
                        <c:v>99478.8081054535</c:v>
                      </c:pt>
                      <c:pt idx="10">
                        <c:v>105976.18724440964</c:v>
                      </c:pt>
                      <c:pt idx="11">
                        <c:v>117087.74105977552</c:v>
                      </c:pt>
                      <c:pt idx="12">
                        <c:v>118049.70511474785</c:v>
                      </c:pt>
                      <c:pt idx="13">
                        <c:v>119573.4167302717</c:v>
                      </c:pt>
                      <c:pt idx="14">
                        <c:v>132817.64552336207</c:v>
                      </c:pt>
                      <c:pt idx="15" formatCode="General">
                        <c:v>148000</c:v>
                      </c:pt>
                      <c:pt idx="16" formatCode="General">
                        <c:v>185000</c:v>
                      </c:pt>
                      <c:pt idx="17" formatCode="General">
                        <c:v>219990</c:v>
                      </c:pt>
                      <c:pt idx="18" formatCode="General">
                        <c:v>257325</c:v>
                      </c:pt>
                      <c:pt idx="19" formatCode="General">
                        <c:v>210010</c:v>
                      </c:pt>
                      <c:pt idx="20" formatCode="General">
                        <c:v>171596</c:v>
                      </c:pt>
                      <c:pt idx="21" formatCode="General">
                        <c:v>130209</c:v>
                      </c:pt>
                      <c:pt idx="22" formatCode="General">
                        <c:v>130729</c:v>
                      </c:pt>
                      <c:pt idx="23" formatCode="General">
                        <c:v>117152</c:v>
                      </c:pt>
                      <c:pt idx="24" formatCode="General">
                        <c:v>128287</c:v>
                      </c:pt>
                      <c:pt idx="25" formatCode="General">
                        <c:v>139866</c:v>
                      </c:pt>
                      <c:pt idx="26" formatCode="General">
                        <c:v>130916</c:v>
                      </c:pt>
                      <c:pt idx="27" formatCode="General">
                        <c:v>128897</c:v>
                      </c:pt>
                      <c:pt idx="28" formatCode="General">
                        <c:v>132099</c:v>
                      </c:pt>
                      <c:pt idx="29" formatCode="General">
                        <c:v>131251</c:v>
                      </c:pt>
                      <c:pt idx="30" formatCode="General">
                        <c:v>130383</c:v>
                      </c:pt>
                      <c:pt idx="31" formatCode="General">
                        <c:v>135451</c:v>
                      </c:pt>
                      <c:pt idx="32" formatCode="General">
                        <c:v>147610</c:v>
                      </c:pt>
                      <c:pt idx="33" formatCode="General">
                        <c:v>159603</c:v>
                      </c:pt>
                      <c:pt idx="34" formatCode="General">
                        <c:v>167583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DB-4916-B8BD-239AD59CBD6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LPRIS35!$B$5</c15:sqref>
                        </c15:formulaRef>
                      </c:ext>
                    </c:extLst>
                    <c:strCache>
                      <c:ptCount val="1"/>
                      <c:pt idx="0">
                        <c:v>DKK per 100 Euro</c:v>
                      </c:pt>
                    </c:strCache>
                  </c:strRef>
                </c:tx>
                <c:spPr>
                  <a:ln w="22225">
                    <a:solidFill>
                      <a:srgbClr val="00863B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LPRIS35!$K$3:$AS$3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LPRIS35!$K$5:$AS$5</c15:sqref>
                        </c15:formulaRef>
                      </c:ext>
                    </c:extLst>
                    <c:numCache>
                      <c:formatCode>0.00</c:formatCode>
                      <c:ptCount val="35"/>
                      <c:pt idx="0">
                        <c:v>743.5634</c:v>
                      </c:pt>
                      <c:pt idx="1">
                        <c:v>743.5634</c:v>
                      </c:pt>
                      <c:pt idx="2">
                        <c:v>743.5634</c:v>
                      </c:pt>
                      <c:pt idx="3">
                        <c:v>743.5634</c:v>
                      </c:pt>
                      <c:pt idx="4">
                        <c:v>743.5634</c:v>
                      </c:pt>
                      <c:pt idx="5">
                        <c:v>743.5634</c:v>
                      </c:pt>
                      <c:pt idx="6">
                        <c:v>743.5634</c:v>
                      </c:pt>
                      <c:pt idx="7">
                        <c:v>743.5634</c:v>
                      </c:pt>
                      <c:pt idx="8">
                        <c:v>743.5634</c:v>
                      </c:pt>
                      <c:pt idx="9" formatCode="General">
                        <c:v>743.5634</c:v>
                      </c:pt>
                      <c:pt idx="10" formatCode="General">
                        <c:v>745.36649999999997</c:v>
                      </c:pt>
                      <c:pt idx="11" formatCode="General">
                        <c:v>745.20849999999996</c:v>
                      </c:pt>
                      <c:pt idx="12" formatCode="General">
                        <c:v>743.04390000000001</c:v>
                      </c:pt>
                      <c:pt idx="13" formatCode="General">
                        <c:v>743.06859999999995</c:v>
                      </c:pt>
                      <c:pt idx="14" formatCode="General">
                        <c:v>743.9837</c:v>
                      </c:pt>
                      <c:pt idx="15">
                        <c:v>745.19269999999995</c:v>
                      </c:pt>
                      <c:pt idx="16">
                        <c:v>745.91</c:v>
                      </c:pt>
                      <c:pt idx="17">
                        <c:v>745.05510000000004</c:v>
                      </c:pt>
                      <c:pt idx="18">
                        <c:v>745.59739999999999</c:v>
                      </c:pt>
                      <c:pt idx="19">
                        <c:v>744.62509999999997</c:v>
                      </c:pt>
                      <c:pt idx="20">
                        <c:v>744.73670000000004</c:v>
                      </c:pt>
                      <c:pt idx="21">
                        <c:v>745.05290000000002</c:v>
                      </c:pt>
                      <c:pt idx="22">
                        <c:v>744.37509999999997</c:v>
                      </c:pt>
                      <c:pt idx="23">
                        <c:v>745.79819999999995</c:v>
                      </c:pt>
                      <c:pt idx="24">
                        <c:v>745.47410000000002</c:v>
                      </c:pt>
                      <c:pt idx="25">
                        <c:v>745.85720000000003</c:v>
                      </c:pt>
                      <c:pt idx="26">
                        <c:v>744.52380000000005</c:v>
                      </c:pt>
                      <c:pt idx="27">
                        <c:v>743.86019999999996</c:v>
                      </c:pt>
                      <c:pt idx="28">
                        <c:v>745.31659999999999</c:v>
                      </c:pt>
                      <c:pt idx="29">
                        <c:v>746.59780000000001</c:v>
                      </c:pt>
                      <c:pt idx="30">
                        <c:v>745.42259999999999</c:v>
                      </c:pt>
                      <c:pt idx="31">
                        <c:v>743.70429999999999</c:v>
                      </c:pt>
                      <c:pt idx="32">
                        <c:v>743.95590000000004</c:v>
                      </c:pt>
                      <c:pt idx="33">
                        <c:v>745.09810000000004</c:v>
                      </c:pt>
                      <c:pt idx="34">
                        <c:v>745.8895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DDB-4916-B8BD-239AD59CBD6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LPRIS35!$B$7</c15:sqref>
                        </c15:formulaRef>
                      </c:ext>
                    </c:extLst>
                    <c:strCache>
                      <c:ptCount val="1"/>
                      <c:pt idx="0">
                        <c:v>Handelsværdi pr. ha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LPRIS35!$K$3:$AS$3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LPRIS35!$K$7:$AS$7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49489.949748743726</c:v>
                      </c:pt>
                      <c:pt idx="1">
                        <c:v>51620.68965517242</c:v>
                      </c:pt>
                      <c:pt idx="2">
                        <c:v>50403.301886792455</c:v>
                      </c:pt>
                      <c:pt idx="3">
                        <c:v>49727.272727272728</c:v>
                      </c:pt>
                      <c:pt idx="4">
                        <c:v>50890.410958904111</c:v>
                      </c:pt>
                      <c:pt idx="5">
                        <c:v>57741.865509761388</c:v>
                      </c:pt>
                      <c:pt idx="6">
                        <c:v>59120.162932790219</c:v>
                      </c:pt>
                      <c:pt idx="7">
                        <c:v>67505.154639175264</c:v>
                      </c:pt>
                      <c:pt idx="8">
                        <c:v>73630.136986301368</c:v>
                      </c:pt>
                      <c:pt idx="9">
                        <c:v>79969.639468690701</c:v>
                      </c:pt>
                      <c:pt idx="10">
                        <c:v>85192.792792792796</c:v>
                      </c:pt>
                      <c:pt idx="11">
                        <c:v>94125.217391304352</c:v>
                      </c:pt>
                      <c:pt idx="12">
                        <c:v>94898.527004909978</c:v>
                      </c:pt>
                      <c:pt idx="13">
                        <c:v>96123.417721518985</c:v>
                      </c:pt>
                      <c:pt idx="14">
                        <c:v>106770.27027027028</c:v>
                      </c:pt>
                      <c:pt idx="15" formatCode="_ * #,##0_ ;_ * \-#,##0_ ;_ * &quot;-&quot;??_ ;_ @_ ">
                        <c:v>118975.1552795031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53D-43A7-B7AF-1A2DBB071480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LPRIS35!$B$8</c:f>
              <c:strCache>
                <c:ptCount val="1"/>
                <c:pt idx="0">
                  <c:v>Net price index</c:v>
                </c:pt>
              </c:strCache>
            </c:strRef>
          </c:tx>
          <c:marker>
            <c:symbol val="none"/>
          </c:marker>
          <c:cat>
            <c:numRef>
              <c:f>LPRIS35!$K$3:$AS$3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LPRIS35!$K$8:$AS$8</c:f>
              <c:numCache>
                <c:formatCode>General</c:formatCode>
                <c:ptCount val="35"/>
                <c:pt idx="0">
                  <c:v>61.2</c:v>
                </c:pt>
                <c:pt idx="1">
                  <c:v>62.8</c:v>
                </c:pt>
                <c:pt idx="2">
                  <c:v>64.2</c:v>
                </c:pt>
                <c:pt idx="3">
                  <c:v>65.099999999999994</c:v>
                </c:pt>
                <c:pt idx="4">
                  <c:v>66.2</c:v>
                </c:pt>
                <c:pt idx="5">
                  <c:v>67.400000000000006</c:v>
                </c:pt>
                <c:pt idx="6">
                  <c:v>68.8</c:v>
                </c:pt>
                <c:pt idx="7">
                  <c:v>70.3</c:v>
                </c:pt>
                <c:pt idx="8">
                  <c:v>71.3</c:v>
                </c:pt>
                <c:pt idx="9">
                  <c:v>72.8</c:v>
                </c:pt>
                <c:pt idx="10">
                  <c:v>75.099999999999994</c:v>
                </c:pt>
                <c:pt idx="11">
                  <c:v>76.900000000000006</c:v>
                </c:pt>
                <c:pt idx="12">
                  <c:v>78.8</c:v>
                </c:pt>
                <c:pt idx="13">
                  <c:v>80.599999999999994</c:v>
                </c:pt>
                <c:pt idx="14">
                  <c:v>81.7</c:v>
                </c:pt>
                <c:pt idx="15">
                  <c:v>83.3</c:v>
                </c:pt>
                <c:pt idx="16">
                  <c:v>85</c:v>
                </c:pt>
                <c:pt idx="17">
                  <c:v>86.7</c:v>
                </c:pt>
                <c:pt idx="18">
                  <c:v>89.9</c:v>
                </c:pt>
                <c:pt idx="19">
                  <c:v>91.7</c:v>
                </c:pt>
                <c:pt idx="20">
                  <c:v>93.6</c:v>
                </c:pt>
                <c:pt idx="21">
                  <c:v>96</c:v>
                </c:pt>
                <c:pt idx="22">
                  <c:v>97.8</c:v>
                </c:pt>
                <c:pt idx="23">
                  <c:v>98.6</c:v>
                </c:pt>
                <c:pt idx="24">
                  <c:v>99.4</c:v>
                </c:pt>
                <c:pt idx="25">
                  <c:v>100</c:v>
                </c:pt>
                <c:pt idx="26">
                  <c:v>100.5</c:v>
                </c:pt>
                <c:pt idx="27">
                  <c:v>101.7</c:v>
                </c:pt>
                <c:pt idx="28">
                  <c:v>102.6</c:v>
                </c:pt>
                <c:pt idx="29">
                  <c:v>103.5</c:v>
                </c:pt>
                <c:pt idx="30">
                  <c:v>103.9</c:v>
                </c:pt>
                <c:pt idx="31">
                  <c:v>105.4</c:v>
                </c:pt>
                <c:pt idx="32">
                  <c:v>113.5</c:v>
                </c:pt>
                <c:pt idx="33">
                  <c:v>118</c:v>
                </c:pt>
                <c:pt idx="34">
                  <c:v>119.2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D-43A7-B7AF-1A2DBB071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917135"/>
        <c:axId val="1694921295"/>
      </c:lineChart>
      <c:catAx>
        <c:axId val="20615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 cap="flat" cmpd="sng" algn="ctr">
            <a:solidFill>
              <a:srgbClr val="AEAC9D"/>
            </a:solidFill>
            <a:prstDash val="solid"/>
            <a:round/>
            <a:headEnd type="none" w="med" len="med"/>
            <a:tailEnd type="none" w="med" len="med"/>
          </a:ln>
        </c:spPr>
        <c:crossAx val="2061598048"/>
        <c:crosses val="autoZero"/>
        <c:auto val="1"/>
        <c:lblAlgn val="ctr"/>
        <c:lblOffset val="100"/>
        <c:noMultiLvlLbl val="0"/>
      </c:catAx>
      <c:valAx>
        <c:axId val="2061598048"/>
        <c:scaling>
          <c:orientation val="minMax"/>
        </c:scaling>
        <c:delete val="0"/>
        <c:axPos val="l"/>
        <c:majorGridlines>
          <c:spPr>
            <a:ln w="3175">
              <a:solidFill>
                <a:srgbClr val="AEAC9D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2061597632"/>
        <c:crosses val="autoZero"/>
        <c:crossBetween val="between"/>
      </c:valAx>
      <c:valAx>
        <c:axId val="1694921295"/>
        <c:scaling>
          <c:orientation val="minMax"/>
          <c:min val="50"/>
        </c:scaling>
        <c:delete val="0"/>
        <c:axPos val="r"/>
        <c:numFmt formatCode="General" sourceLinked="1"/>
        <c:majorTickMark val="out"/>
        <c:minorTickMark val="none"/>
        <c:tickLblPos val="nextTo"/>
        <c:crossAx val="1694917135"/>
        <c:crosses val="max"/>
        <c:crossBetween val="between"/>
      </c:valAx>
      <c:catAx>
        <c:axId val="1694917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921295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>
          <a:solidFill>
            <a:srgbClr val="6F6D5C"/>
          </a:solidFill>
          <a:latin typeface="Arial Narrow"/>
          <a:ea typeface="Arial Narrow"/>
          <a:cs typeface="Arial Narrow"/>
        </a:defRPr>
      </a:pPr>
      <a:endParaRPr lang="da-DK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LPRIS35!$C$17</c:f>
              <c:strCache>
                <c:ptCount val="1"/>
                <c:pt idx="0">
                  <c:v>Jord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LPRIS35!$D$16:$AT$16</c:f>
              <c:numCache>
                <c:formatCode>General</c:formatCode>
                <c:ptCount val="43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</c:numCache>
            </c:numRef>
          </c:cat>
          <c:val>
            <c:numRef>
              <c:f>LPRIS35!$D$17:$AT$17</c:f>
              <c:numCache>
                <c:formatCode>General</c:formatCode>
                <c:ptCount val="43"/>
                <c:pt idx="0">
                  <c:v>0.13060643750942247</c:v>
                </c:pt>
                <c:pt idx="1">
                  <c:v>0.10319083170859278</c:v>
                </c:pt>
                <c:pt idx="2">
                  <c:v>0.1865494036546671</c:v>
                </c:pt>
                <c:pt idx="3">
                  <c:v>-2.6719576719576921E-2</c:v>
                </c:pt>
                <c:pt idx="4">
                  <c:v>-1.0745673643200115E-2</c:v>
                </c:pt>
                <c:pt idx="5">
                  <c:v>1.4654161781924024E-4</c:v>
                </c:pt>
                <c:pt idx="6">
                  <c:v>1.829353442256676E-2</c:v>
                </c:pt>
                <c:pt idx="7">
                  <c:v>-7.4269179137596786E-2</c:v>
                </c:pt>
                <c:pt idx="8">
                  <c:v>4.3053992118526674E-2</c:v>
                </c:pt>
                <c:pt idx="9">
                  <c:v>-2.358333018237746E-2</c:v>
                </c:pt>
                <c:pt idx="10">
                  <c:v>-1.3412398279741833E-2</c:v>
                </c:pt>
                <c:pt idx="11">
                  <c:v>2.3390348350905255E-2</c:v>
                </c:pt>
                <c:pt idx="12">
                  <c:v>0.13463154299127367</c:v>
                </c:pt>
                <c:pt idx="13">
                  <c:v>2.3869984297542945E-2</c:v>
                </c:pt>
                <c:pt idx="14">
                  <c:v>0.14182964475110449</c:v>
                </c:pt>
                <c:pt idx="15">
                  <c:v>9.0733550346858705E-2</c:v>
                </c:pt>
                <c:pt idx="16">
                  <c:v>8.60992895282644E-2</c:v>
                </c:pt>
                <c:pt idx="17">
                  <c:v>6.5314203725365561E-2</c:v>
                </c:pt>
                <c:pt idx="18">
                  <c:v>0.10484953369514649</c:v>
                </c:pt>
                <c:pt idx="19">
                  <c:v>8.2157538121878648E-3</c:v>
                </c:pt>
                <c:pt idx="20">
                  <c:v>1.2907373330943495E-2</c:v>
                </c:pt>
                <c:pt idx="21">
                  <c:v>0.11076231787342916</c:v>
                </c:pt>
                <c:pt idx="22">
                  <c:v>0.11430976973588525</c:v>
                </c:pt>
                <c:pt idx="23">
                  <c:v>0.25</c:v>
                </c:pt>
                <c:pt idx="24">
                  <c:v>0.18913513513513514</c:v>
                </c:pt>
                <c:pt idx="25">
                  <c:v>0.16971225964816572</c:v>
                </c:pt>
                <c:pt idx="26">
                  <c:v>-0.18387253473234233</c:v>
                </c:pt>
                <c:pt idx="27">
                  <c:v>-0.18291509928098659</c:v>
                </c:pt>
                <c:pt idx="28">
                  <c:v>-0.24118860579500689</c:v>
                </c:pt>
                <c:pt idx="29">
                  <c:v>3.9935795528727169E-3</c:v>
                </c:pt>
                <c:pt idx="30">
                  <c:v>-0.1038560686611234</c:v>
                </c:pt>
                <c:pt idx="31">
                  <c:v>9.5047459710461579E-2</c:v>
                </c:pt>
                <c:pt idx="32">
                  <c:v>9.02585608830202E-2</c:v>
                </c:pt>
                <c:pt idx="33">
                  <c:v>-6.398981882659116E-2</c:v>
                </c:pt>
                <c:pt idx="34">
                  <c:v>-1.5422102722356335E-2</c:v>
                </c:pt>
                <c:pt idx="35">
                  <c:v>2.4841540144456387E-2</c:v>
                </c:pt>
                <c:pt idx="36">
                  <c:v>-6.4194278533523663E-3</c:v>
                </c:pt>
                <c:pt idx="37">
                  <c:v>-6.6132829464156107E-3</c:v>
                </c:pt>
                <c:pt idx="38">
                  <c:v>3.8870098095610706E-2</c:v>
                </c:pt>
                <c:pt idx="39">
                  <c:v>8.9766779130460383E-2</c:v>
                </c:pt>
                <c:pt idx="40">
                  <c:v>8.1247882934760485E-2</c:v>
                </c:pt>
                <c:pt idx="41">
                  <c:v>4.9999060168042009E-2</c:v>
                </c:pt>
                <c:pt idx="42">
                  <c:v>4.1275069666971032E-2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B-4692-9988-33C5179CF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895503"/>
        <c:axId val="548074591"/>
      </c:lineChart>
      <c:catAx>
        <c:axId val="36089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48074591"/>
        <c:crosses val="autoZero"/>
        <c:auto val="1"/>
        <c:lblAlgn val="ctr"/>
        <c:lblOffset val="100"/>
        <c:noMultiLvlLbl val="0"/>
      </c:catAx>
      <c:valAx>
        <c:axId val="5480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089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LPRIS35!$C$17</c:f>
              <c:strCache>
                <c:ptCount val="1"/>
                <c:pt idx="0">
                  <c:v>Jord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LPRIS35!$D$16:$AT$16</c:f>
              <c:numCache>
                <c:formatCode>General</c:formatCode>
                <c:ptCount val="43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</c:numCache>
            </c:numRef>
          </c:cat>
          <c:val>
            <c:numRef>
              <c:f>LPRIS35!$D$17:$AT$17</c:f>
              <c:numCache>
                <c:formatCode>General</c:formatCode>
                <c:ptCount val="43"/>
                <c:pt idx="0">
                  <c:v>0.13060643750942247</c:v>
                </c:pt>
                <c:pt idx="1">
                  <c:v>0.10319083170859278</c:v>
                </c:pt>
                <c:pt idx="2">
                  <c:v>0.1865494036546671</c:v>
                </c:pt>
                <c:pt idx="3">
                  <c:v>-2.6719576719576921E-2</c:v>
                </c:pt>
                <c:pt idx="4">
                  <c:v>-1.0745673643200115E-2</c:v>
                </c:pt>
                <c:pt idx="5">
                  <c:v>1.4654161781924024E-4</c:v>
                </c:pt>
                <c:pt idx="6">
                  <c:v>1.829353442256676E-2</c:v>
                </c:pt>
                <c:pt idx="7">
                  <c:v>-7.4269179137596786E-2</c:v>
                </c:pt>
                <c:pt idx="8">
                  <c:v>4.3053992118526674E-2</c:v>
                </c:pt>
                <c:pt idx="9">
                  <c:v>-2.358333018237746E-2</c:v>
                </c:pt>
                <c:pt idx="10">
                  <c:v>-1.3412398279741833E-2</c:v>
                </c:pt>
                <c:pt idx="11">
                  <c:v>2.3390348350905255E-2</c:v>
                </c:pt>
                <c:pt idx="12">
                  <c:v>0.13463154299127367</c:v>
                </c:pt>
                <c:pt idx="13">
                  <c:v>2.3869984297542945E-2</c:v>
                </c:pt>
                <c:pt idx="14">
                  <c:v>0.14182964475110449</c:v>
                </c:pt>
                <c:pt idx="15">
                  <c:v>9.0733550346858705E-2</c:v>
                </c:pt>
                <c:pt idx="16">
                  <c:v>8.60992895282644E-2</c:v>
                </c:pt>
                <c:pt idx="17">
                  <c:v>6.5314203725365561E-2</c:v>
                </c:pt>
                <c:pt idx="18">
                  <c:v>0.10484953369514649</c:v>
                </c:pt>
                <c:pt idx="19">
                  <c:v>8.2157538121878648E-3</c:v>
                </c:pt>
                <c:pt idx="20">
                  <c:v>1.2907373330943495E-2</c:v>
                </c:pt>
                <c:pt idx="21">
                  <c:v>0.11076231787342916</c:v>
                </c:pt>
                <c:pt idx="22">
                  <c:v>0.11430976973588525</c:v>
                </c:pt>
                <c:pt idx="23">
                  <c:v>0.25</c:v>
                </c:pt>
                <c:pt idx="24">
                  <c:v>0.18913513513513514</c:v>
                </c:pt>
                <c:pt idx="25">
                  <c:v>0.16971225964816572</c:v>
                </c:pt>
                <c:pt idx="26">
                  <c:v>-0.18387253473234233</c:v>
                </c:pt>
                <c:pt idx="27">
                  <c:v>-0.18291509928098659</c:v>
                </c:pt>
                <c:pt idx="28">
                  <c:v>-0.24118860579500689</c:v>
                </c:pt>
                <c:pt idx="29">
                  <c:v>3.9935795528727169E-3</c:v>
                </c:pt>
                <c:pt idx="30">
                  <c:v>-0.1038560686611234</c:v>
                </c:pt>
                <c:pt idx="31">
                  <c:v>9.5047459710461579E-2</c:v>
                </c:pt>
                <c:pt idx="32">
                  <c:v>9.02585608830202E-2</c:v>
                </c:pt>
                <c:pt idx="33">
                  <c:v>-6.398981882659116E-2</c:v>
                </c:pt>
                <c:pt idx="34">
                  <c:v>-1.5422102722356335E-2</c:v>
                </c:pt>
                <c:pt idx="35">
                  <c:v>2.4841540144456387E-2</c:v>
                </c:pt>
                <c:pt idx="36">
                  <c:v>-6.4194278533523663E-3</c:v>
                </c:pt>
                <c:pt idx="37">
                  <c:v>-6.6132829464156107E-3</c:v>
                </c:pt>
                <c:pt idx="38">
                  <c:v>3.8870098095610706E-2</c:v>
                </c:pt>
                <c:pt idx="39">
                  <c:v>8.9766779130460383E-2</c:v>
                </c:pt>
                <c:pt idx="40">
                  <c:v>8.1247882934760485E-2</c:v>
                </c:pt>
                <c:pt idx="41">
                  <c:v>4.9999060168042009E-2</c:v>
                </c:pt>
                <c:pt idx="42">
                  <c:v>4.1275069666971032E-2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2-4070-A822-62FEAC23BA32}"/>
            </c:ext>
          </c:extLst>
        </c:ser>
        <c:ser>
          <c:idx val="1"/>
          <c:order val="1"/>
          <c:tx>
            <c:strRef>
              <c:f>LPRIS35!$C$18</c:f>
              <c:strCache>
                <c:ptCount val="1"/>
                <c:pt idx="0">
                  <c:v>Rente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LPRIS35!$D$16:$AT$16</c:f>
              <c:numCache>
                <c:formatCode>General</c:formatCode>
                <c:ptCount val="43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</c:numCache>
            </c:numRef>
          </c:cat>
          <c:val>
            <c:numRef>
              <c:f>LPRIS35!$D$18:$AT$18</c:f>
              <c:numCache>
                <c:formatCode>General</c:formatCode>
                <c:ptCount val="43"/>
                <c:pt idx="2">
                  <c:v>0.1157</c:v>
                </c:pt>
                <c:pt idx="3">
                  <c:v>0.1007</c:v>
                </c:pt>
                <c:pt idx="4">
                  <c:v>0.1129</c:v>
                </c:pt>
                <c:pt idx="5">
                  <c:v>9.8699999999999996E-2</c:v>
                </c:pt>
                <c:pt idx="6">
                  <c:v>9.7000000000000003E-2</c:v>
                </c:pt>
                <c:pt idx="7">
                  <c:v>0.10630000000000001</c:v>
                </c:pt>
                <c:pt idx="8">
                  <c:v>9.2700000000000005E-2</c:v>
                </c:pt>
                <c:pt idx="9">
                  <c:v>8.9899999999999994E-2</c:v>
                </c:pt>
                <c:pt idx="10">
                  <c:v>7.2800000000000004E-2</c:v>
                </c:pt>
                <c:pt idx="11">
                  <c:v>7.85E-2</c:v>
                </c:pt>
                <c:pt idx="12">
                  <c:v>8.2699999999999996E-2</c:v>
                </c:pt>
                <c:pt idx="13">
                  <c:v>7.1900000000000006E-2</c:v>
                </c:pt>
                <c:pt idx="14">
                  <c:v>6.2600000000000003E-2</c:v>
                </c:pt>
                <c:pt idx="15">
                  <c:v>5.0299999999999997E-2</c:v>
                </c:pt>
                <c:pt idx="16">
                  <c:v>4.9399999999999999E-2</c:v>
                </c:pt>
                <c:pt idx="17">
                  <c:v>5.6599999999999998E-2</c:v>
                </c:pt>
                <c:pt idx="18">
                  <c:v>5.0900000000000001E-2</c:v>
                </c:pt>
                <c:pt idx="19">
                  <c:v>5.0500000000000003E-2</c:v>
                </c:pt>
                <c:pt idx="20">
                  <c:v>4.3099999999999999E-2</c:v>
                </c:pt>
                <c:pt idx="21">
                  <c:v>4.3034000000000003E-2</c:v>
                </c:pt>
                <c:pt idx="22">
                  <c:v>3.397E-2</c:v>
                </c:pt>
                <c:pt idx="23">
                  <c:v>3.8094000000000003E-2</c:v>
                </c:pt>
                <c:pt idx="24">
                  <c:v>4.2861999999999997E-2</c:v>
                </c:pt>
                <c:pt idx="25">
                  <c:v>4.2935000000000001E-2</c:v>
                </c:pt>
                <c:pt idx="26">
                  <c:v>3.5872000000000001E-2</c:v>
                </c:pt>
                <c:pt idx="27">
                  <c:v>2.9131000000000001E-2</c:v>
                </c:pt>
                <c:pt idx="28">
                  <c:v>2.7144999999999999E-2</c:v>
                </c:pt>
                <c:pt idx="29">
                  <c:v>1.355E-2</c:v>
                </c:pt>
                <c:pt idx="30">
                  <c:v>1.7392000000000001E-2</c:v>
                </c:pt>
                <c:pt idx="31">
                  <c:v>1.1892E-2</c:v>
                </c:pt>
                <c:pt idx="32">
                  <c:v>5.0920000000000002E-3</c:v>
                </c:pt>
                <c:pt idx="33">
                  <c:v>2.7330000000000002E-3</c:v>
                </c:pt>
                <c:pt idx="34">
                  <c:v>2.6419999999999998E-3</c:v>
                </c:pt>
                <c:pt idx="35">
                  <c:v>4.2249999999999996E-3</c:v>
                </c:pt>
                <c:pt idx="36">
                  <c:v>-2.0079999999999998E-3</c:v>
                </c:pt>
                <c:pt idx="37">
                  <c:v>-3.9750000000000002E-3</c:v>
                </c:pt>
                <c:pt idx="38">
                  <c:v>-1.75E-3</c:v>
                </c:pt>
                <c:pt idx="39">
                  <c:v>1.4425E-2</c:v>
                </c:pt>
                <c:pt idx="40">
                  <c:v>2.6009999999999998E-2</c:v>
                </c:pt>
                <c:pt idx="41">
                  <c:v>2.6009999999999998E-2</c:v>
                </c:pt>
                <c:pt idx="42">
                  <c:v>2.6009999999999998E-2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2-4070-A822-62FEAC23B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804415"/>
        <c:axId val="1086803935"/>
      </c:lineChart>
      <c:catAx>
        <c:axId val="108680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86803935"/>
        <c:crosses val="autoZero"/>
        <c:auto val="1"/>
        <c:lblAlgn val="ctr"/>
        <c:lblOffset val="100"/>
        <c:noMultiLvlLbl val="0"/>
      </c:catAx>
      <c:valAx>
        <c:axId val="10868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8680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LPRIS35!$D$21</c:f>
              <c:strCache>
                <c:ptCount val="1"/>
                <c:pt idx="0">
                  <c:v>Jord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LPRIS35!$N$20:$AT$20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LPRIS35!$N$21:$AT$21</c:f>
              <c:numCache>
                <c:formatCode>General</c:formatCode>
                <c:ptCount val="33"/>
                <c:pt idx="0">
                  <c:v>1</c:v>
                </c:pt>
                <c:pt idx="1">
                  <c:v>1.0233903483509053</c:v>
                </c:pt>
                <c:pt idx="2">
                  <c:v>1.1611709700317647</c:v>
                </c:pt>
                <c:pt idx="3">
                  <c:v>1.1888881028531857</c:v>
                </c:pt>
                <c:pt idx="4">
                  <c:v>1.3575076801296675</c:v>
                </c:pt>
                <c:pt idx="5">
                  <c:v>1.48067917157096</c:v>
                </c:pt>
                <c:pt idx="6">
                  <c:v>1.6081645962625186</c:v>
                </c:pt>
                <c:pt idx="7">
                  <c:v>1.713200586326729</c:v>
                </c:pt>
                <c:pt idx="8">
                  <c:v>1.892828868929338</c:v>
                </c:pt>
                <c:pt idx="9">
                  <c:v>1.9083798849250635</c:v>
                </c:pt>
                <c:pt idx="10">
                  <c:v>1.9330120565570543</c:v>
                </c:pt>
                <c:pt idx="11">
                  <c:v>2.1471169524185978</c:v>
                </c:pt>
                <c:pt idx="12">
                  <c:v>2.3925533968455834</c:v>
                </c:pt>
                <c:pt idx="13">
                  <c:v>2.9906917460569793</c:v>
                </c:pt>
                <c:pt idx="14">
                  <c:v>3.5563366335949995</c:v>
                </c:pt>
                <c:pt idx="15">
                  <c:v>4.1598905597519575</c:v>
                </c:pt>
                <c:pt idx="16">
                  <c:v>3.395000938321223</c:v>
                </c:pt>
                <c:pt idx="17">
                  <c:v>2.7740040046291536</c:v>
                </c:pt>
                <c:pt idx="18">
                  <c:v>2.1049458462828823</c:v>
                </c:pt>
                <c:pt idx="19">
                  <c:v>2.1133521149745018</c:v>
                </c:pt>
                <c:pt idx="20">
                  <c:v>1.8938676726165795</c:v>
                </c:pt>
                <c:pt idx="21">
                  <c:v>2.0738749839265496</c:v>
                </c:pt>
                <c:pt idx="22">
                  <c:v>2.2610599554270565</c:v>
                </c:pt>
                <c:pt idx="23">
                  <c:v>2.1163751385232188</c:v>
                </c:pt>
                <c:pt idx="24">
                  <c:v>2.0837361837378725</c:v>
                </c:pt>
                <c:pt idx="25">
                  <c:v>2.1354993997966534</c:v>
                </c:pt>
                <c:pt idx="26">
                  <c:v>2.1217907154687814</c:v>
                </c:pt>
                <c:pt idx="27">
                  <c:v>2.1077587131143085</c:v>
                </c:pt>
                <c:pt idx="28">
                  <c:v>2.1896875010549399</c:v>
                </c:pt>
                <c:pt idx="29">
                  <c:v>2.3862486953268682</c:v>
                </c:pt>
                <c:pt idx="30">
                  <c:v>2.5801263499780105</c:v>
                </c:pt>
                <c:pt idx="31">
                  <c:v>2.7091302425917116</c:v>
                </c:pt>
                <c:pt idx="32">
                  <c:v>2.8209497820915828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A-4828-8051-05D6941C39B3}"/>
            </c:ext>
          </c:extLst>
        </c:ser>
        <c:ser>
          <c:idx val="1"/>
          <c:order val="1"/>
          <c:tx>
            <c:strRef>
              <c:f>LPRIS35!$D$22</c:f>
              <c:strCache>
                <c:ptCount val="1"/>
                <c:pt idx="0">
                  <c:v>Rente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LPRIS35!$N$20:$AT$20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LPRIS35!$N$22:$AT$22</c:f>
              <c:numCache>
                <c:formatCode>General</c:formatCode>
                <c:ptCount val="33"/>
                <c:pt idx="0">
                  <c:v>1</c:v>
                </c:pt>
                <c:pt idx="1">
                  <c:v>1.0785</c:v>
                </c:pt>
                <c:pt idx="2">
                  <c:v>1.16769195</c:v>
                </c:pt>
                <c:pt idx="3">
                  <c:v>1.2516490012050001</c:v>
                </c:pt>
                <c:pt idx="4">
                  <c:v>1.3300022286804332</c:v>
                </c:pt>
                <c:pt idx="5">
                  <c:v>1.3969013407830591</c:v>
                </c:pt>
                <c:pt idx="6">
                  <c:v>1.4659082670177419</c:v>
                </c:pt>
                <c:pt idx="7">
                  <c:v>1.548878674930946</c:v>
                </c:pt>
                <c:pt idx="8">
                  <c:v>1.627716599484931</c:v>
                </c:pt>
                <c:pt idx="9">
                  <c:v>1.70991628775892</c:v>
                </c:pt>
                <c:pt idx="10">
                  <c:v>1.7836136797613293</c:v>
                </c:pt>
                <c:pt idx="11">
                  <c:v>1.8603697108561785</c:v>
                </c:pt>
                <c:pt idx="12">
                  <c:v>1.923566469933963</c:v>
                </c:pt>
                <c:pt idx="13">
                  <c:v>1.9968428110396275</c:v>
                </c:pt>
                <c:pt idx="14">
                  <c:v>2.0824314876064078</c:v>
                </c:pt>
                <c:pt idx="15">
                  <c:v>2.1718406835267889</c:v>
                </c:pt>
                <c:pt idx="16">
                  <c:v>2.2497489525262617</c:v>
                </c:pt>
                <c:pt idx="17">
                  <c:v>2.3152863892623041</c:v>
                </c:pt>
                <c:pt idx="18">
                  <c:v>2.3781348382988292</c:v>
                </c:pt>
                <c:pt idx="19">
                  <c:v>2.4103585653577784</c:v>
                </c:pt>
                <c:pt idx="20">
                  <c:v>2.452279521526481</c:v>
                </c:pt>
                <c:pt idx="21">
                  <c:v>2.4814420295964741</c:v>
                </c:pt>
                <c:pt idx="22">
                  <c:v>2.4940775324111795</c:v>
                </c:pt>
                <c:pt idx="23">
                  <c:v>2.5008938463072594</c:v>
                </c:pt>
                <c:pt idx="24">
                  <c:v>2.5075012078492032</c:v>
                </c:pt>
                <c:pt idx="25">
                  <c:v>2.5180954004523657</c:v>
                </c:pt>
                <c:pt idx="26">
                  <c:v>2.5130390648882575</c:v>
                </c:pt>
                <c:pt idx="27">
                  <c:v>2.5030497346053266</c:v>
                </c:pt>
                <c:pt idx="28">
                  <c:v>2.4986693975697674</c:v>
                </c:pt>
                <c:pt idx="29">
                  <c:v>2.5347127036297112</c:v>
                </c:pt>
                <c:pt idx="30">
                  <c:v>2.6006405810511204</c:v>
                </c:pt>
                <c:pt idx="31">
                  <c:v>2.6682832425642604</c:v>
                </c:pt>
                <c:pt idx="32">
                  <c:v>2.7376852897033572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A-4828-8051-05D6941C3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241295"/>
        <c:axId val="1088240815"/>
      </c:lineChart>
      <c:catAx>
        <c:axId val="10882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88240815"/>
        <c:crosses val="autoZero"/>
        <c:auto val="1"/>
        <c:lblAlgn val="ctr"/>
        <c:lblOffset val="100"/>
        <c:noMultiLvlLbl val="0"/>
      </c:catAx>
      <c:valAx>
        <c:axId val="10882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882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342900</xdr:colOff>
      <xdr:row>11</xdr:row>
      <xdr:rowOff>85725</xdr:rowOff>
    </xdr:from>
    <xdr:to>
      <xdr:col>36</xdr:col>
      <xdr:colOff>171450</xdr:colOff>
      <xdr:row>31</xdr:row>
      <xdr:rowOff>47625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36</xdr:row>
      <xdr:rowOff>0</xdr:rowOff>
    </xdr:from>
    <xdr:to>
      <xdr:col>29</xdr:col>
      <xdr:colOff>342901</xdr:colOff>
      <xdr:row>68</xdr:row>
      <xdr:rowOff>76199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7CF3A8D6-0AA3-47CA-8B7E-1C73CEE88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76199</xdr:colOff>
      <xdr:row>26</xdr:row>
      <xdr:rowOff>28575</xdr:rowOff>
    </xdr:from>
    <xdr:to>
      <xdr:col>6</xdr:col>
      <xdr:colOff>400049</xdr:colOff>
      <xdr:row>43</xdr:row>
      <xdr:rowOff>180975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4312FBD4-A62C-40E5-874C-266D8DB53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266700</xdr:colOff>
      <xdr:row>24</xdr:row>
      <xdr:rowOff>0</xdr:rowOff>
    </xdr:from>
    <xdr:to>
      <xdr:col>17</xdr:col>
      <xdr:colOff>38100</xdr:colOff>
      <xdr:row>38</xdr:row>
      <xdr:rowOff>76200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946AD0AC-D969-4C12-A92E-5C58B44FE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0.0658</cdr:x>
      <cdr:y>0.0349</cdr:y>
    </cdr:from>
    <cdr:to>
      <cdr:x>0.24947</cdr:x>
      <cdr:y>0.06611</cdr:y>
    </cdr:to>
    <cdr:sp macro="" textlink="">
      <cdr:nvSpPr>
        <cdr:cNvPr id="2" name="Tekstfelt 1"/>
        <cdr:cNvSpPr txBox="1"/>
      </cdr:nvSpPr>
      <cdr:spPr>
        <a:xfrm xmlns:a="http://schemas.openxmlformats.org/drawingml/2006/main">
          <a:off x="462513" y="131638"/>
          <a:ext cx="1291123" cy="1177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da-DK" sz="800">
              <a:solidFill>
                <a:srgbClr val="000000"/>
              </a:solidFill>
              <a:latin typeface="Arial Narrow" panose="020B0606020202030204" pitchFamily="34" charset="0"/>
            </a:rPr>
            <a:t>Land price, Euro/ha, current prices</a:t>
          </a:r>
        </a:p>
      </cdr:txBody>
    </cdr:sp>
  </cdr:relSizeAnchor>
  <cdr:relSizeAnchor xmlns:cdr="http://schemas.openxmlformats.org/drawingml/2006/chartDrawing">
    <cdr:from>
      <cdr:x>0.81658</cdr:x>
      <cdr:y>0.03995</cdr:y>
    </cdr:from>
    <cdr:to>
      <cdr:x>0.95668</cdr:x>
      <cdr:y>0.07116</cdr:y>
    </cdr:to>
    <cdr:sp macro="" textlink="">
      <cdr:nvSpPr>
        <cdr:cNvPr id="3" name="Tekstfelt 2"/>
        <cdr:cNvSpPr txBox="1"/>
      </cdr:nvSpPr>
      <cdr:spPr>
        <a:xfrm xmlns:a="http://schemas.openxmlformats.org/drawingml/2006/main">
          <a:off x="5740115" y="150688"/>
          <a:ext cx="984821" cy="1177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da-DK" sz="800">
              <a:solidFill>
                <a:srgbClr val="000000"/>
              </a:solidFill>
              <a:latin typeface="Arial Narrow" panose="020B0606020202030204" pitchFamily="34" charset="0"/>
            </a:rPr>
            <a:t>Net price index, 2015=100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st.dk/da/Statistik/udgivelser/VisPub?cid=28376" TargetMode="External"/><Relationship Id="rId2" Type="http://schemas.openxmlformats.org/officeDocument/2006/relationships/hyperlink" Target="http://www.statistikbanken.dk/LPRIS35" TargetMode="External"/><Relationship Id="rId1" Type="http://schemas.openxmlformats.org/officeDocument/2006/relationships/hyperlink" Target="http://www.statistikbanken.dk/LPRIS37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"/>
  <sheetViews>
    <sheetView workbookViewId="0">
      <selection activeCell="F18" sqref="F18"/>
    </sheetView>
  </sheetViews>
  <sheetFormatPr defaultRowHeight="15" x14ac:dyDescent="0.25"/>
  <cols>
    <col min="1" max="1" width="40.7109375" customWidth="1"/>
    <col min="2" max="2" width="36.42578125" customWidth="1"/>
    <col min="3" max="38" width="9" customWidth="1"/>
  </cols>
  <sheetData>
    <row r="1" spans="1:46" ht="17.25" x14ac:dyDescent="0.3">
      <c r="A1" s="1" t="s">
        <v>0</v>
      </c>
    </row>
    <row r="2" spans="1:46" x14ac:dyDescent="0.25">
      <c r="A2" s="2" t="s">
        <v>1</v>
      </c>
    </row>
    <row r="3" spans="1:46" x14ac:dyDescent="0.25">
      <c r="C3" s="7">
        <v>1982</v>
      </c>
      <c r="D3" s="7">
        <v>1983</v>
      </c>
      <c r="E3" s="7">
        <v>1984</v>
      </c>
      <c r="F3" s="7">
        <v>1985</v>
      </c>
      <c r="G3" s="7">
        <v>1986</v>
      </c>
      <c r="H3" s="7">
        <v>1987</v>
      </c>
      <c r="I3" s="7">
        <v>1988</v>
      </c>
      <c r="J3" s="7">
        <v>1989</v>
      </c>
      <c r="K3" s="7">
        <v>1990</v>
      </c>
      <c r="L3" s="7">
        <v>1991</v>
      </c>
      <c r="M3" s="7">
        <v>1992</v>
      </c>
      <c r="N3" s="7">
        <v>1993</v>
      </c>
      <c r="O3" s="7">
        <v>1994</v>
      </c>
      <c r="P3" s="7">
        <v>1995</v>
      </c>
      <c r="Q3" s="7">
        <v>1996</v>
      </c>
      <c r="R3" s="7">
        <v>1997</v>
      </c>
      <c r="S3" s="7">
        <v>1998</v>
      </c>
      <c r="T3" s="7">
        <v>1999</v>
      </c>
      <c r="U3" s="7">
        <v>2000</v>
      </c>
      <c r="V3" s="7">
        <v>2001</v>
      </c>
      <c r="W3" s="7">
        <v>2002</v>
      </c>
      <c r="X3" s="7">
        <v>2003</v>
      </c>
      <c r="Y3" s="7">
        <v>2004</v>
      </c>
      <c r="Z3" s="7">
        <v>2005</v>
      </c>
      <c r="AA3" s="7">
        <v>2006</v>
      </c>
      <c r="AB3" s="7">
        <v>2007</v>
      </c>
      <c r="AC3" s="7">
        <v>2008</v>
      </c>
      <c r="AD3" s="7">
        <v>2009</v>
      </c>
      <c r="AE3" s="7">
        <v>2010</v>
      </c>
      <c r="AF3" s="7">
        <v>2011</v>
      </c>
      <c r="AG3" s="7">
        <v>2012</v>
      </c>
      <c r="AH3" s="7">
        <v>2013</v>
      </c>
      <c r="AI3" s="7">
        <v>2014</v>
      </c>
      <c r="AJ3" s="7">
        <v>2015</v>
      </c>
      <c r="AK3" s="7">
        <v>2016</v>
      </c>
      <c r="AL3" s="7">
        <v>2017</v>
      </c>
      <c r="AM3" s="7">
        <v>2018</v>
      </c>
      <c r="AN3" s="7">
        <v>2019</v>
      </c>
      <c r="AO3" s="7">
        <v>2020</v>
      </c>
      <c r="AP3" s="7">
        <v>2021</v>
      </c>
      <c r="AQ3" s="7">
        <v>2022</v>
      </c>
      <c r="AR3" s="7">
        <v>2023</v>
      </c>
      <c r="AS3" s="7">
        <v>2024</v>
      </c>
      <c r="AT3" s="7">
        <v>2025</v>
      </c>
    </row>
    <row r="4" spans="1:46" x14ac:dyDescent="0.25">
      <c r="A4" s="3" t="s">
        <v>2</v>
      </c>
      <c r="B4" s="3" t="s">
        <v>3</v>
      </c>
      <c r="C4" s="9">
        <f t="shared" ref="C4" si="0">D4*C7/D7</f>
        <v>45825.502031267803</v>
      </c>
      <c r="D4" s="9">
        <f t="shared" ref="D4" si="1">E4*D7/E7</f>
        <v>51810.607598652496</v>
      </c>
      <c r="E4" s="9">
        <f t="shared" ref="E4" si="2">F4*E7/F7</f>
        <v>57156.987288084987</v>
      </c>
      <c r="F4" s="9">
        <f t="shared" ref="F4" si="3">G4*F7/G7</f>
        <v>67819.589181374628</v>
      </c>
      <c r="G4" s="9">
        <f t="shared" ref="G4" si="4">H4*G7/H7</f>
        <v>66007.478465152701</v>
      </c>
      <c r="H4" s="9">
        <f t="shared" ref="H4" si="5">I4*H7/I7</f>
        <v>65298.183643555611</v>
      </c>
      <c r="I4" s="9">
        <f t="shared" ref="I4" si="6">J4*I7/J7</f>
        <v>65307.752545027397</v>
      </c>
      <c r="J4" s="9">
        <f t="shared" ref="J4" si="7">K4*J7/K7</f>
        <v>66502.462164270328</v>
      </c>
      <c r="K4" s="9">
        <f t="shared" ref="K4:X4" si="8">L4*K7/L7</f>
        <v>61563.378888700885</v>
      </c>
      <c r="L4" s="9">
        <f t="shared" si="8"/>
        <v>64213.928118164884</v>
      </c>
      <c r="M4" s="9">
        <f t="shared" si="8"/>
        <v>62699.549849046751</v>
      </c>
      <c r="N4" s="9">
        <f t="shared" si="8"/>
        <v>61858.598514510806</v>
      </c>
      <c r="O4" s="9">
        <f t="shared" si="8"/>
        <v>63305.492682264005</v>
      </c>
      <c r="P4" s="9">
        <f t="shared" si="8"/>
        <v>71828.408841899989</v>
      </c>
      <c r="Q4" s="9">
        <f t="shared" si="8"/>
        <v>73542.951833073632</v>
      </c>
      <c r="R4" s="9">
        <f t="shared" si="8"/>
        <v>83973.522565506049</v>
      </c>
      <c r="S4" s="9">
        <f t="shared" si="8"/>
        <v>91592.738403006471</v>
      </c>
      <c r="T4" s="9">
        <f t="shared" si="8"/>
        <v>99478.8081054535</v>
      </c>
      <c r="U4" s="9">
        <f t="shared" si="8"/>
        <v>105976.18724440964</v>
      </c>
      <c r="V4" s="9">
        <f t="shared" si="8"/>
        <v>117087.74105977552</v>
      </c>
      <c r="W4" s="9">
        <f t="shared" si="8"/>
        <v>118049.70511474785</v>
      </c>
      <c r="X4" s="9">
        <f t="shared" si="8"/>
        <v>119573.4167302717</v>
      </c>
      <c r="Y4" s="9">
        <f>Z4*Y7/Z7</f>
        <v>132817.64552336207</v>
      </c>
      <c r="Z4" s="4">
        <v>148000</v>
      </c>
      <c r="AA4" s="4">
        <v>185000</v>
      </c>
      <c r="AB4" s="4">
        <v>219990</v>
      </c>
      <c r="AC4" s="4">
        <v>257325</v>
      </c>
      <c r="AD4" s="4">
        <v>210010</v>
      </c>
      <c r="AE4" s="4">
        <v>171596</v>
      </c>
      <c r="AF4" s="4">
        <v>130209</v>
      </c>
      <c r="AG4" s="4">
        <v>130729</v>
      </c>
      <c r="AH4" s="4">
        <v>117152</v>
      </c>
      <c r="AI4" s="4">
        <v>128287</v>
      </c>
      <c r="AJ4" s="4">
        <v>139866</v>
      </c>
      <c r="AK4" s="4">
        <v>130916</v>
      </c>
      <c r="AL4" s="4">
        <v>128897</v>
      </c>
      <c r="AM4" s="4">
        <v>132099</v>
      </c>
      <c r="AN4" s="4">
        <v>131251</v>
      </c>
      <c r="AO4" s="4">
        <v>130383</v>
      </c>
      <c r="AP4" s="4">
        <v>135451</v>
      </c>
      <c r="AQ4" s="4">
        <v>147610</v>
      </c>
      <c r="AR4" s="4">
        <v>159603</v>
      </c>
      <c r="AS4" s="4">
        <v>167583</v>
      </c>
      <c r="AT4" s="4">
        <v>174500</v>
      </c>
    </row>
    <row r="5" spans="1:46" x14ac:dyDescent="0.25">
      <c r="B5" t="s">
        <v>4</v>
      </c>
      <c r="C5" s="10"/>
      <c r="D5" s="10"/>
      <c r="E5" s="10"/>
      <c r="F5" s="10"/>
      <c r="G5" s="10"/>
      <c r="H5" s="10"/>
      <c r="I5" s="10"/>
      <c r="J5" s="10"/>
      <c r="K5" s="10">
        <f t="shared" ref="K5:R5" si="9">L5</f>
        <v>743.5634</v>
      </c>
      <c r="L5" s="10">
        <f t="shared" si="9"/>
        <v>743.5634</v>
      </c>
      <c r="M5" s="10">
        <f t="shared" si="9"/>
        <v>743.5634</v>
      </c>
      <c r="N5" s="10">
        <f t="shared" si="9"/>
        <v>743.5634</v>
      </c>
      <c r="O5" s="10">
        <f t="shared" si="9"/>
        <v>743.5634</v>
      </c>
      <c r="P5" s="10">
        <f t="shared" si="9"/>
        <v>743.5634</v>
      </c>
      <c r="Q5" s="10">
        <f t="shared" si="9"/>
        <v>743.5634</v>
      </c>
      <c r="R5" s="10">
        <f t="shared" si="9"/>
        <v>743.5634</v>
      </c>
      <c r="S5" s="10">
        <f>T5</f>
        <v>743.5634</v>
      </c>
      <c r="T5" s="4">
        <v>743.5634</v>
      </c>
      <c r="U5" s="4">
        <v>745.36649999999997</v>
      </c>
      <c r="V5" s="4">
        <v>745.20849999999996</v>
      </c>
      <c r="W5" s="4">
        <v>743.04390000000001</v>
      </c>
      <c r="X5" s="4">
        <v>743.06859999999995</v>
      </c>
      <c r="Y5" s="4">
        <v>743.9837</v>
      </c>
      <c r="Z5" s="6">
        <v>745.19269999999995</v>
      </c>
      <c r="AA5" s="6">
        <v>745.91</v>
      </c>
      <c r="AB5" s="6">
        <v>745.05510000000004</v>
      </c>
      <c r="AC5" s="6">
        <v>745.59739999999999</v>
      </c>
      <c r="AD5" s="6">
        <v>744.62509999999997</v>
      </c>
      <c r="AE5" s="6">
        <v>744.73670000000004</v>
      </c>
      <c r="AF5" s="6">
        <v>745.05290000000002</v>
      </c>
      <c r="AG5" s="6">
        <v>744.37509999999997</v>
      </c>
      <c r="AH5" s="6">
        <v>745.79819999999995</v>
      </c>
      <c r="AI5" s="6">
        <v>745.47410000000002</v>
      </c>
      <c r="AJ5" s="6">
        <v>745.85720000000003</v>
      </c>
      <c r="AK5" s="6">
        <v>744.52380000000005</v>
      </c>
      <c r="AL5" s="6">
        <v>743.86019999999996</v>
      </c>
      <c r="AM5" s="6">
        <v>745.31659999999999</v>
      </c>
      <c r="AN5" s="6">
        <v>746.59780000000001</v>
      </c>
      <c r="AO5" s="6">
        <v>745.42259999999999</v>
      </c>
      <c r="AP5" s="6">
        <v>743.70429999999999</v>
      </c>
      <c r="AQ5" s="6">
        <v>743.95590000000004</v>
      </c>
      <c r="AR5" s="6">
        <v>745.09810000000004</v>
      </c>
      <c r="AS5" s="6">
        <v>745.8895</v>
      </c>
    </row>
    <row r="6" spans="1:46" x14ac:dyDescent="0.25">
      <c r="A6" s="5"/>
      <c r="B6" s="3" t="s">
        <v>5</v>
      </c>
      <c r="K6">
        <f t="shared" ref="K6:Y6" si="10">K4*100/K5</f>
        <v>8279.5063458880413</v>
      </c>
      <c r="L6">
        <f t="shared" si="10"/>
        <v>8635.9721468491971</v>
      </c>
      <c r="M6">
        <f t="shared" si="10"/>
        <v>8432.3071642642371</v>
      </c>
      <c r="N6">
        <f t="shared" si="10"/>
        <v>8319.2097021600039</v>
      </c>
      <c r="O6">
        <f t="shared" si="10"/>
        <v>8513.7989150977573</v>
      </c>
      <c r="P6">
        <f t="shared" si="10"/>
        <v>9660.0247997548013</v>
      </c>
      <c r="Q6">
        <f t="shared" si="10"/>
        <v>9890.6094400388229</v>
      </c>
      <c r="R6">
        <f t="shared" si="10"/>
        <v>11293.391063291449</v>
      </c>
      <c r="S6">
        <f t="shared" si="10"/>
        <v>12318.080529919369</v>
      </c>
      <c r="T6">
        <f t="shared" si="10"/>
        <v>13378.658511897371</v>
      </c>
      <c r="U6">
        <f t="shared" si="10"/>
        <v>14217.997085247276</v>
      </c>
      <c r="V6">
        <f t="shared" si="10"/>
        <v>15712.078037190333</v>
      </c>
      <c r="W6">
        <f t="shared" si="10"/>
        <v>15887.31232633063</v>
      </c>
      <c r="X6">
        <f t="shared" si="10"/>
        <v>16091.840878523422</v>
      </c>
      <c r="Y6">
        <f t="shared" si="10"/>
        <v>17852.225193019964</v>
      </c>
      <c r="Z6">
        <f>Z4*100/Z5</f>
        <v>19860.634705627152</v>
      </c>
      <c r="AA6">
        <f t="shared" ref="AA6:AS6" si="11">AA4*100/AA5</f>
        <v>24801.919802657158</v>
      </c>
      <c r="AB6">
        <f t="shared" si="11"/>
        <v>29526.675275425936</v>
      </c>
      <c r="AC6">
        <f t="shared" si="11"/>
        <v>34512.593525674849</v>
      </c>
      <c r="AD6">
        <f t="shared" si="11"/>
        <v>28203.454328896514</v>
      </c>
      <c r="AE6">
        <f t="shared" si="11"/>
        <v>23041.163407147786</v>
      </c>
      <c r="AF6">
        <f t="shared" si="11"/>
        <v>17476.477173634248</v>
      </c>
      <c r="AG6">
        <f t="shared" si="11"/>
        <v>17562.247850579635</v>
      </c>
      <c r="AH6">
        <f t="shared" si="11"/>
        <v>15708.270682337396</v>
      </c>
      <c r="AI6">
        <f t="shared" si="11"/>
        <v>17208.78029162918</v>
      </c>
      <c r="AJ6">
        <f t="shared" si="11"/>
        <v>18752.383163962215</v>
      </c>
      <c r="AK6">
        <f t="shared" si="11"/>
        <v>17583.85695662113</v>
      </c>
      <c r="AL6">
        <f t="shared" si="11"/>
        <v>17328.121601343908</v>
      </c>
      <c r="AM6">
        <f t="shared" si="11"/>
        <v>17723.877342863423</v>
      </c>
      <c r="AN6">
        <f t="shared" si="11"/>
        <v>17579.880358608076</v>
      </c>
      <c r="AO6">
        <f t="shared" si="11"/>
        <v>17491.151998879563</v>
      </c>
      <c r="AP6">
        <f t="shared" si="11"/>
        <v>18213.018265458464</v>
      </c>
      <c r="AQ6">
        <f t="shared" si="11"/>
        <v>19841.229836338418</v>
      </c>
      <c r="AR6">
        <f t="shared" si="11"/>
        <v>21420.400884125189</v>
      </c>
      <c r="AS6">
        <f t="shared" si="11"/>
        <v>22467.537081565031</v>
      </c>
    </row>
    <row r="7" spans="1:46" x14ac:dyDescent="0.25">
      <c r="B7" s="11" t="s">
        <v>17</v>
      </c>
      <c r="C7">
        <v>36838.487972508592</v>
      </c>
      <c r="D7">
        <v>41649.831649831649</v>
      </c>
      <c r="E7">
        <v>45947.712418300653</v>
      </c>
      <c r="F7">
        <v>54519.230769230773</v>
      </c>
      <c r="G7">
        <v>53062.5</v>
      </c>
      <c r="H7">
        <v>52492.307692307695</v>
      </c>
      <c r="I7">
        <v>52499.999999999993</v>
      </c>
      <c r="J7">
        <v>53460.410557184747</v>
      </c>
      <c r="K7">
        <v>49489.949748743726</v>
      </c>
      <c r="L7">
        <v>51620.68965517242</v>
      </c>
      <c r="M7">
        <v>50403.301886792455</v>
      </c>
      <c r="N7">
        <v>49727.272727272728</v>
      </c>
      <c r="O7">
        <v>50890.410958904111</v>
      </c>
      <c r="P7">
        <v>57741.865509761388</v>
      </c>
      <c r="Q7">
        <v>59120.162932790219</v>
      </c>
      <c r="R7">
        <v>67505.154639175264</v>
      </c>
      <c r="S7">
        <v>73630.136986301368</v>
      </c>
      <c r="T7">
        <v>79969.639468690701</v>
      </c>
      <c r="U7">
        <v>85192.792792792796</v>
      </c>
      <c r="V7">
        <v>94125.217391304352</v>
      </c>
      <c r="W7">
        <v>94898.527004909978</v>
      </c>
      <c r="X7">
        <v>96123.417721518985</v>
      </c>
      <c r="Y7">
        <v>106770.27027027028</v>
      </c>
      <c r="Z7" s="8">
        <v>118975.1552795031</v>
      </c>
    </row>
    <row r="8" spans="1:46" x14ac:dyDescent="0.25">
      <c r="B8" s="3" t="s">
        <v>16</v>
      </c>
      <c r="C8" s="4"/>
      <c r="D8" s="4"/>
      <c r="E8" s="4"/>
      <c r="F8" s="4"/>
      <c r="G8" s="4"/>
      <c r="H8" s="4"/>
      <c r="I8" s="4"/>
      <c r="J8" s="4"/>
      <c r="K8" s="4">
        <v>61.2</v>
      </c>
      <c r="L8" s="4">
        <v>62.8</v>
      </c>
      <c r="M8" s="4">
        <v>64.2</v>
      </c>
      <c r="N8" s="4">
        <v>65.099999999999994</v>
      </c>
      <c r="O8" s="4">
        <v>66.2</v>
      </c>
      <c r="P8" s="4">
        <v>67.400000000000006</v>
      </c>
      <c r="Q8" s="4">
        <v>68.8</v>
      </c>
      <c r="R8" s="4">
        <v>70.3</v>
      </c>
      <c r="S8" s="4">
        <v>71.3</v>
      </c>
      <c r="T8" s="4">
        <v>72.8</v>
      </c>
      <c r="U8" s="4">
        <v>75.099999999999994</v>
      </c>
      <c r="V8" s="4">
        <v>76.900000000000006</v>
      </c>
      <c r="W8" s="4">
        <v>78.8</v>
      </c>
      <c r="X8" s="4">
        <v>80.599999999999994</v>
      </c>
      <c r="Y8" s="4">
        <v>81.7</v>
      </c>
      <c r="Z8" s="4">
        <v>83.3</v>
      </c>
      <c r="AA8" s="4">
        <v>85</v>
      </c>
      <c r="AB8" s="4">
        <v>86.7</v>
      </c>
      <c r="AC8" s="4">
        <v>89.9</v>
      </c>
      <c r="AD8" s="4">
        <v>91.7</v>
      </c>
      <c r="AE8" s="4">
        <v>93.6</v>
      </c>
      <c r="AF8" s="4">
        <v>96</v>
      </c>
      <c r="AG8" s="4">
        <v>97.8</v>
      </c>
      <c r="AH8" s="4">
        <v>98.6</v>
      </c>
      <c r="AI8" s="4">
        <v>99.4</v>
      </c>
      <c r="AJ8" s="4">
        <v>100</v>
      </c>
      <c r="AK8" s="4">
        <v>100.5</v>
      </c>
      <c r="AL8" s="4">
        <v>101.7</v>
      </c>
      <c r="AM8" s="4">
        <v>102.6</v>
      </c>
      <c r="AN8" s="4">
        <v>103.5</v>
      </c>
      <c r="AO8" s="4">
        <v>103.9</v>
      </c>
      <c r="AP8" s="4">
        <v>105.4</v>
      </c>
      <c r="AQ8" s="4">
        <v>113.5</v>
      </c>
      <c r="AR8" s="4">
        <v>118</v>
      </c>
      <c r="AS8" s="4">
        <v>119.2</v>
      </c>
    </row>
    <row r="10" spans="1:46" x14ac:dyDescent="0.25">
      <c r="B10" t="s">
        <v>20</v>
      </c>
    </row>
    <row r="11" spans="1:46" x14ac:dyDescent="0.25">
      <c r="B11" t="s">
        <v>25</v>
      </c>
      <c r="J11" s="12" t="s">
        <v>26</v>
      </c>
    </row>
    <row r="12" spans="1:46" x14ac:dyDescent="0.25">
      <c r="B12" s="12" t="s">
        <v>21</v>
      </c>
      <c r="C12" t="s">
        <v>23</v>
      </c>
    </row>
    <row r="13" spans="1:46" x14ac:dyDescent="0.25">
      <c r="B13" s="12" t="s">
        <v>22</v>
      </c>
      <c r="C13" t="s">
        <v>24</v>
      </c>
    </row>
    <row r="16" spans="1:46" x14ac:dyDescent="0.25">
      <c r="D16">
        <f>D3</f>
        <v>1983</v>
      </c>
      <c r="E16">
        <f t="shared" ref="E16:AT16" si="12">E3</f>
        <v>1984</v>
      </c>
      <c r="F16">
        <f t="shared" si="12"/>
        <v>1985</v>
      </c>
      <c r="G16">
        <f t="shared" si="12"/>
        <v>1986</v>
      </c>
      <c r="H16">
        <f t="shared" si="12"/>
        <v>1987</v>
      </c>
      <c r="I16">
        <f t="shared" si="12"/>
        <v>1988</v>
      </c>
      <c r="J16">
        <f t="shared" si="12"/>
        <v>1989</v>
      </c>
      <c r="K16">
        <f t="shared" si="12"/>
        <v>1990</v>
      </c>
      <c r="L16">
        <f t="shared" si="12"/>
        <v>1991</v>
      </c>
      <c r="M16">
        <f t="shared" si="12"/>
        <v>1992</v>
      </c>
      <c r="N16">
        <f t="shared" si="12"/>
        <v>1993</v>
      </c>
      <c r="O16">
        <f t="shared" si="12"/>
        <v>1994</v>
      </c>
      <c r="P16">
        <f t="shared" si="12"/>
        <v>1995</v>
      </c>
      <c r="Q16">
        <f t="shared" si="12"/>
        <v>1996</v>
      </c>
      <c r="R16">
        <f t="shared" si="12"/>
        <v>1997</v>
      </c>
      <c r="S16">
        <f t="shared" si="12"/>
        <v>1998</v>
      </c>
      <c r="T16">
        <f t="shared" si="12"/>
        <v>1999</v>
      </c>
      <c r="U16">
        <f t="shared" si="12"/>
        <v>2000</v>
      </c>
      <c r="V16">
        <f t="shared" si="12"/>
        <v>2001</v>
      </c>
      <c r="W16">
        <f t="shared" si="12"/>
        <v>2002</v>
      </c>
      <c r="X16">
        <f t="shared" si="12"/>
        <v>2003</v>
      </c>
      <c r="Y16">
        <f t="shared" si="12"/>
        <v>2004</v>
      </c>
      <c r="Z16">
        <f t="shared" si="12"/>
        <v>2005</v>
      </c>
      <c r="AA16">
        <f t="shared" si="12"/>
        <v>2006</v>
      </c>
      <c r="AB16">
        <f t="shared" si="12"/>
        <v>2007</v>
      </c>
      <c r="AC16">
        <f t="shared" si="12"/>
        <v>2008</v>
      </c>
      <c r="AD16">
        <f t="shared" si="12"/>
        <v>2009</v>
      </c>
      <c r="AE16">
        <f t="shared" si="12"/>
        <v>2010</v>
      </c>
      <c r="AF16">
        <f t="shared" si="12"/>
        <v>2011</v>
      </c>
      <c r="AG16">
        <f t="shared" si="12"/>
        <v>2012</v>
      </c>
      <c r="AH16">
        <f t="shared" si="12"/>
        <v>2013</v>
      </c>
      <c r="AI16">
        <f t="shared" si="12"/>
        <v>2014</v>
      </c>
      <c r="AJ16">
        <f t="shared" si="12"/>
        <v>2015</v>
      </c>
      <c r="AK16">
        <f t="shared" si="12"/>
        <v>2016</v>
      </c>
      <c r="AL16">
        <f t="shared" si="12"/>
        <v>2017</v>
      </c>
      <c r="AM16">
        <f t="shared" si="12"/>
        <v>2018</v>
      </c>
      <c r="AN16">
        <f t="shared" si="12"/>
        <v>2019</v>
      </c>
      <c r="AO16">
        <f t="shared" si="12"/>
        <v>2020</v>
      </c>
      <c r="AP16">
        <f t="shared" si="12"/>
        <v>2021</v>
      </c>
      <c r="AQ16">
        <f t="shared" si="12"/>
        <v>2022</v>
      </c>
      <c r="AR16">
        <f t="shared" si="12"/>
        <v>2023</v>
      </c>
      <c r="AS16">
        <f t="shared" si="12"/>
        <v>2024</v>
      </c>
      <c r="AT16">
        <f t="shared" si="12"/>
        <v>2025</v>
      </c>
    </row>
    <row r="17" spans="3:46" x14ac:dyDescent="0.25">
      <c r="C17" t="s">
        <v>27</v>
      </c>
      <c r="D17">
        <f>D4/C4-1</f>
        <v>0.13060643750942247</v>
      </c>
      <c r="E17">
        <f t="shared" ref="E17:AT17" si="13">E4/D4-1</f>
        <v>0.10319083170859278</v>
      </c>
      <c r="F17">
        <f t="shared" si="13"/>
        <v>0.1865494036546671</v>
      </c>
      <c r="G17">
        <f t="shared" si="13"/>
        <v>-2.6719576719576921E-2</v>
      </c>
      <c r="H17">
        <f t="shared" si="13"/>
        <v>-1.0745673643200115E-2</v>
      </c>
      <c r="I17">
        <f t="shared" si="13"/>
        <v>1.4654161781924024E-4</v>
      </c>
      <c r="J17">
        <f t="shared" si="13"/>
        <v>1.829353442256676E-2</v>
      </c>
      <c r="K17">
        <f t="shared" si="13"/>
        <v>-7.4269179137596786E-2</v>
      </c>
      <c r="L17">
        <f t="shared" si="13"/>
        <v>4.3053992118526674E-2</v>
      </c>
      <c r="M17">
        <f t="shared" si="13"/>
        <v>-2.358333018237746E-2</v>
      </c>
      <c r="N17">
        <f t="shared" si="13"/>
        <v>-1.3412398279741833E-2</v>
      </c>
      <c r="O17">
        <f t="shared" si="13"/>
        <v>2.3390348350905255E-2</v>
      </c>
      <c r="P17">
        <f t="shared" si="13"/>
        <v>0.13463154299127367</v>
      </c>
      <c r="Q17">
        <f t="shared" si="13"/>
        <v>2.3869984297542945E-2</v>
      </c>
      <c r="R17">
        <f t="shared" si="13"/>
        <v>0.14182964475110449</v>
      </c>
      <c r="S17">
        <f t="shared" si="13"/>
        <v>9.0733550346858705E-2</v>
      </c>
      <c r="T17">
        <f t="shared" si="13"/>
        <v>8.60992895282644E-2</v>
      </c>
      <c r="U17">
        <f t="shared" si="13"/>
        <v>6.5314203725365561E-2</v>
      </c>
      <c r="V17">
        <f t="shared" si="13"/>
        <v>0.10484953369514649</v>
      </c>
      <c r="W17">
        <f t="shared" si="13"/>
        <v>8.2157538121878648E-3</v>
      </c>
      <c r="X17">
        <f t="shared" si="13"/>
        <v>1.2907373330943495E-2</v>
      </c>
      <c r="Y17">
        <f t="shared" si="13"/>
        <v>0.11076231787342916</v>
      </c>
      <c r="Z17">
        <f t="shared" si="13"/>
        <v>0.11430976973588525</v>
      </c>
      <c r="AA17">
        <f t="shared" si="13"/>
        <v>0.25</v>
      </c>
      <c r="AB17">
        <f t="shared" si="13"/>
        <v>0.18913513513513514</v>
      </c>
      <c r="AC17">
        <f t="shared" si="13"/>
        <v>0.16971225964816572</v>
      </c>
      <c r="AD17">
        <f t="shared" si="13"/>
        <v>-0.18387253473234233</v>
      </c>
      <c r="AE17">
        <f t="shared" si="13"/>
        <v>-0.18291509928098659</v>
      </c>
      <c r="AF17">
        <f t="shared" si="13"/>
        <v>-0.24118860579500689</v>
      </c>
      <c r="AG17">
        <f t="shared" si="13"/>
        <v>3.9935795528727169E-3</v>
      </c>
      <c r="AH17">
        <f t="shared" si="13"/>
        <v>-0.1038560686611234</v>
      </c>
      <c r="AI17">
        <f t="shared" si="13"/>
        <v>9.5047459710461579E-2</v>
      </c>
      <c r="AJ17">
        <f t="shared" si="13"/>
        <v>9.02585608830202E-2</v>
      </c>
      <c r="AK17">
        <f t="shared" si="13"/>
        <v>-6.398981882659116E-2</v>
      </c>
      <c r="AL17">
        <f t="shared" si="13"/>
        <v>-1.5422102722356335E-2</v>
      </c>
      <c r="AM17">
        <f t="shared" si="13"/>
        <v>2.4841540144456387E-2</v>
      </c>
      <c r="AN17">
        <f t="shared" si="13"/>
        <v>-6.4194278533523663E-3</v>
      </c>
      <c r="AO17">
        <f t="shared" si="13"/>
        <v>-6.6132829464156107E-3</v>
      </c>
      <c r="AP17">
        <f t="shared" si="13"/>
        <v>3.8870098095610706E-2</v>
      </c>
      <c r="AQ17">
        <f t="shared" si="13"/>
        <v>8.9766779130460383E-2</v>
      </c>
      <c r="AR17">
        <f t="shared" si="13"/>
        <v>8.1247882934760485E-2</v>
      </c>
      <c r="AS17">
        <f t="shared" si="13"/>
        <v>4.9999060168042009E-2</v>
      </c>
      <c r="AT17">
        <f t="shared" si="13"/>
        <v>4.1275069666971032E-2</v>
      </c>
    </row>
    <row r="18" spans="3:46" x14ac:dyDescent="0.25">
      <c r="C18" t="s">
        <v>28</v>
      </c>
      <c r="F18" s="13">
        <v>0.1157</v>
      </c>
      <c r="G18" s="13">
        <v>0.1007</v>
      </c>
      <c r="H18" s="13">
        <v>0.1129</v>
      </c>
      <c r="I18" s="13">
        <v>9.8699999999999996E-2</v>
      </c>
      <c r="J18" s="13">
        <v>9.7000000000000003E-2</v>
      </c>
      <c r="K18" s="13">
        <v>0.10630000000000001</v>
      </c>
      <c r="L18" s="13">
        <v>9.2700000000000005E-2</v>
      </c>
      <c r="M18" s="13">
        <v>8.9899999999999994E-2</v>
      </c>
      <c r="N18" s="13">
        <v>7.2800000000000004E-2</v>
      </c>
      <c r="O18" s="13">
        <v>7.85E-2</v>
      </c>
      <c r="P18" s="13">
        <v>8.2699999999999996E-2</v>
      </c>
      <c r="Q18" s="13">
        <v>7.1900000000000006E-2</v>
      </c>
      <c r="R18" s="13">
        <v>6.2600000000000003E-2</v>
      </c>
      <c r="S18" s="13">
        <v>5.0299999999999997E-2</v>
      </c>
      <c r="T18" s="13">
        <v>4.9399999999999999E-2</v>
      </c>
      <c r="U18" s="13">
        <v>5.6599999999999998E-2</v>
      </c>
      <c r="V18" s="13">
        <v>5.0900000000000001E-2</v>
      </c>
      <c r="W18" s="13">
        <v>5.0500000000000003E-2</v>
      </c>
      <c r="X18" s="13">
        <v>4.3099999999999999E-2</v>
      </c>
      <c r="Y18" s="13">
        <v>4.3034000000000003E-2</v>
      </c>
      <c r="Z18" s="13">
        <v>3.397E-2</v>
      </c>
      <c r="AA18" s="13">
        <v>3.8094000000000003E-2</v>
      </c>
      <c r="AB18" s="13">
        <v>4.2861999999999997E-2</v>
      </c>
      <c r="AC18" s="13">
        <v>4.2935000000000001E-2</v>
      </c>
      <c r="AD18" s="13">
        <v>3.5872000000000001E-2</v>
      </c>
      <c r="AE18" s="13">
        <v>2.9131000000000001E-2</v>
      </c>
      <c r="AF18" s="13">
        <v>2.7144999999999999E-2</v>
      </c>
      <c r="AG18" s="13">
        <v>1.355E-2</v>
      </c>
      <c r="AH18" s="13">
        <v>1.7392000000000001E-2</v>
      </c>
      <c r="AI18" s="13">
        <v>1.1892E-2</v>
      </c>
      <c r="AJ18" s="13">
        <v>5.0920000000000002E-3</v>
      </c>
      <c r="AK18" s="13">
        <v>2.7330000000000002E-3</v>
      </c>
      <c r="AL18" s="13">
        <v>2.6419999999999998E-3</v>
      </c>
      <c r="AM18" s="13">
        <v>4.2249999999999996E-3</v>
      </c>
      <c r="AN18" s="13">
        <v>-2.0079999999999998E-3</v>
      </c>
      <c r="AO18" s="13">
        <v>-3.9750000000000002E-3</v>
      </c>
      <c r="AP18" s="13">
        <v>-1.75E-3</v>
      </c>
      <c r="AQ18" s="13">
        <v>1.4425E-2</v>
      </c>
      <c r="AR18" s="13">
        <v>2.6009999999999998E-2</v>
      </c>
      <c r="AS18" s="13">
        <v>2.6009999999999998E-2</v>
      </c>
      <c r="AT18" s="13">
        <v>2.6009999999999998E-2</v>
      </c>
    </row>
    <row r="20" spans="3:46" x14ac:dyDescent="0.25">
      <c r="E20">
        <f>E16</f>
        <v>1984</v>
      </c>
      <c r="F20">
        <f>F16</f>
        <v>1985</v>
      </c>
      <c r="G20">
        <f t="shared" ref="G20:AR20" si="14">G16</f>
        <v>1986</v>
      </c>
      <c r="H20">
        <f t="shared" si="14"/>
        <v>1987</v>
      </c>
      <c r="I20">
        <f t="shared" si="14"/>
        <v>1988</v>
      </c>
      <c r="J20">
        <f t="shared" si="14"/>
        <v>1989</v>
      </c>
      <c r="K20">
        <f t="shared" si="14"/>
        <v>1990</v>
      </c>
      <c r="L20">
        <f t="shared" si="14"/>
        <v>1991</v>
      </c>
      <c r="M20">
        <f t="shared" si="14"/>
        <v>1992</v>
      </c>
      <c r="N20">
        <f t="shared" si="14"/>
        <v>1993</v>
      </c>
      <c r="O20">
        <f t="shared" si="14"/>
        <v>1994</v>
      </c>
      <c r="P20">
        <f t="shared" si="14"/>
        <v>1995</v>
      </c>
      <c r="Q20">
        <f t="shared" si="14"/>
        <v>1996</v>
      </c>
      <c r="R20">
        <f t="shared" si="14"/>
        <v>1997</v>
      </c>
      <c r="S20">
        <f t="shared" si="14"/>
        <v>1998</v>
      </c>
      <c r="T20">
        <f t="shared" si="14"/>
        <v>1999</v>
      </c>
      <c r="U20">
        <f t="shared" si="14"/>
        <v>2000</v>
      </c>
      <c r="V20">
        <f t="shared" si="14"/>
        <v>2001</v>
      </c>
      <c r="W20">
        <f t="shared" si="14"/>
        <v>2002</v>
      </c>
      <c r="X20">
        <f t="shared" si="14"/>
        <v>2003</v>
      </c>
      <c r="Y20">
        <f t="shared" si="14"/>
        <v>2004</v>
      </c>
      <c r="Z20">
        <f t="shared" si="14"/>
        <v>2005</v>
      </c>
      <c r="AA20">
        <f t="shared" si="14"/>
        <v>2006</v>
      </c>
      <c r="AB20">
        <f t="shared" si="14"/>
        <v>2007</v>
      </c>
      <c r="AC20">
        <f t="shared" si="14"/>
        <v>2008</v>
      </c>
      <c r="AD20">
        <f t="shared" si="14"/>
        <v>2009</v>
      </c>
      <c r="AE20">
        <f t="shared" si="14"/>
        <v>2010</v>
      </c>
      <c r="AF20">
        <f t="shared" si="14"/>
        <v>2011</v>
      </c>
      <c r="AG20">
        <f t="shared" si="14"/>
        <v>2012</v>
      </c>
      <c r="AH20">
        <f t="shared" si="14"/>
        <v>2013</v>
      </c>
      <c r="AI20">
        <f t="shared" si="14"/>
        <v>2014</v>
      </c>
      <c r="AJ20">
        <f t="shared" si="14"/>
        <v>2015</v>
      </c>
      <c r="AK20">
        <f t="shared" si="14"/>
        <v>2016</v>
      </c>
      <c r="AL20">
        <f t="shared" si="14"/>
        <v>2017</v>
      </c>
      <c r="AM20">
        <f t="shared" si="14"/>
        <v>2018</v>
      </c>
      <c r="AN20">
        <f t="shared" si="14"/>
        <v>2019</v>
      </c>
      <c r="AO20">
        <f t="shared" si="14"/>
        <v>2020</v>
      </c>
      <c r="AP20">
        <f t="shared" si="14"/>
        <v>2021</v>
      </c>
      <c r="AQ20">
        <f t="shared" si="14"/>
        <v>2022</v>
      </c>
      <c r="AR20">
        <f t="shared" si="14"/>
        <v>2023</v>
      </c>
      <c r="AS20">
        <f t="shared" ref="AS20:AT20" si="15">AS16</f>
        <v>2024</v>
      </c>
      <c r="AT20">
        <f t="shared" si="15"/>
        <v>2025</v>
      </c>
    </row>
    <row r="21" spans="3:46" x14ac:dyDescent="0.25">
      <c r="D21" t="s">
        <v>27</v>
      </c>
      <c r="E21">
        <v>1</v>
      </c>
      <c r="F21">
        <f>(1+F17)*E21</f>
        <v>1.1865494036546671</v>
      </c>
      <c r="G21">
        <f t="shared" ref="G21:AR21" si="16">(1+G17)*F21</f>
        <v>1.154845305832148</v>
      </c>
      <c r="H21">
        <f t="shared" si="16"/>
        <v>1.1424357150672941</v>
      </c>
      <c r="I21">
        <f t="shared" si="16"/>
        <v>1.1426031294452346</v>
      </c>
      <c r="J21">
        <f t="shared" si="16"/>
        <v>1.1635053791250736</v>
      </c>
      <c r="K21">
        <f t="shared" si="16"/>
        <v>1.077092789695276</v>
      </c>
      <c r="L21">
        <f t="shared" si="16"/>
        <v>1.1234659341737383</v>
      </c>
      <c r="M21">
        <f t="shared" si="16"/>
        <v>1.0969708660994659</v>
      </c>
      <c r="N21">
        <v>1</v>
      </c>
      <c r="O21">
        <f t="shared" si="16"/>
        <v>1.0233903483509053</v>
      </c>
      <c r="P21">
        <f t="shared" si="16"/>
        <v>1.1611709700317647</v>
      </c>
      <c r="Q21">
        <f t="shared" si="16"/>
        <v>1.1888881028531857</v>
      </c>
      <c r="R21">
        <f t="shared" si="16"/>
        <v>1.3575076801296675</v>
      </c>
      <c r="S21">
        <f t="shared" si="16"/>
        <v>1.48067917157096</v>
      </c>
      <c r="T21">
        <f t="shared" si="16"/>
        <v>1.6081645962625186</v>
      </c>
      <c r="U21">
        <f t="shared" si="16"/>
        <v>1.713200586326729</v>
      </c>
      <c r="V21">
        <f t="shared" si="16"/>
        <v>1.892828868929338</v>
      </c>
      <c r="W21">
        <f t="shared" si="16"/>
        <v>1.9083798849250635</v>
      </c>
      <c r="X21">
        <f t="shared" si="16"/>
        <v>1.9330120565570543</v>
      </c>
      <c r="Y21">
        <f t="shared" si="16"/>
        <v>2.1471169524185978</v>
      </c>
      <c r="Z21">
        <f t="shared" si="16"/>
        <v>2.3925533968455834</v>
      </c>
      <c r="AA21">
        <f t="shared" si="16"/>
        <v>2.9906917460569793</v>
      </c>
      <c r="AB21">
        <f t="shared" si="16"/>
        <v>3.5563366335949995</v>
      </c>
      <c r="AC21">
        <f t="shared" si="16"/>
        <v>4.1598905597519575</v>
      </c>
      <c r="AD21">
        <f t="shared" si="16"/>
        <v>3.395000938321223</v>
      </c>
      <c r="AE21">
        <f t="shared" si="16"/>
        <v>2.7740040046291536</v>
      </c>
      <c r="AF21">
        <f t="shared" si="16"/>
        <v>2.1049458462828823</v>
      </c>
      <c r="AG21">
        <f t="shared" si="16"/>
        <v>2.1133521149745018</v>
      </c>
      <c r="AH21">
        <f t="shared" si="16"/>
        <v>1.8938676726165795</v>
      </c>
      <c r="AI21">
        <f t="shared" si="16"/>
        <v>2.0738749839265496</v>
      </c>
      <c r="AJ21">
        <f t="shared" si="16"/>
        <v>2.2610599554270565</v>
      </c>
      <c r="AK21">
        <f t="shared" si="16"/>
        <v>2.1163751385232188</v>
      </c>
      <c r="AL21">
        <f t="shared" si="16"/>
        <v>2.0837361837378725</v>
      </c>
      <c r="AM21">
        <f t="shared" si="16"/>
        <v>2.1354993997966534</v>
      </c>
      <c r="AN21">
        <f t="shared" si="16"/>
        <v>2.1217907154687814</v>
      </c>
      <c r="AO21">
        <f t="shared" si="16"/>
        <v>2.1077587131143085</v>
      </c>
      <c r="AP21">
        <f t="shared" si="16"/>
        <v>2.1896875010549399</v>
      </c>
      <c r="AQ21">
        <f t="shared" si="16"/>
        <v>2.3862486953268682</v>
      </c>
      <c r="AR21">
        <f t="shared" si="16"/>
        <v>2.5801263499780105</v>
      </c>
      <c r="AS21">
        <f t="shared" ref="AS21:AT21" si="17">(1+AS17)*AR21</f>
        <v>2.7091302425917116</v>
      </c>
      <c r="AT21">
        <f t="shared" si="17"/>
        <v>2.8209497820915828</v>
      </c>
    </row>
    <row r="22" spans="3:46" x14ac:dyDescent="0.25">
      <c r="D22" t="s">
        <v>28</v>
      </c>
      <c r="E22">
        <v>1</v>
      </c>
      <c r="F22">
        <f>(1+F18)*E22</f>
        <v>1.1156999999999999</v>
      </c>
      <c r="G22">
        <f t="shared" ref="G22:AR22" si="18">(1+G18)*F22</f>
        <v>1.2280509899999998</v>
      </c>
      <c r="H22">
        <f t="shared" si="18"/>
        <v>1.3666979467709999</v>
      </c>
      <c r="I22">
        <f t="shared" si="18"/>
        <v>1.5015910341172976</v>
      </c>
      <c r="J22">
        <f t="shared" si="18"/>
        <v>1.6472453644266754</v>
      </c>
      <c r="K22">
        <f t="shared" si="18"/>
        <v>1.822347546665231</v>
      </c>
      <c r="L22">
        <f t="shared" si="18"/>
        <v>1.9912791642410979</v>
      </c>
      <c r="M22">
        <f t="shared" si="18"/>
        <v>2.1702951611063726</v>
      </c>
      <c r="N22">
        <v>1</v>
      </c>
      <c r="O22">
        <f t="shared" si="18"/>
        <v>1.0785</v>
      </c>
      <c r="P22">
        <f t="shared" si="18"/>
        <v>1.16769195</v>
      </c>
      <c r="Q22">
        <f t="shared" si="18"/>
        <v>1.2516490012050001</v>
      </c>
      <c r="R22">
        <f t="shared" si="18"/>
        <v>1.3300022286804332</v>
      </c>
      <c r="S22">
        <f t="shared" si="18"/>
        <v>1.3969013407830591</v>
      </c>
      <c r="T22">
        <f t="shared" si="18"/>
        <v>1.4659082670177419</v>
      </c>
      <c r="U22">
        <f t="shared" si="18"/>
        <v>1.548878674930946</v>
      </c>
      <c r="V22">
        <f t="shared" si="18"/>
        <v>1.627716599484931</v>
      </c>
      <c r="W22">
        <f t="shared" si="18"/>
        <v>1.70991628775892</v>
      </c>
      <c r="X22">
        <f t="shared" si="18"/>
        <v>1.7836136797613293</v>
      </c>
      <c r="Y22">
        <f t="shared" si="18"/>
        <v>1.8603697108561785</v>
      </c>
      <c r="Z22">
        <f t="shared" si="18"/>
        <v>1.923566469933963</v>
      </c>
      <c r="AA22">
        <f t="shared" si="18"/>
        <v>1.9968428110396275</v>
      </c>
      <c r="AB22">
        <f t="shared" si="18"/>
        <v>2.0824314876064078</v>
      </c>
      <c r="AC22">
        <f t="shared" si="18"/>
        <v>2.1718406835267889</v>
      </c>
      <c r="AD22">
        <f t="shared" si="18"/>
        <v>2.2497489525262617</v>
      </c>
      <c r="AE22">
        <f t="shared" si="18"/>
        <v>2.3152863892623041</v>
      </c>
      <c r="AF22">
        <f t="shared" si="18"/>
        <v>2.3781348382988292</v>
      </c>
      <c r="AG22">
        <f t="shared" si="18"/>
        <v>2.4103585653577784</v>
      </c>
      <c r="AH22">
        <f t="shared" si="18"/>
        <v>2.452279521526481</v>
      </c>
      <c r="AI22">
        <f t="shared" si="18"/>
        <v>2.4814420295964741</v>
      </c>
      <c r="AJ22">
        <f t="shared" si="18"/>
        <v>2.4940775324111795</v>
      </c>
      <c r="AK22">
        <f t="shared" si="18"/>
        <v>2.5008938463072594</v>
      </c>
      <c r="AL22">
        <f t="shared" si="18"/>
        <v>2.5075012078492032</v>
      </c>
      <c r="AM22">
        <f t="shared" si="18"/>
        <v>2.5180954004523657</v>
      </c>
      <c r="AN22">
        <f t="shared" si="18"/>
        <v>2.5130390648882575</v>
      </c>
      <c r="AO22">
        <f t="shared" si="18"/>
        <v>2.5030497346053266</v>
      </c>
      <c r="AP22">
        <f t="shared" si="18"/>
        <v>2.4986693975697674</v>
      </c>
      <c r="AQ22">
        <f t="shared" si="18"/>
        <v>2.5347127036297112</v>
      </c>
      <c r="AR22">
        <f t="shared" si="18"/>
        <v>2.6006405810511204</v>
      </c>
      <c r="AS22">
        <f t="shared" ref="AS22:AT22" si="19">(1+AS18)*AR22</f>
        <v>2.6682832425642604</v>
      </c>
      <c r="AT22">
        <f t="shared" si="19"/>
        <v>2.7376852897033572</v>
      </c>
    </row>
  </sheetData>
  <hyperlinks>
    <hyperlink ref="B12" r:id="rId1" xr:uid="{00000000-0004-0000-0000-000000000000}"/>
    <hyperlink ref="B13" r:id="rId2" xr:uid="{00000000-0004-0000-0000-000001000000}"/>
    <hyperlink ref="J11" r:id="rId3" xr:uid="{00000000-0004-0000-0000-000002000000}"/>
  </hyperlinks>
  <pageMargins left="0.75" right="0.75" top="0.75" bottom="0.5" header="0.5" footer="0.75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7FB7-582E-429E-9D18-6DB1AD9E632F}">
  <dimension ref="A2:BB37"/>
  <sheetViews>
    <sheetView tabSelected="1" workbookViewId="0">
      <selection activeCell="C7" sqref="C7"/>
    </sheetView>
  </sheetViews>
  <sheetFormatPr defaultRowHeight="15" x14ac:dyDescent="0.25"/>
  <cols>
    <col min="2" max="2" width="15.42578125" customWidth="1"/>
    <col min="4" max="4" width="12.7109375" bestFit="1" customWidth="1"/>
  </cols>
  <sheetData>
    <row r="2" spans="1:54" x14ac:dyDescent="0.25">
      <c r="C2">
        <v>1973</v>
      </c>
      <c r="D2">
        <f>C2+1</f>
        <v>1974</v>
      </c>
      <c r="E2">
        <f t="shared" ref="E2:BB2" si="0">D2+1</f>
        <v>1975</v>
      </c>
      <c r="F2">
        <f t="shared" si="0"/>
        <v>1976</v>
      </c>
      <c r="G2">
        <f t="shared" si="0"/>
        <v>1977</v>
      </c>
      <c r="H2">
        <f t="shared" si="0"/>
        <v>1978</v>
      </c>
      <c r="I2">
        <f t="shared" si="0"/>
        <v>1979</v>
      </c>
      <c r="J2">
        <f t="shared" si="0"/>
        <v>1980</v>
      </c>
      <c r="K2">
        <f t="shared" si="0"/>
        <v>1981</v>
      </c>
      <c r="L2">
        <f t="shared" si="0"/>
        <v>1982</v>
      </c>
      <c r="M2">
        <f t="shared" si="0"/>
        <v>1983</v>
      </c>
      <c r="N2">
        <f t="shared" si="0"/>
        <v>1984</v>
      </c>
      <c r="O2">
        <f t="shared" si="0"/>
        <v>1985</v>
      </c>
      <c r="P2">
        <f t="shared" si="0"/>
        <v>1986</v>
      </c>
      <c r="Q2">
        <f t="shared" si="0"/>
        <v>1987</v>
      </c>
      <c r="R2">
        <f t="shared" si="0"/>
        <v>1988</v>
      </c>
      <c r="S2">
        <f t="shared" si="0"/>
        <v>1989</v>
      </c>
      <c r="T2">
        <f t="shared" si="0"/>
        <v>1990</v>
      </c>
      <c r="U2">
        <f t="shared" si="0"/>
        <v>1991</v>
      </c>
      <c r="V2">
        <f t="shared" si="0"/>
        <v>1992</v>
      </c>
      <c r="W2">
        <f t="shared" si="0"/>
        <v>1993</v>
      </c>
      <c r="X2">
        <f t="shared" si="0"/>
        <v>1994</v>
      </c>
      <c r="Y2">
        <f t="shared" si="0"/>
        <v>1995</v>
      </c>
      <c r="Z2">
        <f t="shared" si="0"/>
        <v>1996</v>
      </c>
      <c r="AA2">
        <f t="shared" si="0"/>
        <v>1997</v>
      </c>
      <c r="AB2">
        <f t="shared" si="0"/>
        <v>1998</v>
      </c>
      <c r="AC2">
        <f t="shared" si="0"/>
        <v>1999</v>
      </c>
      <c r="AD2">
        <f t="shared" si="0"/>
        <v>2000</v>
      </c>
      <c r="AE2">
        <f t="shared" si="0"/>
        <v>2001</v>
      </c>
      <c r="AF2">
        <f t="shared" si="0"/>
        <v>2002</v>
      </c>
      <c r="AG2">
        <f t="shared" si="0"/>
        <v>2003</v>
      </c>
      <c r="AH2">
        <f t="shared" si="0"/>
        <v>2004</v>
      </c>
      <c r="AI2">
        <f t="shared" si="0"/>
        <v>2005</v>
      </c>
      <c r="AJ2">
        <f t="shared" si="0"/>
        <v>2006</v>
      </c>
      <c r="AK2">
        <f t="shared" si="0"/>
        <v>2007</v>
      </c>
      <c r="AL2">
        <f t="shared" si="0"/>
        <v>2008</v>
      </c>
      <c r="AM2">
        <f t="shared" si="0"/>
        <v>2009</v>
      </c>
      <c r="AN2">
        <f t="shared" si="0"/>
        <v>2010</v>
      </c>
      <c r="AO2">
        <f t="shared" si="0"/>
        <v>2011</v>
      </c>
      <c r="AP2">
        <f t="shared" si="0"/>
        <v>2012</v>
      </c>
      <c r="AQ2">
        <f t="shared" si="0"/>
        <v>2013</v>
      </c>
      <c r="AR2">
        <f t="shared" si="0"/>
        <v>2014</v>
      </c>
      <c r="AS2">
        <f t="shared" si="0"/>
        <v>2015</v>
      </c>
      <c r="AT2">
        <f t="shared" si="0"/>
        <v>2016</v>
      </c>
      <c r="AU2">
        <f t="shared" si="0"/>
        <v>2017</v>
      </c>
      <c r="AV2">
        <f t="shared" si="0"/>
        <v>2018</v>
      </c>
      <c r="AW2">
        <f t="shared" si="0"/>
        <v>2019</v>
      </c>
      <c r="AX2">
        <f t="shared" si="0"/>
        <v>2020</v>
      </c>
      <c r="AY2">
        <f t="shared" si="0"/>
        <v>2021</v>
      </c>
      <c r="AZ2">
        <f t="shared" si="0"/>
        <v>2022</v>
      </c>
      <c r="BA2">
        <f t="shared" si="0"/>
        <v>2023</v>
      </c>
      <c r="BB2">
        <f t="shared" si="0"/>
        <v>2024</v>
      </c>
    </row>
    <row r="3" spans="1:54" x14ac:dyDescent="0.25">
      <c r="B3" t="s">
        <v>29</v>
      </c>
      <c r="C3" s="14">
        <v>911.6</v>
      </c>
      <c r="D3" s="14">
        <v>354.1</v>
      </c>
      <c r="E3" s="14">
        <v>436.1</v>
      </c>
      <c r="F3" s="14">
        <v>-44.5</v>
      </c>
      <c r="G3" s="14">
        <v>664.7</v>
      </c>
      <c r="H3" s="14">
        <v>139.69999999999999</v>
      </c>
      <c r="I3" s="14">
        <v>18.8</v>
      </c>
      <c r="J3" s="14">
        <v>-129.30000000000001</v>
      </c>
      <c r="K3" s="14">
        <v>1053.5999999999999</v>
      </c>
      <c r="L3" s="14">
        <v>2043.3</v>
      </c>
      <c r="M3" s="14">
        <v>670.5</v>
      </c>
      <c r="N3" s="14">
        <v>3171.8</v>
      </c>
      <c r="O3" s="14">
        <v>2290.9</v>
      </c>
      <c r="P3" s="14">
        <v>1628.3</v>
      </c>
      <c r="Q3" s="14">
        <v>435.7</v>
      </c>
      <c r="R3" s="14">
        <v>1177.3</v>
      </c>
      <c r="S3" s="14">
        <v>3149.3</v>
      </c>
      <c r="T3" s="14">
        <v>1755.3</v>
      </c>
      <c r="U3" s="14">
        <v>2065.6999999999998</v>
      </c>
      <c r="V3" s="14">
        <v>1109.0999999999999</v>
      </c>
      <c r="W3" s="14">
        <v>1398.1</v>
      </c>
      <c r="X3" s="14">
        <v>1230.4000000000001</v>
      </c>
      <c r="Y3" s="14">
        <v>1424.8</v>
      </c>
      <c r="Z3" s="14">
        <v>1963.1</v>
      </c>
      <c r="AA3" s="14">
        <v>2009.4</v>
      </c>
      <c r="AB3" s="14">
        <v>830.8</v>
      </c>
      <c r="AC3" s="14">
        <v>863.7</v>
      </c>
      <c r="AD3" s="14">
        <v>3011.4</v>
      </c>
      <c r="AE3" s="14">
        <v>3741.2</v>
      </c>
      <c r="AF3" s="14">
        <v>1475.1</v>
      </c>
      <c r="AG3" s="14">
        <v>1100.2</v>
      </c>
      <c r="AH3" s="14">
        <v>1697.7</v>
      </c>
      <c r="AI3" s="14">
        <v>2396.6999999999998</v>
      </c>
      <c r="AJ3" s="14">
        <v>4054.7</v>
      </c>
      <c r="AK3" s="14">
        <v>2518.1999999999998</v>
      </c>
      <c r="AL3" s="14">
        <v>2185</v>
      </c>
      <c r="AM3" s="14">
        <v>-327.10000000000002</v>
      </c>
      <c r="AN3" s="14">
        <v>4644.8999999999996</v>
      </c>
      <c r="AO3" s="14">
        <v>5456.5</v>
      </c>
      <c r="AP3" s="14">
        <v>8237.7000000000007</v>
      </c>
      <c r="AQ3" s="14">
        <v>7082</v>
      </c>
      <c r="AR3" s="14">
        <v>4867.8</v>
      </c>
      <c r="AS3" s="14">
        <v>3621.7</v>
      </c>
      <c r="AT3" s="14">
        <v>3671.5</v>
      </c>
      <c r="AU3" s="14">
        <v>7361.8</v>
      </c>
      <c r="AV3" s="14">
        <v>2979.3</v>
      </c>
      <c r="AW3" s="14">
        <v>8763.1</v>
      </c>
      <c r="AX3" s="14">
        <v>8538.7999999999993</v>
      </c>
      <c r="AY3" s="14">
        <v>7276.8</v>
      </c>
      <c r="AZ3" s="14">
        <v>13083.1</v>
      </c>
      <c r="BA3" s="14">
        <v>9943</v>
      </c>
      <c r="BB3" s="14">
        <v>10669.1</v>
      </c>
    </row>
    <row r="6" spans="1:54" x14ac:dyDescent="0.25">
      <c r="A6" t="s">
        <v>30</v>
      </c>
      <c r="C6">
        <v>1982</v>
      </c>
      <c r="D6">
        <f>C6+1</f>
        <v>1983</v>
      </c>
      <c r="E6">
        <f t="shared" ref="E6:AS6" si="1">D6+1</f>
        <v>1984</v>
      </c>
      <c r="F6">
        <f t="shared" si="1"/>
        <v>1985</v>
      </c>
      <c r="G6">
        <f t="shared" si="1"/>
        <v>1986</v>
      </c>
      <c r="H6">
        <f t="shared" si="1"/>
        <v>1987</v>
      </c>
      <c r="I6">
        <f t="shared" si="1"/>
        <v>1988</v>
      </c>
      <c r="J6">
        <f t="shared" si="1"/>
        <v>1989</v>
      </c>
      <c r="K6">
        <f t="shared" si="1"/>
        <v>1990</v>
      </c>
      <c r="L6">
        <f t="shared" si="1"/>
        <v>1991</v>
      </c>
      <c r="M6">
        <f t="shared" si="1"/>
        <v>1992</v>
      </c>
      <c r="N6">
        <f t="shared" si="1"/>
        <v>1993</v>
      </c>
      <c r="O6">
        <f t="shared" si="1"/>
        <v>1994</v>
      </c>
      <c r="P6">
        <f t="shared" si="1"/>
        <v>1995</v>
      </c>
      <c r="Q6">
        <f t="shared" si="1"/>
        <v>1996</v>
      </c>
      <c r="R6">
        <f t="shared" si="1"/>
        <v>1997</v>
      </c>
      <c r="S6">
        <f t="shared" si="1"/>
        <v>1998</v>
      </c>
      <c r="T6">
        <f t="shared" si="1"/>
        <v>1999</v>
      </c>
      <c r="U6">
        <f t="shared" si="1"/>
        <v>2000</v>
      </c>
      <c r="V6">
        <f t="shared" si="1"/>
        <v>2001</v>
      </c>
      <c r="W6">
        <f t="shared" si="1"/>
        <v>2002</v>
      </c>
      <c r="X6">
        <f t="shared" si="1"/>
        <v>2003</v>
      </c>
      <c r="Y6">
        <f t="shared" si="1"/>
        <v>2004</v>
      </c>
      <c r="Z6">
        <f t="shared" si="1"/>
        <v>2005</v>
      </c>
      <c r="AA6">
        <f t="shared" si="1"/>
        <v>2006</v>
      </c>
      <c r="AB6">
        <f t="shared" si="1"/>
        <v>2007</v>
      </c>
      <c r="AC6">
        <f t="shared" si="1"/>
        <v>2008</v>
      </c>
      <c r="AD6">
        <f t="shared" si="1"/>
        <v>2009</v>
      </c>
      <c r="AE6">
        <f t="shared" si="1"/>
        <v>2010</v>
      </c>
      <c r="AF6">
        <f t="shared" si="1"/>
        <v>2011</v>
      </c>
      <c r="AG6">
        <f t="shared" si="1"/>
        <v>2012</v>
      </c>
      <c r="AH6">
        <f t="shared" si="1"/>
        <v>2013</v>
      </c>
      <c r="AI6">
        <f t="shared" si="1"/>
        <v>2014</v>
      </c>
      <c r="AJ6">
        <f t="shared" si="1"/>
        <v>2015</v>
      </c>
      <c r="AK6">
        <f t="shared" si="1"/>
        <v>2016</v>
      </c>
      <c r="AL6">
        <f t="shared" si="1"/>
        <v>2017</v>
      </c>
      <c r="AM6">
        <f t="shared" si="1"/>
        <v>2018</v>
      </c>
      <c r="AN6">
        <f t="shared" si="1"/>
        <v>2019</v>
      </c>
      <c r="AO6">
        <f t="shared" si="1"/>
        <v>2020</v>
      </c>
      <c r="AP6">
        <f t="shared" si="1"/>
        <v>2021</v>
      </c>
      <c r="AQ6">
        <f t="shared" si="1"/>
        <v>2022</v>
      </c>
      <c r="AR6">
        <f t="shared" si="1"/>
        <v>2023</v>
      </c>
      <c r="AS6">
        <f t="shared" si="1"/>
        <v>2024</v>
      </c>
      <c r="AT6">
        <f>AS6-N6</f>
        <v>31</v>
      </c>
    </row>
    <row r="7" spans="1:54" x14ac:dyDescent="0.25">
      <c r="B7" t="s">
        <v>29</v>
      </c>
      <c r="C7">
        <f>L3</f>
        <v>2043.3</v>
      </c>
      <c r="D7">
        <f t="shared" ref="D7:AV7" si="2">M3</f>
        <v>670.5</v>
      </c>
      <c r="E7">
        <f t="shared" si="2"/>
        <v>3171.8</v>
      </c>
      <c r="F7">
        <f t="shared" si="2"/>
        <v>2290.9</v>
      </c>
      <c r="G7">
        <f t="shared" si="2"/>
        <v>1628.3</v>
      </c>
      <c r="H7">
        <f t="shared" si="2"/>
        <v>435.7</v>
      </c>
      <c r="I7">
        <f t="shared" si="2"/>
        <v>1177.3</v>
      </c>
      <c r="J7">
        <f t="shared" si="2"/>
        <v>3149.3</v>
      </c>
      <c r="K7">
        <f t="shared" si="2"/>
        <v>1755.3</v>
      </c>
      <c r="L7">
        <f t="shared" si="2"/>
        <v>2065.6999999999998</v>
      </c>
      <c r="M7">
        <f t="shared" si="2"/>
        <v>1109.0999999999999</v>
      </c>
      <c r="N7">
        <f t="shared" si="2"/>
        <v>1398.1</v>
      </c>
      <c r="O7">
        <f t="shared" si="2"/>
        <v>1230.4000000000001</v>
      </c>
      <c r="P7">
        <f t="shared" si="2"/>
        <v>1424.8</v>
      </c>
      <c r="Q7">
        <f t="shared" si="2"/>
        <v>1963.1</v>
      </c>
      <c r="R7">
        <f t="shared" si="2"/>
        <v>2009.4</v>
      </c>
      <c r="S7">
        <f t="shared" si="2"/>
        <v>830.8</v>
      </c>
      <c r="T7">
        <f t="shared" si="2"/>
        <v>863.7</v>
      </c>
      <c r="U7">
        <f t="shared" si="2"/>
        <v>3011.4</v>
      </c>
      <c r="V7">
        <f t="shared" si="2"/>
        <v>3741.2</v>
      </c>
      <c r="W7">
        <f t="shared" si="2"/>
        <v>1475.1</v>
      </c>
      <c r="X7">
        <f t="shared" si="2"/>
        <v>1100.2</v>
      </c>
      <c r="Y7">
        <f t="shared" si="2"/>
        <v>1697.7</v>
      </c>
      <c r="Z7">
        <f t="shared" si="2"/>
        <v>2396.6999999999998</v>
      </c>
      <c r="AA7">
        <f t="shared" si="2"/>
        <v>4054.7</v>
      </c>
      <c r="AB7">
        <f t="shared" si="2"/>
        <v>2518.1999999999998</v>
      </c>
      <c r="AC7">
        <f t="shared" si="2"/>
        <v>2185</v>
      </c>
      <c r="AD7">
        <f t="shared" si="2"/>
        <v>-327.10000000000002</v>
      </c>
      <c r="AE7">
        <f t="shared" si="2"/>
        <v>4644.8999999999996</v>
      </c>
      <c r="AF7">
        <f t="shared" si="2"/>
        <v>5456.5</v>
      </c>
      <c r="AG7">
        <f t="shared" si="2"/>
        <v>8237.7000000000007</v>
      </c>
      <c r="AH7">
        <f t="shared" si="2"/>
        <v>7082</v>
      </c>
      <c r="AI7">
        <f t="shared" si="2"/>
        <v>4867.8</v>
      </c>
      <c r="AJ7">
        <f t="shared" si="2"/>
        <v>3621.7</v>
      </c>
      <c r="AK7">
        <f t="shared" si="2"/>
        <v>3671.5</v>
      </c>
      <c r="AL7">
        <f t="shared" si="2"/>
        <v>7361.8</v>
      </c>
      <c r="AM7">
        <f t="shared" si="2"/>
        <v>2979.3</v>
      </c>
      <c r="AN7">
        <f t="shared" si="2"/>
        <v>8763.1</v>
      </c>
      <c r="AO7">
        <f t="shared" si="2"/>
        <v>8538.7999999999993</v>
      </c>
      <c r="AP7">
        <f t="shared" si="2"/>
        <v>7276.8</v>
      </c>
      <c r="AQ7">
        <f t="shared" si="2"/>
        <v>13083.1</v>
      </c>
      <c r="AR7">
        <f t="shared" si="2"/>
        <v>9943</v>
      </c>
      <c r="AS7">
        <f t="shared" si="2"/>
        <v>10669.1</v>
      </c>
      <c r="AT7">
        <f>(AS7/C7)^(1/($AS$6-$C$6))-1</f>
        <v>4.0136586045794953E-2</v>
      </c>
    </row>
    <row r="8" spans="1:54" x14ac:dyDescent="0.25">
      <c r="B8" t="s">
        <v>31</v>
      </c>
      <c r="C8">
        <f>LPRIS35!C4</f>
        <v>45825.502031267803</v>
      </c>
      <c r="D8">
        <f>LPRIS35!D4</f>
        <v>51810.607598652496</v>
      </c>
      <c r="E8">
        <f>LPRIS35!E4</f>
        <v>57156.987288084987</v>
      </c>
      <c r="F8">
        <f>LPRIS35!F4</f>
        <v>67819.589181374628</v>
      </c>
      <c r="G8">
        <f>LPRIS35!G4</f>
        <v>66007.478465152701</v>
      </c>
      <c r="H8">
        <f>LPRIS35!H4</f>
        <v>65298.183643555611</v>
      </c>
      <c r="I8">
        <f>LPRIS35!I4</f>
        <v>65307.752545027397</v>
      </c>
      <c r="J8">
        <f>LPRIS35!J4</f>
        <v>66502.462164270328</v>
      </c>
      <c r="K8">
        <f>LPRIS35!K4</f>
        <v>61563.378888700885</v>
      </c>
      <c r="L8">
        <f>LPRIS35!L4</f>
        <v>64213.928118164884</v>
      </c>
      <c r="M8">
        <f>LPRIS35!M4</f>
        <v>62699.549849046751</v>
      </c>
      <c r="N8">
        <f>LPRIS35!N4</f>
        <v>61858.598514510806</v>
      </c>
      <c r="O8">
        <f>LPRIS35!O4</f>
        <v>63305.492682264005</v>
      </c>
      <c r="P8">
        <f>LPRIS35!P4</f>
        <v>71828.408841899989</v>
      </c>
      <c r="Q8">
        <f>LPRIS35!Q4</f>
        <v>73542.951833073632</v>
      </c>
      <c r="R8">
        <f>LPRIS35!R4</f>
        <v>83973.522565506049</v>
      </c>
      <c r="S8">
        <f>LPRIS35!S4</f>
        <v>91592.738403006471</v>
      </c>
      <c r="T8">
        <f>LPRIS35!T4</f>
        <v>99478.8081054535</v>
      </c>
      <c r="U8">
        <f>LPRIS35!U4</f>
        <v>105976.18724440964</v>
      </c>
      <c r="V8">
        <f>LPRIS35!V4</f>
        <v>117087.74105977552</v>
      </c>
      <c r="W8">
        <f>LPRIS35!W4</f>
        <v>118049.70511474785</v>
      </c>
      <c r="X8">
        <f>LPRIS35!X4</f>
        <v>119573.4167302717</v>
      </c>
      <c r="Y8">
        <f>LPRIS35!Y4</f>
        <v>132817.64552336207</v>
      </c>
      <c r="Z8">
        <f>LPRIS35!Z4</f>
        <v>148000</v>
      </c>
      <c r="AA8">
        <f>LPRIS35!AA4</f>
        <v>185000</v>
      </c>
      <c r="AB8">
        <f>LPRIS35!AB4</f>
        <v>219990</v>
      </c>
      <c r="AC8">
        <f>LPRIS35!AC4</f>
        <v>257325</v>
      </c>
      <c r="AD8">
        <f>LPRIS35!AD4</f>
        <v>210010</v>
      </c>
      <c r="AE8">
        <f>LPRIS35!AE4</f>
        <v>171596</v>
      </c>
      <c r="AF8">
        <f>LPRIS35!AF4</f>
        <v>130209</v>
      </c>
      <c r="AG8">
        <f>LPRIS35!AG4</f>
        <v>130729</v>
      </c>
      <c r="AH8">
        <f>LPRIS35!AH4</f>
        <v>117152</v>
      </c>
      <c r="AI8">
        <f>LPRIS35!AI4</f>
        <v>128287</v>
      </c>
      <c r="AJ8">
        <f>LPRIS35!AJ4</f>
        <v>139866</v>
      </c>
      <c r="AK8">
        <f>LPRIS35!AK4</f>
        <v>130916</v>
      </c>
      <c r="AL8">
        <f>LPRIS35!AL4</f>
        <v>128897</v>
      </c>
      <c r="AM8">
        <f>LPRIS35!AM4</f>
        <v>132099</v>
      </c>
      <c r="AN8">
        <f>LPRIS35!AN4</f>
        <v>131251</v>
      </c>
      <c r="AO8">
        <f>LPRIS35!AO4</f>
        <v>130383</v>
      </c>
      <c r="AP8">
        <f>LPRIS35!AP4</f>
        <v>135451</v>
      </c>
      <c r="AQ8">
        <f>LPRIS35!AQ4</f>
        <v>147610</v>
      </c>
      <c r="AR8">
        <f>LPRIS35!AR4</f>
        <v>159603</v>
      </c>
      <c r="AS8">
        <f>LPRIS35!AS4</f>
        <v>167583</v>
      </c>
      <c r="AT8">
        <f>(AS8/C8)^(1/($AS$6-$C$6))-1</f>
        <v>3.135382602170611E-2</v>
      </c>
    </row>
    <row r="9" spans="1:54" x14ac:dyDescent="0.25">
      <c r="C9">
        <f>C7/C8</f>
        <v>4.4588709548796845E-2</v>
      </c>
      <c r="D9">
        <f t="shared" ref="D9:AS9" si="3">D7/D8</f>
        <v>1.2941365312562722E-2</v>
      </c>
      <c r="E9">
        <f t="shared" si="3"/>
        <v>5.5492777882314964E-2</v>
      </c>
      <c r="F9">
        <f t="shared" si="3"/>
        <v>3.3779325820940724E-2</v>
      </c>
      <c r="G9">
        <f t="shared" si="3"/>
        <v>2.4668416940962647E-2</v>
      </c>
      <c r="H9">
        <f t="shared" si="3"/>
        <v>6.6724673748716126E-3</v>
      </c>
      <c r="I9">
        <f t="shared" si="3"/>
        <v>1.802695628192523E-2</v>
      </c>
      <c r="J9">
        <f t="shared" si="3"/>
        <v>4.7356141374447026E-2</v>
      </c>
      <c r="K9">
        <f t="shared" si="3"/>
        <v>2.8512080260788955E-2</v>
      </c>
      <c r="L9">
        <f t="shared" si="3"/>
        <v>3.2169033425252382E-2</v>
      </c>
      <c r="M9">
        <f t="shared" si="3"/>
        <v>1.7689122213320994E-2</v>
      </c>
      <c r="N9">
        <f t="shared" si="3"/>
        <v>2.2601546649525746E-2</v>
      </c>
      <c r="O9">
        <f t="shared" si="3"/>
        <v>1.9435912238697658E-2</v>
      </c>
      <c r="P9">
        <f t="shared" si="3"/>
        <v>1.9836162640552119E-2</v>
      </c>
      <c r="Q9">
        <f t="shared" si="3"/>
        <v>2.6693244574351682E-2</v>
      </c>
      <c r="R9">
        <f t="shared" si="3"/>
        <v>2.3928971163886901E-2</v>
      </c>
      <c r="S9">
        <f t="shared" si="3"/>
        <v>9.0705880671947403E-3</v>
      </c>
      <c r="T9">
        <f t="shared" si="3"/>
        <v>8.6822511894636516E-3</v>
      </c>
      <c r="U9">
        <f t="shared" si="3"/>
        <v>2.8415817536961398E-2</v>
      </c>
      <c r="V9">
        <f t="shared" si="3"/>
        <v>3.1952106737545186E-2</v>
      </c>
      <c r="W9">
        <f t="shared" si="3"/>
        <v>1.2495583945475836E-2</v>
      </c>
      <c r="X9">
        <f t="shared" si="3"/>
        <v>9.2010417539692916E-3</v>
      </c>
      <c r="Y9">
        <f t="shared" si="3"/>
        <v>1.2782187135679813E-2</v>
      </c>
      <c r="Z9">
        <f t="shared" si="3"/>
        <v>1.6193918918918918E-2</v>
      </c>
      <c r="AA9">
        <f t="shared" si="3"/>
        <v>2.1917297297297297E-2</v>
      </c>
      <c r="AB9">
        <f t="shared" si="3"/>
        <v>1.1446883949270421E-2</v>
      </c>
      <c r="AC9">
        <f t="shared" si="3"/>
        <v>8.4912076168269703E-3</v>
      </c>
      <c r="AD9">
        <f t="shared" si="3"/>
        <v>-1.5575448788152945E-3</v>
      </c>
      <c r="AE9">
        <f t="shared" si="3"/>
        <v>2.7068812792838993E-2</v>
      </c>
      <c r="AF9">
        <f t="shared" si="3"/>
        <v>4.1905705442788134E-2</v>
      </c>
      <c r="AG9">
        <f t="shared" si="3"/>
        <v>6.3013562407728971E-2</v>
      </c>
      <c r="AH9">
        <f t="shared" si="3"/>
        <v>6.0451379404534281E-2</v>
      </c>
      <c r="AI9">
        <f t="shared" si="3"/>
        <v>3.7944608572965305E-2</v>
      </c>
      <c r="AJ9">
        <f t="shared" si="3"/>
        <v>2.5894070038465385E-2</v>
      </c>
      <c r="AK9">
        <f t="shared" si="3"/>
        <v>2.804470041858902E-2</v>
      </c>
      <c r="AL9">
        <f t="shared" si="3"/>
        <v>5.7113819561355195E-2</v>
      </c>
      <c r="AM9">
        <f t="shared" si="3"/>
        <v>2.2553539390911363E-2</v>
      </c>
      <c r="AN9">
        <f t="shared" si="3"/>
        <v>6.6765967497390499E-2</v>
      </c>
      <c r="AO9">
        <f t="shared" si="3"/>
        <v>6.5490132916101021E-2</v>
      </c>
      <c r="AP9">
        <f t="shared" si="3"/>
        <v>5.3722748447778162E-2</v>
      </c>
      <c r="AQ9">
        <f t="shared" si="3"/>
        <v>8.8632883950951841E-2</v>
      </c>
      <c r="AR9">
        <f t="shared" si="3"/>
        <v>6.2298327725669317E-2</v>
      </c>
      <c r="AS9">
        <f t="shared" si="3"/>
        <v>6.3664572182142581E-2</v>
      </c>
    </row>
    <row r="11" spans="1:54" x14ac:dyDescent="0.25">
      <c r="B11" t="s">
        <v>28</v>
      </c>
      <c r="F11">
        <f>LPRIS35!F18</f>
        <v>0.1157</v>
      </c>
      <c r="G11">
        <f>LPRIS35!G18</f>
        <v>0.1007</v>
      </c>
      <c r="H11">
        <f>LPRIS35!H18</f>
        <v>0.1129</v>
      </c>
      <c r="I11">
        <f>LPRIS35!I18</f>
        <v>9.8699999999999996E-2</v>
      </c>
      <c r="J11">
        <f>LPRIS35!J18</f>
        <v>9.7000000000000003E-2</v>
      </c>
      <c r="K11">
        <f>LPRIS35!K18</f>
        <v>0.10630000000000001</v>
      </c>
      <c r="L11">
        <f>LPRIS35!L18</f>
        <v>9.2700000000000005E-2</v>
      </c>
      <c r="M11">
        <f>LPRIS35!M18</f>
        <v>8.9899999999999994E-2</v>
      </c>
      <c r="N11">
        <f>LPRIS35!N18</f>
        <v>7.2800000000000004E-2</v>
      </c>
      <c r="O11">
        <f>LPRIS35!O18</f>
        <v>7.85E-2</v>
      </c>
      <c r="P11">
        <f>LPRIS35!P18</f>
        <v>8.2699999999999996E-2</v>
      </c>
      <c r="Q11">
        <f>LPRIS35!Q18</f>
        <v>7.1900000000000006E-2</v>
      </c>
      <c r="R11">
        <f>LPRIS35!R18</f>
        <v>6.2600000000000003E-2</v>
      </c>
      <c r="S11">
        <f>LPRIS35!S18</f>
        <v>5.0299999999999997E-2</v>
      </c>
      <c r="T11">
        <f>LPRIS35!T18</f>
        <v>4.9399999999999999E-2</v>
      </c>
      <c r="U11">
        <f>LPRIS35!U18</f>
        <v>5.6599999999999998E-2</v>
      </c>
      <c r="V11">
        <f>LPRIS35!V18</f>
        <v>5.0900000000000001E-2</v>
      </c>
      <c r="W11">
        <f>LPRIS35!W18</f>
        <v>5.0500000000000003E-2</v>
      </c>
      <c r="X11">
        <f>LPRIS35!X18</f>
        <v>4.3099999999999999E-2</v>
      </c>
      <c r="Y11">
        <f>LPRIS35!Y18</f>
        <v>4.3034000000000003E-2</v>
      </c>
      <c r="Z11">
        <f>LPRIS35!Z18</f>
        <v>3.397E-2</v>
      </c>
      <c r="AA11">
        <f>LPRIS35!AA18</f>
        <v>3.8094000000000003E-2</v>
      </c>
      <c r="AB11">
        <f>LPRIS35!AB18</f>
        <v>4.2861999999999997E-2</v>
      </c>
      <c r="AC11">
        <f>LPRIS35!AC18</f>
        <v>4.2935000000000001E-2</v>
      </c>
      <c r="AD11">
        <f>LPRIS35!AD18</f>
        <v>3.5872000000000001E-2</v>
      </c>
      <c r="AE11">
        <f>LPRIS35!AE18</f>
        <v>2.9131000000000001E-2</v>
      </c>
      <c r="AF11">
        <f>LPRIS35!AF18</f>
        <v>2.7144999999999999E-2</v>
      </c>
      <c r="AG11">
        <f>LPRIS35!AG18</f>
        <v>1.355E-2</v>
      </c>
      <c r="AH11">
        <f>LPRIS35!AH18</f>
        <v>1.7392000000000001E-2</v>
      </c>
      <c r="AI11">
        <f>LPRIS35!AI18</f>
        <v>1.1892E-2</v>
      </c>
      <c r="AJ11">
        <f>LPRIS35!AJ18</f>
        <v>5.0920000000000002E-3</v>
      </c>
      <c r="AK11">
        <f>LPRIS35!AK18</f>
        <v>2.7330000000000002E-3</v>
      </c>
      <c r="AL11">
        <f>LPRIS35!AL18</f>
        <v>2.6419999999999998E-3</v>
      </c>
      <c r="AM11">
        <f>LPRIS35!AM18</f>
        <v>4.2249999999999996E-3</v>
      </c>
      <c r="AN11">
        <f>LPRIS35!AN18</f>
        <v>-2.0079999999999998E-3</v>
      </c>
      <c r="AO11">
        <f>LPRIS35!AO18</f>
        <v>-3.9750000000000002E-3</v>
      </c>
      <c r="AP11">
        <f>LPRIS35!AP18</f>
        <v>-1.75E-3</v>
      </c>
      <c r="AQ11">
        <f>LPRIS35!AQ18</f>
        <v>1.4425E-2</v>
      </c>
      <c r="AR11">
        <f>LPRIS35!AR18</f>
        <v>2.6009999999999998E-2</v>
      </c>
      <c r="AS11">
        <f>LPRIS35!AS18</f>
        <v>2.6009999999999998E-2</v>
      </c>
    </row>
    <row r="12" spans="1:54" x14ac:dyDescent="0.25">
      <c r="B12" t="s">
        <v>32</v>
      </c>
      <c r="F12">
        <f>F8/E8-1</f>
        <v>0.1865494036546671</v>
      </c>
      <c r="G12">
        <f t="shared" ref="G12:AS12" si="4">G8/F8-1</f>
        <v>-2.6719576719576921E-2</v>
      </c>
      <c r="H12">
        <f t="shared" si="4"/>
        <v>-1.0745673643200115E-2</v>
      </c>
      <c r="I12">
        <f t="shared" si="4"/>
        <v>1.4654161781924024E-4</v>
      </c>
      <c r="J12">
        <f t="shared" si="4"/>
        <v>1.829353442256676E-2</v>
      </c>
      <c r="K12">
        <f t="shared" si="4"/>
        <v>-7.4269179137596786E-2</v>
      </c>
      <c r="L12">
        <f t="shared" si="4"/>
        <v>4.3053992118526674E-2</v>
      </c>
      <c r="M12">
        <f t="shared" si="4"/>
        <v>-2.358333018237746E-2</v>
      </c>
      <c r="N12">
        <f t="shared" si="4"/>
        <v>-1.3412398279741833E-2</v>
      </c>
      <c r="O12">
        <f t="shared" si="4"/>
        <v>2.3390348350905255E-2</v>
      </c>
      <c r="P12">
        <f t="shared" si="4"/>
        <v>0.13463154299127367</v>
      </c>
      <c r="Q12">
        <f t="shared" si="4"/>
        <v>2.3869984297542945E-2</v>
      </c>
      <c r="R12">
        <f t="shared" si="4"/>
        <v>0.14182964475110449</v>
      </c>
      <c r="S12">
        <f t="shared" si="4"/>
        <v>9.0733550346858705E-2</v>
      </c>
      <c r="T12">
        <f t="shared" si="4"/>
        <v>8.60992895282644E-2</v>
      </c>
      <c r="U12">
        <f t="shared" si="4"/>
        <v>6.5314203725365561E-2</v>
      </c>
      <c r="V12">
        <f t="shared" si="4"/>
        <v>0.10484953369514649</v>
      </c>
      <c r="W12">
        <f t="shared" si="4"/>
        <v>8.2157538121878648E-3</v>
      </c>
      <c r="X12">
        <f t="shared" si="4"/>
        <v>1.2907373330943495E-2</v>
      </c>
      <c r="Y12">
        <f t="shared" si="4"/>
        <v>0.11076231787342916</v>
      </c>
      <c r="Z12">
        <f t="shared" si="4"/>
        <v>0.11430976973588525</v>
      </c>
      <c r="AA12">
        <f t="shared" si="4"/>
        <v>0.25</v>
      </c>
      <c r="AB12">
        <f t="shared" si="4"/>
        <v>0.18913513513513514</v>
      </c>
      <c r="AC12">
        <f t="shared" si="4"/>
        <v>0.16971225964816572</v>
      </c>
      <c r="AD12">
        <f t="shared" si="4"/>
        <v>-0.18387253473234233</v>
      </c>
      <c r="AE12">
        <f t="shared" si="4"/>
        <v>-0.18291509928098659</v>
      </c>
      <c r="AF12">
        <f t="shared" si="4"/>
        <v>-0.24118860579500689</v>
      </c>
      <c r="AG12">
        <f t="shared" si="4"/>
        <v>3.9935795528727169E-3</v>
      </c>
      <c r="AH12">
        <f t="shared" si="4"/>
        <v>-0.1038560686611234</v>
      </c>
      <c r="AI12">
        <f t="shared" si="4"/>
        <v>9.5047459710461579E-2</v>
      </c>
      <c r="AJ12">
        <f t="shared" si="4"/>
        <v>9.02585608830202E-2</v>
      </c>
      <c r="AK12">
        <f t="shared" si="4"/>
        <v>-6.398981882659116E-2</v>
      </c>
      <c r="AL12">
        <f t="shared" si="4"/>
        <v>-1.5422102722356335E-2</v>
      </c>
      <c r="AM12">
        <f t="shared" si="4"/>
        <v>2.4841540144456387E-2</v>
      </c>
      <c r="AN12">
        <f t="shared" si="4"/>
        <v>-6.4194278533523663E-3</v>
      </c>
      <c r="AO12">
        <f t="shared" si="4"/>
        <v>-6.6132829464156107E-3</v>
      </c>
      <c r="AP12">
        <f t="shared" si="4"/>
        <v>3.8870098095610706E-2</v>
      </c>
      <c r="AQ12">
        <f t="shared" si="4"/>
        <v>8.9766779130460383E-2</v>
      </c>
      <c r="AR12">
        <f t="shared" si="4"/>
        <v>8.1247882934760485E-2</v>
      </c>
      <c r="AS12">
        <f t="shared" si="4"/>
        <v>4.9999060168042009E-2</v>
      </c>
    </row>
    <row r="13" spans="1:54" x14ac:dyDescent="0.25">
      <c r="B13" t="s">
        <v>33</v>
      </c>
      <c r="F13">
        <f>F11-F12</f>
        <v>-7.0849403654667104E-2</v>
      </c>
      <c r="G13">
        <f t="shared" ref="G13:AS13" si="5">G11-G12</f>
        <v>0.12741957671957693</v>
      </c>
      <c r="H13">
        <f t="shared" si="5"/>
        <v>0.12364567364320012</v>
      </c>
      <c r="I13">
        <f t="shared" si="5"/>
        <v>9.8553458382180756E-2</v>
      </c>
      <c r="J13">
        <f t="shared" si="5"/>
        <v>7.8706465577433243E-2</v>
      </c>
      <c r="K13">
        <f t="shared" si="5"/>
        <v>0.18056917913759679</v>
      </c>
      <c r="L13">
        <f t="shared" si="5"/>
        <v>4.9646007881473331E-2</v>
      </c>
      <c r="M13">
        <f t="shared" si="5"/>
        <v>0.11348333018237745</v>
      </c>
      <c r="N13">
        <f t="shared" si="5"/>
        <v>8.6212398279741836E-2</v>
      </c>
      <c r="O13">
        <f t="shared" si="5"/>
        <v>5.5109651649094746E-2</v>
      </c>
      <c r="P13">
        <f t="shared" si="5"/>
        <v>-5.1931542991273671E-2</v>
      </c>
      <c r="Q13">
        <f t="shared" si="5"/>
        <v>4.803001570245706E-2</v>
      </c>
      <c r="R13">
        <f t="shared" si="5"/>
        <v>-7.9229644751104486E-2</v>
      </c>
      <c r="S13">
        <f t="shared" si="5"/>
        <v>-4.0433550346858707E-2</v>
      </c>
      <c r="T13">
        <f t="shared" si="5"/>
        <v>-3.66992895282644E-2</v>
      </c>
      <c r="U13">
        <f t="shared" si="5"/>
        <v>-8.714203725365563E-3</v>
      </c>
      <c r="V13">
        <f t="shared" si="5"/>
        <v>-5.394953369514649E-2</v>
      </c>
      <c r="W13">
        <f t="shared" si="5"/>
        <v>4.2284246187812138E-2</v>
      </c>
      <c r="X13">
        <f t="shared" si="5"/>
        <v>3.0192626669056505E-2</v>
      </c>
      <c r="Y13">
        <f t="shared" si="5"/>
        <v>-6.7728317873429159E-2</v>
      </c>
      <c r="Z13">
        <f t="shared" si="5"/>
        <v>-8.0339769735885247E-2</v>
      </c>
      <c r="AA13">
        <f t="shared" si="5"/>
        <v>-0.21190599999999998</v>
      </c>
      <c r="AB13">
        <f t="shared" si="5"/>
        <v>-0.14627313513513512</v>
      </c>
      <c r="AC13">
        <f t="shared" si="5"/>
        <v>-0.12677725964816572</v>
      </c>
      <c r="AD13">
        <f t="shared" si="5"/>
        <v>0.21974453473234234</v>
      </c>
      <c r="AE13">
        <f t="shared" si="5"/>
        <v>0.21204609928098658</v>
      </c>
      <c r="AF13">
        <f t="shared" si="5"/>
        <v>0.26833360579500687</v>
      </c>
      <c r="AG13">
        <f t="shared" si="5"/>
        <v>9.5564204471272826E-3</v>
      </c>
      <c r="AH13">
        <f t="shared" si="5"/>
        <v>0.12124806866112341</v>
      </c>
      <c r="AI13">
        <f t="shared" si="5"/>
        <v>-8.3155459710461579E-2</v>
      </c>
      <c r="AJ13">
        <f t="shared" si="5"/>
        <v>-8.5166560883020201E-2</v>
      </c>
      <c r="AK13">
        <f t="shared" si="5"/>
        <v>6.672281882659116E-2</v>
      </c>
      <c r="AL13">
        <f t="shared" si="5"/>
        <v>1.8064102722356333E-2</v>
      </c>
      <c r="AM13">
        <f t="shared" si="5"/>
        <v>-2.0616540144456387E-2</v>
      </c>
      <c r="AN13">
        <f t="shared" si="5"/>
        <v>4.411427853352367E-3</v>
      </c>
      <c r="AO13">
        <f t="shared" si="5"/>
        <v>2.6382829464156104E-3</v>
      </c>
      <c r="AP13">
        <f t="shared" si="5"/>
        <v>-4.0620098095610707E-2</v>
      </c>
      <c r="AQ13">
        <f t="shared" si="5"/>
        <v>-7.534177913046039E-2</v>
      </c>
      <c r="AR13">
        <f t="shared" si="5"/>
        <v>-5.5237882934760486E-2</v>
      </c>
      <c r="AS13">
        <f t="shared" si="5"/>
        <v>-2.398906016804201E-2</v>
      </c>
    </row>
    <row r="15" spans="1:54" x14ac:dyDescent="0.25">
      <c r="F15">
        <f>F6</f>
        <v>1985</v>
      </c>
      <c r="G15">
        <f t="shared" ref="G15:AS15" si="6">G6</f>
        <v>1986</v>
      </c>
      <c r="H15">
        <f t="shared" si="6"/>
        <v>1987</v>
      </c>
      <c r="I15">
        <f t="shared" si="6"/>
        <v>1988</v>
      </c>
      <c r="J15">
        <f t="shared" si="6"/>
        <v>1989</v>
      </c>
      <c r="K15">
        <f t="shared" si="6"/>
        <v>1990</v>
      </c>
      <c r="L15">
        <f t="shared" si="6"/>
        <v>1991</v>
      </c>
      <c r="M15">
        <f t="shared" si="6"/>
        <v>1992</v>
      </c>
      <c r="N15">
        <f t="shared" si="6"/>
        <v>1993</v>
      </c>
      <c r="O15">
        <f t="shared" si="6"/>
        <v>1994</v>
      </c>
      <c r="P15">
        <f t="shared" si="6"/>
        <v>1995</v>
      </c>
      <c r="Q15">
        <f t="shared" si="6"/>
        <v>1996</v>
      </c>
      <c r="R15">
        <f t="shared" si="6"/>
        <v>1997</v>
      </c>
      <c r="S15">
        <f t="shared" si="6"/>
        <v>1998</v>
      </c>
      <c r="T15">
        <f t="shared" si="6"/>
        <v>1999</v>
      </c>
      <c r="U15">
        <f t="shared" si="6"/>
        <v>2000</v>
      </c>
      <c r="V15">
        <f t="shared" si="6"/>
        <v>2001</v>
      </c>
      <c r="W15">
        <f t="shared" si="6"/>
        <v>2002</v>
      </c>
      <c r="X15">
        <f t="shared" si="6"/>
        <v>2003</v>
      </c>
      <c r="Y15">
        <f t="shared" si="6"/>
        <v>2004</v>
      </c>
      <c r="Z15">
        <f t="shared" si="6"/>
        <v>2005</v>
      </c>
      <c r="AA15">
        <f t="shared" si="6"/>
        <v>2006</v>
      </c>
      <c r="AB15">
        <f t="shared" si="6"/>
        <v>2007</v>
      </c>
      <c r="AC15">
        <f t="shared" si="6"/>
        <v>2008</v>
      </c>
      <c r="AD15">
        <f t="shared" si="6"/>
        <v>2009</v>
      </c>
      <c r="AE15">
        <f t="shared" si="6"/>
        <v>2010</v>
      </c>
      <c r="AF15">
        <f t="shared" si="6"/>
        <v>2011</v>
      </c>
      <c r="AG15">
        <f t="shared" si="6"/>
        <v>2012</v>
      </c>
      <c r="AH15">
        <f t="shared" si="6"/>
        <v>2013</v>
      </c>
      <c r="AI15">
        <f t="shared" si="6"/>
        <v>2014</v>
      </c>
      <c r="AJ15">
        <f t="shared" si="6"/>
        <v>2015</v>
      </c>
      <c r="AK15">
        <f t="shared" si="6"/>
        <v>2016</v>
      </c>
      <c r="AL15">
        <f t="shared" si="6"/>
        <v>2017</v>
      </c>
      <c r="AM15">
        <f t="shared" si="6"/>
        <v>2018</v>
      </c>
      <c r="AN15">
        <f t="shared" si="6"/>
        <v>2019</v>
      </c>
      <c r="AO15">
        <f t="shared" si="6"/>
        <v>2020</v>
      </c>
      <c r="AP15">
        <f t="shared" si="6"/>
        <v>2021</v>
      </c>
      <c r="AQ15">
        <f t="shared" si="6"/>
        <v>2022</v>
      </c>
      <c r="AR15">
        <f t="shared" si="6"/>
        <v>2023</v>
      </c>
      <c r="AS15">
        <f t="shared" si="6"/>
        <v>2024</v>
      </c>
    </row>
    <row r="16" spans="1:54" x14ac:dyDescent="0.25">
      <c r="E16" t="s">
        <v>34</v>
      </c>
      <c r="F16">
        <f>F9</f>
        <v>3.3779325820940724E-2</v>
      </c>
      <c r="G16">
        <f t="shared" ref="G16:AS16" si="7">G9</f>
        <v>2.4668416940962647E-2</v>
      </c>
      <c r="H16">
        <f t="shared" si="7"/>
        <v>6.6724673748716126E-3</v>
      </c>
      <c r="I16">
        <f t="shared" si="7"/>
        <v>1.802695628192523E-2</v>
      </c>
      <c r="J16">
        <f t="shared" si="7"/>
        <v>4.7356141374447026E-2</v>
      </c>
      <c r="K16">
        <f t="shared" si="7"/>
        <v>2.8512080260788955E-2</v>
      </c>
      <c r="L16">
        <f t="shared" si="7"/>
        <v>3.2169033425252382E-2</v>
      </c>
      <c r="M16">
        <f t="shared" si="7"/>
        <v>1.7689122213320994E-2</v>
      </c>
      <c r="N16">
        <f t="shared" si="7"/>
        <v>2.2601546649525746E-2</v>
      </c>
      <c r="O16">
        <f t="shared" si="7"/>
        <v>1.9435912238697658E-2</v>
      </c>
      <c r="P16">
        <f t="shared" si="7"/>
        <v>1.9836162640552119E-2</v>
      </c>
      <c r="Q16">
        <f t="shared" si="7"/>
        <v>2.6693244574351682E-2</v>
      </c>
      <c r="R16">
        <f t="shared" si="7"/>
        <v>2.3928971163886901E-2</v>
      </c>
      <c r="S16">
        <f t="shared" si="7"/>
        <v>9.0705880671947403E-3</v>
      </c>
      <c r="T16">
        <f t="shared" si="7"/>
        <v>8.6822511894636516E-3</v>
      </c>
      <c r="U16">
        <f t="shared" si="7"/>
        <v>2.8415817536961398E-2</v>
      </c>
      <c r="V16">
        <f t="shared" si="7"/>
        <v>3.1952106737545186E-2</v>
      </c>
      <c r="W16">
        <f t="shared" si="7"/>
        <v>1.2495583945475836E-2</v>
      </c>
      <c r="X16">
        <f t="shared" si="7"/>
        <v>9.2010417539692916E-3</v>
      </c>
      <c r="Y16">
        <f t="shared" si="7"/>
        <v>1.2782187135679813E-2</v>
      </c>
      <c r="Z16">
        <f t="shared" si="7"/>
        <v>1.6193918918918918E-2</v>
      </c>
      <c r="AA16">
        <f t="shared" si="7"/>
        <v>2.1917297297297297E-2</v>
      </c>
      <c r="AB16">
        <f t="shared" si="7"/>
        <v>1.1446883949270421E-2</v>
      </c>
      <c r="AC16">
        <f t="shared" si="7"/>
        <v>8.4912076168269703E-3</v>
      </c>
      <c r="AD16">
        <f t="shared" si="7"/>
        <v>-1.5575448788152945E-3</v>
      </c>
      <c r="AE16">
        <f t="shared" si="7"/>
        <v>2.7068812792838993E-2</v>
      </c>
      <c r="AF16">
        <f t="shared" si="7"/>
        <v>4.1905705442788134E-2</v>
      </c>
      <c r="AG16">
        <f t="shared" si="7"/>
        <v>6.3013562407728971E-2</v>
      </c>
      <c r="AH16">
        <f t="shared" si="7"/>
        <v>6.0451379404534281E-2</v>
      </c>
      <c r="AI16">
        <f t="shared" si="7"/>
        <v>3.7944608572965305E-2</v>
      </c>
      <c r="AJ16">
        <f t="shared" si="7"/>
        <v>2.5894070038465385E-2</v>
      </c>
      <c r="AK16">
        <f t="shared" si="7"/>
        <v>2.804470041858902E-2</v>
      </c>
      <c r="AL16">
        <f t="shared" si="7"/>
        <v>5.7113819561355195E-2</v>
      </c>
      <c r="AM16">
        <f t="shared" si="7"/>
        <v>2.2553539390911363E-2</v>
      </c>
      <c r="AN16">
        <f t="shared" si="7"/>
        <v>6.6765967497390499E-2</v>
      </c>
      <c r="AO16">
        <f t="shared" si="7"/>
        <v>6.5490132916101021E-2</v>
      </c>
      <c r="AP16">
        <f t="shared" si="7"/>
        <v>5.3722748447778162E-2</v>
      </c>
      <c r="AQ16">
        <f t="shared" si="7"/>
        <v>8.8632883950951841E-2</v>
      </c>
      <c r="AR16">
        <f t="shared" si="7"/>
        <v>6.2298327725669317E-2</v>
      </c>
      <c r="AS16">
        <f t="shared" si="7"/>
        <v>6.3664572182142581E-2</v>
      </c>
    </row>
    <row r="17" spans="3:45" x14ac:dyDescent="0.25">
      <c r="E17" t="s">
        <v>35</v>
      </c>
      <c r="F17">
        <f>F13</f>
        <v>-7.0849403654667104E-2</v>
      </c>
      <c r="G17">
        <f t="shared" ref="G17:AS17" si="8">G13</f>
        <v>0.12741957671957693</v>
      </c>
      <c r="H17">
        <f t="shared" si="8"/>
        <v>0.12364567364320012</v>
      </c>
      <c r="I17">
        <f t="shared" si="8"/>
        <v>9.8553458382180756E-2</v>
      </c>
      <c r="J17">
        <f t="shared" si="8"/>
        <v>7.8706465577433243E-2</v>
      </c>
      <c r="K17">
        <f t="shared" si="8"/>
        <v>0.18056917913759679</v>
      </c>
      <c r="L17">
        <f t="shared" si="8"/>
        <v>4.9646007881473331E-2</v>
      </c>
      <c r="M17">
        <f t="shared" si="8"/>
        <v>0.11348333018237745</v>
      </c>
      <c r="N17">
        <f t="shared" si="8"/>
        <v>8.6212398279741836E-2</v>
      </c>
      <c r="O17">
        <f t="shared" si="8"/>
        <v>5.5109651649094746E-2</v>
      </c>
      <c r="P17">
        <f t="shared" si="8"/>
        <v>-5.1931542991273671E-2</v>
      </c>
      <c r="Q17">
        <f t="shared" si="8"/>
        <v>4.803001570245706E-2</v>
      </c>
      <c r="R17">
        <f t="shared" si="8"/>
        <v>-7.9229644751104486E-2</v>
      </c>
      <c r="S17">
        <f t="shared" si="8"/>
        <v>-4.0433550346858707E-2</v>
      </c>
      <c r="T17">
        <f t="shared" si="8"/>
        <v>-3.66992895282644E-2</v>
      </c>
      <c r="U17">
        <f t="shared" si="8"/>
        <v>-8.714203725365563E-3</v>
      </c>
      <c r="V17">
        <f t="shared" si="8"/>
        <v>-5.394953369514649E-2</v>
      </c>
      <c r="W17">
        <f t="shared" si="8"/>
        <v>4.2284246187812138E-2</v>
      </c>
      <c r="X17">
        <f t="shared" si="8"/>
        <v>3.0192626669056505E-2</v>
      </c>
      <c r="Y17">
        <f t="shared" si="8"/>
        <v>-6.7728317873429159E-2</v>
      </c>
      <c r="Z17">
        <f t="shared" si="8"/>
        <v>-8.0339769735885247E-2</v>
      </c>
      <c r="AA17">
        <f t="shared" si="8"/>
        <v>-0.21190599999999998</v>
      </c>
      <c r="AB17">
        <f t="shared" si="8"/>
        <v>-0.14627313513513512</v>
      </c>
      <c r="AC17">
        <f t="shared" si="8"/>
        <v>-0.12677725964816572</v>
      </c>
      <c r="AD17">
        <f t="shared" si="8"/>
        <v>0.21974453473234234</v>
      </c>
      <c r="AE17">
        <f t="shared" si="8"/>
        <v>0.21204609928098658</v>
      </c>
      <c r="AF17">
        <f t="shared" si="8"/>
        <v>0.26833360579500687</v>
      </c>
      <c r="AG17">
        <f t="shared" si="8"/>
        <v>9.5564204471272826E-3</v>
      </c>
      <c r="AH17">
        <f t="shared" si="8"/>
        <v>0.12124806866112341</v>
      </c>
      <c r="AI17">
        <f t="shared" si="8"/>
        <v>-8.3155459710461579E-2</v>
      </c>
      <c r="AJ17">
        <f t="shared" si="8"/>
        <v>-8.5166560883020201E-2</v>
      </c>
      <c r="AK17">
        <f t="shared" si="8"/>
        <v>6.672281882659116E-2</v>
      </c>
      <c r="AL17">
        <f t="shared" si="8"/>
        <v>1.8064102722356333E-2</v>
      </c>
      <c r="AM17">
        <f t="shared" si="8"/>
        <v>-2.0616540144456387E-2</v>
      </c>
      <c r="AN17">
        <f t="shared" si="8"/>
        <v>4.411427853352367E-3</v>
      </c>
      <c r="AO17">
        <f t="shared" si="8"/>
        <v>2.6382829464156104E-3</v>
      </c>
      <c r="AP17">
        <f t="shared" si="8"/>
        <v>-4.0620098095610707E-2</v>
      </c>
      <c r="AQ17">
        <f t="shared" si="8"/>
        <v>-7.534177913046039E-2</v>
      </c>
      <c r="AR17">
        <f t="shared" si="8"/>
        <v>-5.5237882934760486E-2</v>
      </c>
      <c r="AS17">
        <f t="shared" si="8"/>
        <v>-2.398906016804201E-2</v>
      </c>
    </row>
    <row r="19" spans="3:45" x14ac:dyDescent="0.25">
      <c r="F19">
        <f>F15</f>
        <v>1985</v>
      </c>
      <c r="G19">
        <f t="shared" ref="G19:AS19" si="9">G15</f>
        <v>1986</v>
      </c>
      <c r="H19">
        <f t="shared" si="9"/>
        <v>1987</v>
      </c>
      <c r="I19">
        <f t="shared" si="9"/>
        <v>1988</v>
      </c>
      <c r="J19">
        <f t="shared" si="9"/>
        <v>1989</v>
      </c>
      <c r="K19">
        <f t="shared" si="9"/>
        <v>1990</v>
      </c>
      <c r="L19">
        <f t="shared" si="9"/>
        <v>1991</v>
      </c>
      <c r="M19">
        <f t="shared" si="9"/>
        <v>1992</v>
      </c>
      <c r="N19">
        <f t="shared" si="9"/>
        <v>1993</v>
      </c>
      <c r="O19">
        <f t="shared" si="9"/>
        <v>1994</v>
      </c>
      <c r="P19">
        <f t="shared" si="9"/>
        <v>1995</v>
      </c>
      <c r="Q19">
        <f t="shared" si="9"/>
        <v>1996</v>
      </c>
      <c r="R19">
        <f t="shared" si="9"/>
        <v>1997</v>
      </c>
      <c r="S19">
        <f t="shared" si="9"/>
        <v>1998</v>
      </c>
      <c r="T19">
        <f t="shared" si="9"/>
        <v>1999</v>
      </c>
      <c r="U19">
        <f t="shared" si="9"/>
        <v>2000</v>
      </c>
      <c r="V19">
        <f t="shared" si="9"/>
        <v>2001</v>
      </c>
      <c r="W19">
        <f t="shared" si="9"/>
        <v>2002</v>
      </c>
      <c r="X19">
        <f t="shared" si="9"/>
        <v>2003</v>
      </c>
      <c r="Y19">
        <f t="shared" si="9"/>
        <v>2004</v>
      </c>
      <c r="Z19">
        <f t="shared" si="9"/>
        <v>2005</v>
      </c>
      <c r="AA19">
        <f t="shared" si="9"/>
        <v>2006</v>
      </c>
      <c r="AB19">
        <f t="shared" si="9"/>
        <v>2007</v>
      </c>
      <c r="AC19">
        <f t="shared" si="9"/>
        <v>2008</v>
      </c>
      <c r="AD19">
        <f t="shared" si="9"/>
        <v>2009</v>
      </c>
      <c r="AE19">
        <f t="shared" si="9"/>
        <v>2010</v>
      </c>
      <c r="AF19">
        <f t="shared" si="9"/>
        <v>2011</v>
      </c>
      <c r="AG19">
        <f t="shared" si="9"/>
        <v>2012</v>
      </c>
      <c r="AH19">
        <f t="shared" si="9"/>
        <v>2013</v>
      </c>
      <c r="AI19">
        <f t="shared" si="9"/>
        <v>2014</v>
      </c>
      <c r="AJ19">
        <f t="shared" si="9"/>
        <v>2015</v>
      </c>
      <c r="AK19">
        <f t="shared" si="9"/>
        <v>2016</v>
      </c>
      <c r="AL19">
        <f t="shared" si="9"/>
        <v>2017</v>
      </c>
      <c r="AM19">
        <f t="shared" si="9"/>
        <v>2018</v>
      </c>
      <c r="AN19">
        <f t="shared" si="9"/>
        <v>2019</v>
      </c>
      <c r="AO19">
        <f t="shared" si="9"/>
        <v>2020</v>
      </c>
      <c r="AP19">
        <f t="shared" si="9"/>
        <v>2021</v>
      </c>
      <c r="AQ19">
        <f t="shared" si="9"/>
        <v>2022</v>
      </c>
      <c r="AR19">
        <f t="shared" si="9"/>
        <v>2023</v>
      </c>
      <c r="AS19">
        <f t="shared" si="9"/>
        <v>2024</v>
      </c>
    </row>
    <row r="20" spans="3:45" x14ac:dyDescent="0.25">
      <c r="E20" t="s">
        <v>36</v>
      </c>
      <c r="F20">
        <f>LPRIS35!F18</f>
        <v>0.1157</v>
      </c>
      <c r="G20">
        <f>LPRIS35!G18</f>
        <v>0.1007</v>
      </c>
      <c r="H20">
        <f>LPRIS35!H18</f>
        <v>0.1129</v>
      </c>
      <c r="I20">
        <f>LPRIS35!I18</f>
        <v>9.8699999999999996E-2</v>
      </c>
      <c r="J20">
        <f>LPRIS35!J18</f>
        <v>9.7000000000000003E-2</v>
      </c>
      <c r="K20">
        <f>LPRIS35!K18</f>
        <v>0.10630000000000001</v>
      </c>
      <c r="L20">
        <f>LPRIS35!L18</f>
        <v>9.2700000000000005E-2</v>
      </c>
      <c r="M20">
        <f>LPRIS35!M18</f>
        <v>8.9899999999999994E-2</v>
      </c>
      <c r="N20">
        <f>LPRIS35!N18</f>
        <v>7.2800000000000004E-2</v>
      </c>
      <c r="O20">
        <f>LPRIS35!O18</f>
        <v>7.85E-2</v>
      </c>
      <c r="P20">
        <f>LPRIS35!P18</f>
        <v>8.2699999999999996E-2</v>
      </c>
      <c r="Q20">
        <f>LPRIS35!Q18</f>
        <v>7.1900000000000006E-2</v>
      </c>
      <c r="R20">
        <f>LPRIS35!R18</f>
        <v>6.2600000000000003E-2</v>
      </c>
      <c r="S20">
        <f>LPRIS35!S18</f>
        <v>5.0299999999999997E-2</v>
      </c>
      <c r="T20">
        <f>LPRIS35!T18</f>
        <v>4.9399999999999999E-2</v>
      </c>
      <c r="U20">
        <f>LPRIS35!U18</f>
        <v>5.6599999999999998E-2</v>
      </c>
      <c r="V20">
        <f>LPRIS35!V18</f>
        <v>5.0900000000000001E-2</v>
      </c>
      <c r="W20">
        <f>LPRIS35!W18</f>
        <v>5.0500000000000003E-2</v>
      </c>
      <c r="X20">
        <f>LPRIS35!X18</f>
        <v>4.3099999999999999E-2</v>
      </c>
      <c r="Y20">
        <f>LPRIS35!Y18</f>
        <v>4.3034000000000003E-2</v>
      </c>
      <c r="Z20">
        <f>LPRIS35!Z18</f>
        <v>3.397E-2</v>
      </c>
      <c r="AA20">
        <f>LPRIS35!AA18</f>
        <v>3.8094000000000003E-2</v>
      </c>
      <c r="AB20">
        <f>LPRIS35!AB18</f>
        <v>4.2861999999999997E-2</v>
      </c>
      <c r="AC20">
        <f>LPRIS35!AC18</f>
        <v>4.2935000000000001E-2</v>
      </c>
      <c r="AD20">
        <f>LPRIS35!AD18</f>
        <v>3.5872000000000001E-2</v>
      </c>
      <c r="AE20">
        <f>LPRIS35!AE18</f>
        <v>2.9131000000000001E-2</v>
      </c>
      <c r="AF20">
        <f>LPRIS35!AF18</f>
        <v>2.7144999999999999E-2</v>
      </c>
      <c r="AG20">
        <f>LPRIS35!AG18</f>
        <v>1.355E-2</v>
      </c>
      <c r="AH20">
        <f>LPRIS35!AH18</f>
        <v>1.7392000000000001E-2</v>
      </c>
      <c r="AI20">
        <f>LPRIS35!AI18</f>
        <v>1.1892E-2</v>
      </c>
      <c r="AJ20">
        <f>LPRIS35!AJ18</f>
        <v>5.0920000000000002E-3</v>
      </c>
      <c r="AK20">
        <f>LPRIS35!AK18</f>
        <v>2.7330000000000002E-3</v>
      </c>
      <c r="AL20">
        <f>LPRIS35!AL18</f>
        <v>2.6419999999999998E-3</v>
      </c>
      <c r="AM20">
        <f>LPRIS35!AM18</f>
        <v>4.2249999999999996E-3</v>
      </c>
      <c r="AN20">
        <f>LPRIS35!AN18</f>
        <v>-2.0079999999999998E-3</v>
      </c>
      <c r="AO20">
        <f>LPRIS35!AO18</f>
        <v>-3.9750000000000002E-3</v>
      </c>
      <c r="AP20">
        <f>LPRIS35!AP18</f>
        <v>-1.75E-3</v>
      </c>
      <c r="AQ20">
        <f>LPRIS35!AQ18</f>
        <v>1.4425E-2</v>
      </c>
      <c r="AR20">
        <f>LPRIS35!AR18</f>
        <v>2.6009999999999998E-2</v>
      </c>
      <c r="AS20">
        <f>LPRIS35!AS18</f>
        <v>2.6009999999999998E-2</v>
      </c>
    </row>
    <row r="21" spans="3:45" x14ac:dyDescent="0.25">
      <c r="E21" t="s">
        <v>37</v>
      </c>
      <c r="F21">
        <f>F8/E8-1</f>
        <v>0.1865494036546671</v>
      </c>
      <c r="G21">
        <f t="shared" ref="G21:AS21" si="10">G8/F8-1</f>
        <v>-2.6719576719576921E-2</v>
      </c>
      <c r="H21">
        <f t="shared" si="10"/>
        <v>-1.0745673643200115E-2</v>
      </c>
      <c r="I21">
        <f t="shared" si="10"/>
        <v>1.4654161781924024E-4</v>
      </c>
      <c r="J21">
        <f t="shared" si="10"/>
        <v>1.829353442256676E-2</v>
      </c>
      <c r="K21">
        <f t="shared" si="10"/>
        <v>-7.4269179137596786E-2</v>
      </c>
      <c r="L21">
        <f t="shared" si="10"/>
        <v>4.3053992118526674E-2</v>
      </c>
      <c r="M21">
        <f t="shared" si="10"/>
        <v>-2.358333018237746E-2</v>
      </c>
      <c r="N21">
        <f t="shared" si="10"/>
        <v>-1.3412398279741833E-2</v>
      </c>
      <c r="O21">
        <f t="shared" si="10"/>
        <v>2.3390348350905255E-2</v>
      </c>
      <c r="P21">
        <f t="shared" si="10"/>
        <v>0.13463154299127367</v>
      </c>
      <c r="Q21">
        <f t="shared" si="10"/>
        <v>2.3869984297542945E-2</v>
      </c>
      <c r="R21">
        <f t="shared" si="10"/>
        <v>0.14182964475110449</v>
      </c>
      <c r="S21">
        <f t="shared" si="10"/>
        <v>9.0733550346858705E-2</v>
      </c>
      <c r="T21">
        <f t="shared" si="10"/>
        <v>8.60992895282644E-2</v>
      </c>
      <c r="U21">
        <f t="shared" si="10"/>
        <v>6.5314203725365561E-2</v>
      </c>
      <c r="V21">
        <f t="shared" si="10"/>
        <v>0.10484953369514649</v>
      </c>
      <c r="W21">
        <f t="shared" si="10"/>
        <v>8.2157538121878648E-3</v>
      </c>
      <c r="X21">
        <f t="shared" si="10"/>
        <v>1.2907373330943495E-2</v>
      </c>
      <c r="Y21">
        <f t="shared" si="10"/>
        <v>0.11076231787342916</v>
      </c>
      <c r="Z21">
        <f t="shared" si="10"/>
        <v>0.11430976973588525</v>
      </c>
      <c r="AA21">
        <f t="shared" si="10"/>
        <v>0.25</v>
      </c>
      <c r="AB21">
        <f t="shared" si="10"/>
        <v>0.18913513513513514</v>
      </c>
      <c r="AC21">
        <f t="shared" si="10"/>
        <v>0.16971225964816572</v>
      </c>
      <c r="AD21">
        <f t="shared" si="10"/>
        <v>-0.18387253473234233</v>
      </c>
      <c r="AE21">
        <f t="shared" si="10"/>
        <v>-0.18291509928098659</v>
      </c>
      <c r="AF21">
        <f t="shared" si="10"/>
        <v>-0.24118860579500689</v>
      </c>
      <c r="AG21">
        <f t="shared" si="10"/>
        <v>3.9935795528727169E-3</v>
      </c>
      <c r="AH21">
        <f t="shared" si="10"/>
        <v>-0.1038560686611234</v>
      </c>
      <c r="AI21">
        <f t="shared" si="10"/>
        <v>9.5047459710461579E-2</v>
      </c>
      <c r="AJ21">
        <f t="shared" si="10"/>
        <v>9.02585608830202E-2</v>
      </c>
      <c r="AK21">
        <f t="shared" si="10"/>
        <v>-6.398981882659116E-2</v>
      </c>
      <c r="AL21">
        <f t="shared" si="10"/>
        <v>-1.5422102722356335E-2</v>
      </c>
      <c r="AM21">
        <f t="shared" si="10"/>
        <v>2.4841540144456387E-2</v>
      </c>
      <c r="AN21">
        <f t="shared" si="10"/>
        <v>-6.4194278533523663E-3</v>
      </c>
      <c r="AO21">
        <f t="shared" si="10"/>
        <v>-6.6132829464156107E-3</v>
      </c>
      <c r="AP21">
        <f t="shared" si="10"/>
        <v>3.8870098095610706E-2</v>
      </c>
      <c r="AQ21">
        <f t="shared" si="10"/>
        <v>8.9766779130460383E-2</v>
      </c>
      <c r="AR21">
        <f t="shared" si="10"/>
        <v>8.1247882934760485E-2</v>
      </c>
      <c r="AS21">
        <f t="shared" si="10"/>
        <v>4.9999060168042009E-2</v>
      </c>
    </row>
    <row r="23" spans="3:45" x14ac:dyDescent="0.25">
      <c r="F23">
        <f>F19</f>
        <v>1985</v>
      </c>
      <c r="G23">
        <f>F23+1</f>
        <v>1986</v>
      </c>
      <c r="H23">
        <f t="shared" ref="H23:AS23" si="11">G23+1</f>
        <v>1987</v>
      </c>
      <c r="I23">
        <f t="shared" si="11"/>
        <v>1988</v>
      </c>
      <c r="J23">
        <f t="shared" si="11"/>
        <v>1989</v>
      </c>
      <c r="K23">
        <f t="shared" si="11"/>
        <v>1990</v>
      </c>
      <c r="L23">
        <f t="shared" si="11"/>
        <v>1991</v>
      </c>
      <c r="M23">
        <f t="shared" si="11"/>
        <v>1992</v>
      </c>
      <c r="N23">
        <f t="shared" si="11"/>
        <v>1993</v>
      </c>
      <c r="O23">
        <f t="shared" si="11"/>
        <v>1994</v>
      </c>
      <c r="P23">
        <f t="shared" si="11"/>
        <v>1995</v>
      </c>
      <c r="Q23">
        <f t="shared" si="11"/>
        <v>1996</v>
      </c>
      <c r="R23">
        <f t="shared" si="11"/>
        <v>1997</v>
      </c>
      <c r="S23">
        <f t="shared" si="11"/>
        <v>1998</v>
      </c>
      <c r="T23">
        <f t="shared" si="11"/>
        <v>1999</v>
      </c>
      <c r="U23">
        <f t="shared" si="11"/>
        <v>2000</v>
      </c>
      <c r="V23">
        <f t="shared" si="11"/>
        <v>2001</v>
      </c>
      <c r="W23">
        <f t="shared" si="11"/>
        <v>2002</v>
      </c>
      <c r="X23">
        <f t="shared" si="11"/>
        <v>2003</v>
      </c>
      <c r="Y23">
        <f t="shared" si="11"/>
        <v>2004</v>
      </c>
      <c r="Z23">
        <f t="shared" si="11"/>
        <v>2005</v>
      </c>
      <c r="AA23">
        <f t="shared" si="11"/>
        <v>2006</v>
      </c>
      <c r="AB23">
        <f t="shared" si="11"/>
        <v>2007</v>
      </c>
      <c r="AC23">
        <f t="shared" si="11"/>
        <v>2008</v>
      </c>
      <c r="AD23">
        <f t="shared" si="11"/>
        <v>2009</v>
      </c>
      <c r="AE23">
        <f t="shared" si="11"/>
        <v>2010</v>
      </c>
      <c r="AF23">
        <f t="shared" si="11"/>
        <v>2011</v>
      </c>
      <c r="AG23">
        <f t="shared" si="11"/>
        <v>2012</v>
      </c>
      <c r="AH23">
        <f t="shared" si="11"/>
        <v>2013</v>
      </c>
      <c r="AI23">
        <f t="shared" si="11"/>
        <v>2014</v>
      </c>
      <c r="AJ23">
        <f t="shared" si="11"/>
        <v>2015</v>
      </c>
      <c r="AK23">
        <f t="shared" si="11"/>
        <v>2016</v>
      </c>
      <c r="AL23">
        <f t="shared" si="11"/>
        <v>2017</v>
      </c>
      <c r="AM23">
        <f t="shared" si="11"/>
        <v>2018</v>
      </c>
      <c r="AN23">
        <f t="shared" si="11"/>
        <v>2019</v>
      </c>
      <c r="AO23">
        <f t="shared" si="11"/>
        <v>2020</v>
      </c>
      <c r="AP23">
        <f t="shared" si="11"/>
        <v>2021</v>
      </c>
      <c r="AQ23">
        <f t="shared" si="11"/>
        <v>2022</v>
      </c>
      <c r="AR23">
        <f t="shared" si="11"/>
        <v>2023</v>
      </c>
      <c r="AS23">
        <f t="shared" si="11"/>
        <v>2024</v>
      </c>
    </row>
    <row r="24" spans="3:45" x14ac:dyDescent="0.25">
      <c r="E24" t="s">
        <v>38</v>
      </c>
      <c r="F24">
        <f>F21</f>
        <v>0.1865494036546671</v>
      </c>
      <c r="G24">
        <f>G21</f>
        <v>-2.6719576719576921E-2</v>
      </c>
      <c r="H24">
        <f t="shared" ref="H24:AS24" si="12">H21</f>
        <v>-1.0745673643200115E-2</v>
      </c>
      <c r="I24">
        <f t="shared" si="12"/>
        <v>1.4654161781924024E-4</v>
      </c>
      <c r="J24">
        <f t="shared" si="12"/>
        <v>1.829353442256676E-2</v>
      </c>
      <c r="K24">
        <f t="shared" si="12"/>
        <v>-7.4269179137596786E-2</v>
      </c>
      <c r="L24">
        <f t="shared" si="12"/>
        <v>4.3053992118526674E-2</v>
      </c>
      <c r="M24">
        <f t="shared" si="12"/>
        <v>-2.358333018237746E-2</v>
      </c>
      <c r="N24">
        <f t="shared" si="12"/>
        <v>-1.3412398279741833E-2</v>
      </c>
      <c r="O24">
        <f t="shared" si="12"/>
        <v>2.3390348350905255E-2</v>
      </c>
      <c r="P24">
        <f t="shared" si="12"/>
        <v>0.13463154299127367</v>
      </c>
      <c r="Q24">
        <f t="shared" si="12"/>
        <v>2.3869984297542945E-2</v>
      </c>
      <c r="R24">
        <f t="shared" si="12"/>
        <v>0.14182964475110449</v>
      </c>
      <c r="S24">
        <f t="shared" si="12"/>
        <v>9.0733550346858705E-2</v>
      </c>
      <c r="T24">
        <f t="shared" si="12"/>
        <v>8.60992895282644E-2</v>
      </c>
      <c r="U24">
        <f t="shared" si="12"/>
        <v>6.5314203725365561E-2</v>
      </c>
      <c r="V24">
        <f t="shared" si="12"/>
        <v>0.10484953369514649</v>
      </c>
      <c r="W24">
        <f t="shared" si="12"/>
        <v>8.2157538121878648E-3</v>
      </c>
      <c r="X24">
        <f t="shared" si="12"/>
        <v>1.2907373330943495E-2</v>
      </c>
      <c r="Y24">
        <f t="shared" si="12"/>
        <v>0.11076231787342916</v>
      </c>
      <c r="Z24">
        <f t="shared" si="12"/>
        <v>0.11430976973588525</v>
      </c>
      <c r="AA24">
        <f t="shared" si="12"/>
        <v>0.25</v>
      </c>
      <c r="AB24">
        <f t="shared" si="12"/>
        <v>0.18913513513513514</v>
      </c>
      <c r="AC24">
        <f t="shared" si="12"/>
        <v>0.16971225964816572</v>
      </c>
      <c r="AD24">
        <f t="shared" si="12"/>
        <v>-0.18387253473234233</v>
      </c>
      <c r="AE24">
        <f t="shared" si="12"/>
        <v>-0.18291509928098659</v>
      </c>
      <c r="AF24">
        <f t="shared" si="12"/>
        <v>-0.24118860579500689</v>
      </c>
      <c r="AG24">
        <f t="shared" si="12"/>
        <v>3.9935795528727169E-3</v>
      </c>
      <c r="AH24">
        <f t="shared" si="12"/>
        <v>-0.1038560686611234</v>
      </c>
      <c r="AI24">
        <f t="shared" si="12"/>
        <v>9.5047459710461579E-2</v>
      </c>
      <c r="AJ24">
        <f t="shared" si="12"/>
        <v>9.02585608830202E-2</v>
      </c>
      <c r="AK24">
        <f t="shared" si="12"/>
        <v>-6.398981882659116E-2</v>
      </c>
      <c r="AL24">
        <f t="shared" si="12"/>
        <v>-1.5422102722356335E-2</v>
      </c>
      <c r="AM24">
        <f t="shared" si="12"/>
        <v>2.4841540144456387E-2</v>
      </c>
      <c r="AN24">
        <f t="shared" si="12"/>
        <v>-6.4194278533523663E-3</v>
      </c>
      <c r="AO24">
        <f t="shared" si="12"/>
        <v>-6.6132829464156107E-3</v>
      </c>
      <c r="AP24">
        <f t="shared" si="12"/>
        <v>3.8870098095610706E-2</v>
      </c>
      <c r="AQ24">
        <f t="shared" si="12"/>
        <v>8.9766779130460383E-2</v>
      </c>
      <c r="AR24">
        <f t="shared" si="12"/>
        <v>8.1247882934760485E-2</v>
      </c>
      <c r="AS24">
        <f t="shared" si="12"/>
        <v>4.9999060168042009E-2</v>
      </c>
    </row>
    <row r="25" spans="3:45" x14ac:dyDescent="0.25">
      <c r="E25" t="s">
        <v>39</v>
      </c>
      <c r="F25">
        <f>F7/E7-1</f>
        <v>-0.27772873447253932</v>
      </c>
      <c r="G25">
        <f>G7/F7-1</f>
        <v>-0.28923130647343842</v>
      </c>
      <c r="H25">
        <f t="shared" ref="H25:AS25" si="13">H7/G7-1</f>
        <v>-0.73242031566664623</v>
      </c>
      <c r="I25">
        <f t="shared" si="13"/>
        <v>1.7020885930686251</v>
      </c>
      <c r="J25">
        <f t="shared" si="13"/>
        <v>1.6750191115263742</v>
      </c>
      <c r="K25">
        <f t="shared" si="13"/>
        <v>-0.44263804655002703</v>
      </c>
      <c r="L25">
        <f t="shared" si="13"/>
        <v>0.17683586851250488</v>
      </c>
      <c r="M25">
        <f t="shared" si="13"/>
        <v>-0.46308757321973182</v>
      </c>
      <c r="N25">
        <f t="shared" si="13"/>
        <v>0.26057163465873234</v>
      </c>
      <c r="O25">
        <f t="shared" si="13"/>
        <v>-0.11994850153780123</v>
      </c>
      <c r="P25">
        <f t="shared" si="13"/>
        <v>0.15799739921976585</v>
      </c>
      <c r="Q25">
        <f t="shared" si="13"/>
        <v>0.37780741156653574</v>
      </c>
      <c r="R25">
        <f t="shared" si="13"/>
        <v>2.3585145942641939E-2</v>
      </c>
      <c r="S25">
        <f t="shared" si="13"/>
        <v>-0.58654324674032055</v>
      </c>
      <c r="T25">
        <f t="shared" si="13"/>
        <v>3.9600385170919683E-2</v>
      </c>
      <c r="U25">
        <f t="shared" si="13"/>
        <v>2.4866273011462314</v>
      </c>
      <c r="V25">
        <f t="shared" si="13"/>
        <v>0.24234575280600379</v>
      </c>
      <c r="W25">
        <f t="shared" si="13"/>
        <v>-0.60571474393242808</v>
      </c>
      <c r="X25">
        <f t="shared" si="13"/>
        <v>-0.25415226086367015</v>
      </c>
      <c r="Y25">
        <f t="shared" si="13"/>
        <v>0.54308307580439918</v>
      </c>
      <c r="Z25">
        <f t="shared" si="13"/>
        <v>0.41173352182364353</v>
      </c>
      <c r="AA25">
        <f t="shared" si="13"/>
        <v>0.6917845370718072</v>
      </c>
      <c r="AB25">
        <f t="shared" si="13"/>
        <v>-0.37894295508915576</v>
      </c>
      <c r="AC25">
        <f t="shared" si="13"/>
        <v>-0.1323167341752044</v>
      </c>
      <c r="AD25">
        <f t="shared" si="13"/>
        <v>-1.1497025171624715</v>
      </c>
      <c r="AE25">
        <f t="shared" si="13"/>
        <v>-15.200244573524914</v>
      </c>
      <c r="AF25">
        <f t="shared" si="13"/>
        <v>0.17472927296604879</v>
      </c>
      <c r="AG25">
        <f t="shared" si="13"/>
        <v>0.50970402272519033</v>
      </c>
      <c r="AH25">
        <f t="shared" si="13"/>
        <v>-0.14029401410587916</v>
      </c>
      <c r="AI25">
        <f t="shared" si="13"/>
        <v>-0.31265179327873482</v>
      </c>
      <c r="AJ25">
        <f t="shared" si="13"/>
        <v>-0.25598833148444888</v>
      </c>
      <c r="AK25">
        <f t="shared" si="13"/>
        <v>1.3750448684319627E-2</v>
      </c>
      <c r="AL25">
        <f t="shared" si="13"/>
        <v>1.0051205229470246</v>
      </c>
      <c r="AM25">
        <f t="shared" si="13"/>
        <v>-0.5953027792116059</v>
      </c>
      <c r="AN25">
        <f t="shared" si="13"/>
        <v>1.9413284999832174</v>
      </c>
      <c r="AO25">
        <f t="shared" si="13"/>
        <v>-2.5595964898266765E-2</v>
      </c>
      <c r="AP25">
        <f t="shared" si="13"/>
        <v>-0.14779594322387213</v>
      </c>
      <c r="AQ25">
        <f t="shared" si="13"/>
        <v>0.79791941512752862</v>
      </c>
      <c r="AR25">
        <f t="shared" si="13"/>
        <v>-0.2400119237795324</v>
      </c>
      <c r="AS25">
        <f t="shared" si="13"/>
        <v>7.3026249622850203E-2</v>
      </c>
    </row>
    <row r="28" spans="3:45" x14ac:dyDescent="0.25">
      <c r="D28">
        <v>1983</v>
      </c>
      <c r="E28">
        <f>D28+1</f>
        <v>1984</v>
      </c>
      <c r="F28">
        <f t="shared" ref="F28:AS28" si="14">E28+1</f>
        <v>1985</v>
      </c>
      <c r="G28">
        <f t="shared" si="14"/>
        <v>1986</v>
      </c>
      <c r="H28">
        <f t="shared" si="14"/>
        <v>1987</v>
      </c>
      <c r="I28">
        <f t="shared" si="14"/>
        <v>1988</v>
      </c>
      <c r="J28">
        <f t="shared" si="14"/>
        <v>1989</v>
      </c>
      <c r="K28">
        <f t="shared" si="14"/>
        <v>1990</v>
      </c>
      <c r="L28">
        <f t="shared" si="14"/>
        <v>1991</v>
      </c>
      <c r="M28">
        <f t="shared" si="14"/>
        <v>1992</v>
      </c>
      <c r="N28">
        <f t="shared" si="14"/>
        <v>1993</v>
      </c>
      <c r="O28">
        <f t="shared" si="14"/>
        <v>1994</v>
      </c>
      <c r="P28">
        <f t="shared" si="14"/>
        <v>1995</v>
      </c>
      <c r="Q28">
        <f t="shared" si="14"/>
        <v>1996</v>
      </c>
      <c r="R28">
        <f t="shared" si="14"/>
        <v>1997</v>
      </c>
      <c r="S28">
        <f t="shared" si="14"/>
        <v>1998</v>
      </c>
      <c r="T28">
        <f t="shared" si="14"/>
        <v>1999</v>
      </c>
      <c r="U28">
        <f t="shared" si="14"/>
        <v>2000</v>
      </c>
      <c r="V28">
        <f t="shared" si="14"/>
        <v>2001</v>
      </c>
      <c r="W28">
        <f t="shared" si="14"/>
        <v>2002</v>
      </c>
      <c r="X28">
        <f t="shared" si="14"/>
        <v>2003</v>
      </c>
      <c r="Y28">
        <f t="shared" si="14"/>
        <v>2004</v>
      </c>
      <c r="Z28">
        <f t="shared" si="14"/>
        <v>2005</v>
      </c>
      <c r="AA28">
        <f t="shared" si="14"/>
        <v>2006</v>
      </c>
      <c r="AB28">
        <f t="shared" si="14"/>
        <v>2007</v>
      </c>
      <c r="AC28">
        <f t="shared" si="14"/>
        <v>2008</v>
      </c>
      <c r="AD28">
        <f t="shared" si="14"/>
        <v>2009</v>
      </c>
      <c r="AE28">
        <f t="shared" si="14"/>
        <v>2010</v>
      </c>
      <c r="AF28">
        <f t="shared" si="14"/>
        <v>2011</v>
      </c>
      <c r="AG28">
        <f t="shared" si="14"/>
        <v>2012</v>
      </c>
      <c r="AH28">
        <f t="shared" si="14"/>
        <v>2013</v>
      </c>
      <c r="AI28">
        <f t="shared" si="14"/>
        <v>2014</v>
      </c>
      <c r="AJ28">
        <f t="shared" si="14"/>
        <v>2015</v>
      </c>
      <c r="AK28">
        <f t="shared" si="14"/>
        <v>2016</v>
      </c>
      <c r="AL28">
        <f t="shared" si="14"/>
        <v>2017</v>
      </c>
      <c r="AM28">
        <f t="shared" si="14"/>
        <v>2018</v>
      </c>
      <c r="AN28">
        <f t="shared" si="14"/>
        <v>2019</v>
      </c>
      <c r="AO28">
        <f t="shared" si="14"/>
        <v>2020</v>
      </c>
      <c r="AP28">
        <f t="shared" si="14"/>
        <v>2021</v>
      </c>
      <c r="AQ28">
        <f t="shared" si="14"/>
        <v>2022</v>
      </c>
      <c r="AR28">
        <f t="shared" si="14"/>
        <v>2023</v>
      </c>
      <c r="AS28">
        <f t="shared" si="14"/>
        <v>2024</v>
      </c>
    </row>
    <row r="29" spans="3:45" x14ac:dyDescent="0.25">
      <c r="C29" t="s">
        <v>39</v>
      </c>
      <c r="D29">
        <f>D7/C7-1</f>
        <v>-0.6718543532520922</v>
      </c>
      <c r="E29">
        <f>E7/D7-1</f>
        <v>3.7304996271439226</v>
      </c>
      <c r="F29">
        <f t="shared" ref="F29:AS29" si="15">F7/E7-1</f>
        <v>-0.27772873447253932</v>
      </c>
      <c r="G29">
        <f t="shared" si="15"/>
        <v>-0.28923130647343842</v>
      </c>
      <c r="H29">
        <f t="shared" si="15"/>
        <v>-0.73242031566664623</v>
      </c>
      <c r="I29">
        <f t="shared" si="15"/>
        <v>1.7020885930686251</v>
      </c>
      <c r="J29">
        <f t="shared" si="15"/>
        <v>1.6750191115263742</v>
      </c>
      <c r="K29">
        <f t="shared" si="15"/>
        <v>-0.44263804655002703</v>
      </c>
      <c r="L29">
        <f t="shared" si="15"/>
        <v>0.17683586851250488</v>
      </c>
      <c r="M29">
        <f t="shared" si="15"/>
        <v>-0.46308757321973182</v>
      </c>
      <c r="N29">
        <f t="shared" si="15"/>
        <v>0.26057163465873234</v>
      </c>
      <c r="O29">
        <f t="shared" si="15"/>
        <v>-0.11994850153780123</v>
      </c>
      <c r="P29">
        <f t="shared" si="15"/>
        <v>0.15799739921976585</v>
      </c>
      <c r="Q29">
        <f t="shared" si="15"/>
        <v>0.37780741156653574</v>
      </c>
      <c r="R29">
        <f t="shared" si="15"/>
        <v>2.3585145942641939E-2</v>
      </c>
      <c r="S29">
        <f t="shared" si="15"/>
        <v>-0.58654324674032055</v>
      </c>
      <c r="T29">
        <f t="shared" si="15"/>
        <v>3.9600385170919683E-2</v>
      </c>
      <c r="U29">
        <f t="shared" si="15"/>
        <v>2.4866273011462314</v>
      </c>
      <c r="V29">
        <f t="shared" si="15"/>
        <v>0.24234575280600379</v>
      </c>
      <c r="W29">
        <f t="shared" si="15"/>
        <v>-0.60571474393242808</v>
      </c>
      <c r="X29">
        <f t="shared" si="15"/>
        <v>-0.25415226086367015</v>
      </c>
      <c r="Y29">
        <f t="shared" si="15"/>
        <v>0.54308307580439918</v>
      </c>
      <c r="Z29">
        <f t="shared" si="15"/>
        <v>0.41173352182364353</v>
      </c>
      <c r="AA29">
        <f t="shared" si="15"/>
        <v>0.6917845370718072</v>
      </c>
      <c r="AB29">
        <f t="shared" si="15"/>
        <v>-0.37894295508915576</v>
      </c>
      <c r="AC29">
        <f t="shared" si="15"/>
        <v>-0.1323167341752044</v>
      </c>
      <c r="AD29">
        <f t="shared" si="15"/>
        <v>-1.1497025171624715</v>
      </c>
      <c r="AE29">
        <f t="shared" si="15"/>
        <v>-15.200244573524914</v>
      </c>
      <c r="AF29">
        <f t="shared" si="15"/>
        <v>0.17472927296604879</v>
      </c>
      <c r="AG29">
        <f t="shared" si="15"/>
        <v>0.50970402272519033</v>
      </c>
      <c r="AH29">
        <f t="shared" si="15"/>
        <v>-0.14029401410587916</v>
      </c>
      <c r="AI29">
        <f t="shared" si="15"/>
        <v>-0.31265179327873482</v>
      </c>
      <c r="AJ29">
        <f t="shared" si="15"/>
        <v>-0.25598833148444888</v>
      </c>
      <c r="AK29">
        <f t="shared" si="15"/>
        <v>1.3750448684319627E-2</v>
      </c>
      <c r="AL29">
        <f t="shared" si="15"/>
        <v>1.0051205229470246</v>
      </c>
      <c r="AM29">
        <f t="shared" si="15"/>
        <v>-0.5953027792116059</v>
      </c>
      <c r="AN29">
        <f t="shared" si="15"/>
        <v>1.9413284999832174</v>
      </c>
      <c r="AO29">
        <f t="shared" si="15"/>
        <v>-2.5595964898266765E-2</v>
      </c>
      <c r="AP29">
        <f t="shared" si="15"/>
        <v>-0.14779594322387213</v>
      </c>
      <c r="AQ29">
        <f t="shared" si="15"/>
        <v>0.79791941512752862</v>
      </c>
      <c r="AR29">
        <f t="shared" si="15"/>
        <v>-0.2400119237795324</v>
      </c>
      <c r="AS29">
        <f t="shared" si="15"/>
        <v>7.3026249622850203E-2</v>
      </c>
    </row>
    <row r="31" spans="3:45" x14ac:dyDescent="0.25">
      <c r="F31">
        <f>F28</f>
        <v>1985</v>
      </c>
      <c r="G31">
        <f>F31+1</f>
        <v>1986</v>
      </c>
      <c r="H31">
        <f t="shared" ref="H31:AS31" si="16">G31+1</f>
        <v>1987</v>
      </c>
      <c r="I31">
        <f t="shared" si="16"/>
        <v>1988</v>
      </c>
      <c r="J31">
        <f t="shared" si="16"/>
        <v>1989</v>
      </c>
      <c r="K31">
        <f t="shared" si="16"/>
        <v>1990</v>
      </c>
      <c r="L31">
        <f t="shared" si="16"/>
        <v>1991</v>
      </c>
      <c r="M31">
        <f t="shared" si="16"/>
        <v>1992</v>
      </c>
      <c r="N31">
        <f t="shared" si="16"/>
        <v>1993</v>
      </c>
      <c r="O31">
        <f t="shared" si="16"/>
        <v>1994</v>
      </c>
      <c r="P31">
        <f t="shared" si="16"/>
        <v>1995</v>
      </c>
      <c r="Q31">
        <f t="shared" si="16"/>
        <v>1996</v>
      </c>
      <c r="R31">
        <f t="shared" si="16"/>
        <v>1997</v>
      </c>
      <c r="S31">
        <f t="shared" si="16"/>
        <v>1998</v>
      </c>
      <c r="T31">
        <f t="shared" si="16"/>
        <v>1999</v>
      </c>
      <c r="U31">
        <f t="shared" si="16"/>
        <v>2000</v>
      </c>
      <c r="V31">
        <f t="shared" si="16"/>
        <v>2001</v>
      </c>
      <c r="W31">
        <f t="shared" si="16"/>
        <v>2002</v>
      </c>
      <c r="X31">
        <f t="shared" si="16"/>
        <v>2003</v>
      </c>
      <c r="Y31">
        <f t="shared" si="16"/>
        <v>2004</v>
      </c>
      <c r="Z31">
        <f t="shared" si="16"/>
        <v>2005</v>
      </c>
      <c r="AA31">
        <f t="shared" si="16"/>
        <v>2006</v>
      </c>
      <c r="AB31">
        <f t="shared" si="16"/>
        <v>2007</v>
      </c>
      <c r="AC31">
        <f t="shared" si="16"/>
        <v>2008</v>
      </c>
      <c r="AD31">
        <f t="shared" si="16"/>
        <v>2009</v>
      </c>
      <c r="AE31">
        <f t="shared" si="16"/>
        <v>2010</v>
      </c>
      <c r="AF31">
        <f t="shared" si="16"/>
        <v>2011</v>
      </c>
      <c r="AG31">
        <f t="shared" si="16"/>
        <v>2012</v>
      </c>
      <c r="AH31">
        <f t="shared" si="16"/>
        <v>2013</v>
      </c>
      <c r="AI31">
        <f t="shared" si="16"/>
        <v>2014</v>
      </c>
      <c r="AJ31">
        <f t="shared" si="16"/>
        <v>2015</v>
      </c>
      <c r="AK31">
        <f t="shared" si="16"/>
        <v>2016</v>
      </c>
      <c r="AL31">
        <f t="shared" si="16"/>
        <v>2017</v>
      </c>
      <c r="AM31">
        <f t="shared" si="16"/>
        <v>2018</v>
      </c>
      <c r="AN31">
        <f t="shared" si="16"/>
        <v>2019</v>
      </c>
      <c r="AO31">
        <f t="shared" si="16"/>
        <v>2020</v>
      </c>
      <c r="AP31">
        <f t="shared" si="16"/>
        <v>2021</v>
      </c>
      <c r="AQ31">
        <f t="shared" si="16"/>
        <v>2022</v>
      </c>
      <c r="AR31">
        <f t="shared" si="16"/>
        <v>2023</v>
      </c>
      <c r="AS31">
        <f t="shared" si="16"/>
        <v>2024</v>
      </c>
    </row>
    <row r="32" spans="3:45" x14ac:dyDescent="0.25">
      <c r="E32" t="s">
        <v>38</v>
      </c>
      <c r="F32">
        <f>F24</f>
        <v>0.1865494036546671</v>
      </c>
      <c r="G32">
        <f t="shared" ref="G32:AS32" si="17">G24</f>
        <v>-2.6719576719576921E-2</v>
      </c>
      <c r="H32">
        <f t="shared" si="17"/>
        <v>-1.0745673643200115E-2</v>
      </c>
      <c r="I32">
        <f t="shared" si="17"/>
        <v>1.4654161781924024E-4</v>
      </c>
      <c r="J32">
        <f t="shared" si="17"/>
        <v>1.829353442256676E-2</v>
      </c>
      <c r="K32">
        <f t="shared" si="17"/>
        <v>-7.4269179137596786E-2</v>
      </c>
      <c r="L32">
        <f t="shared" si="17"/>
        <v>4.3053992118526674E-2</v>
      </c>
      <c r="M32">
        <f t="shared" si="17"/>
        <v>-2.358333018237746E-2</v>
      </c>
      <c r="N32">
        <f t="shared" si="17"/>
        <v>-1.3412398279741833E-2</v>
      </c>
      <c r="O32">
        <f t="shared" si="17"/>
        <v>2.3390348350905255E-2</v>
      </c>
      <c r="P32">
        <f t="shared" si="17"/>
        <v>0.13463154299127367</v>
      </c>
      <c r="Q32">
        <f t="shared" si="17"/>
        <v>2.3869984297542945E-2</v>
      </c>
      <c r="R32">
        <f t="shared" si="17"/>
        <v>0.14182964475110449</v>
      </c>
      <c r="S32">
        <f t="shared" si="17"/>
        <v>9.0733550346858705E-2</v>
      </c>
      <c r="T32">
        <f t="shared" si="17"/>
        <v>8.60992895282644E-2</v>
      </c>
      <c r="U32">
        <f t="shared" si="17"/>
        <v>6.5314203725365561E-2</v>
      </c>
      <c r="V32">
        <f t="shared" si="17"/>
        <v>0.10484953369514649</v>
      </c>
      <c r="W32">
        <f t="shared" si="17"/>
        <v>8.2157538121878648E-3</v>
      </c>
      <c r="X32">
        <f t="shared" si="17"/>
        <v>1.2907373330943495E-2</v>
      </c>
      <c r="Y32">
        <f t="shared" si="17"/>
        <v>0.11076231787342916</v>
      </c>
      <c r="Z32">
        <f t="shared" si="17"/>
        <v>0.11430976973588525</v>
      </c>
      <c r="AA32">
        <f t="shared" si="17"/>
        <v>0.25</v>
      </c>
      <c r="AB32">
        <f t="shared" si="17"/>
        <v>0.18913513513513514</v>
      </c>
      <c r="AC32">
        <f t="shared" si="17"/>
        <v>0.16971225964816572</v>
      </c>
      <c r="AD32">
        <f t="shared" si="17"/>
        <v>-0.18387253473234233</v>
      </c>
      <c r="AE32">
        <f t="shared" si="17"/>
        <v>-0.18291509928098659</v>
      </c>
      <c r="AF32">
        <f t="shared" si="17"/>
        <v>-0.24118860579500689</v>
      </c>
      <c r="AG32">
        <f t="shared" si="17"/>
        <v>3.9935795528727169E-3</v>
      </c>
      <c r="AH32">
        <f t="shared" si="17"/>
        <v>-0.1038560686611234</v>
      </c>
      <c r="AI32">
        <f t="shared" si="17"/>
        <v>9.5047459710461579E-2</v>
      </c>
      <c r="AJ32">
        <f t="shared" si="17"/>
        <v>9.02585608830202E-2</v>
      </c>
      <c r="AK32">
        <f t="shared" si="17"/>
        <v>-6.398981882659116E-2</v>
      </c>
      <c r="AL32">
        <f t="shared" si="17"/>
        <v>-1.5422102722356335E-2</v>
      </c>
      <c r="AM32">
        <f t="shared" si="17"/>
        <v>2.4841540144456387E-2</v>
      </c>
      <c r="AN32">
        <f t="shared" si="17"/>
        <v>-6.4194278533523663E-3</v>
      </c>
      <c r="AO32">
        <f t="shared" si="17"/>
        <v>-6.6132829464156107E-3</v>
      </c>
      <c r="AP32">
        <f t="shared" si="17"/>
        <v>3.8870098095610706E-2</v>
      </c>
      <c r="AQ32">
        <f t="shared" si="17"/>
        <v>8.9766779130460383E-2</v>
      </c>
      <c r="AR32">
        <f t="shared" si="17"/>
        <v>8.1247882934760485E-2</v>
      </c>
      <c r="AS32">
        <f t="shared" si="17"/>
        <v>4.9999060168042009E-2</v>
      </c>
    </row>
    <row r="33" spans="5:45" x14ac:dyDescent="0.25">
      <c r="E33" t="s">
        <v>39</v>
      </c>
      <c r="F33">
        <f>AVERAGE(E29:G29)</f>
        <v>1.0545131953993148</v>
      </c>
      <c r="G33">
        <f t="shared" ref="G33:AR33" si="18">AVERAGE(F29:H29)</f>
        <v>-0.43312678553754136</v>
      </c>
      <c r="H33">
        <f t="shared" si="18"/>
        <v>0.22681232364284684</v>
      </c>
      <c r="I33">
        <f t="shared" si="18"/>
        <v>0.88156246297611762</v>
      </c>
      <c r="J33">
        <f t="shared" si="18"/>
        <v>0.97815655268165747</v>
      </c>
      <c r="K33">
        <f t="shared" si="18"/>
        <v>0.46973897782961732</v>
      </c>
      <c r="L33">
        <f t="shared" si="18"/>
        <v>-0.24296325041908465</v>
      </c>
      <c r="M33">
        <f t="shared" si="18"/>
        <v>-8.5600233494981994E-3</v>
      </c>
      <c r="N33">
        <f t="shared" si="18"/>
        <v>-0.10748814669960023</v>
      </c>
      <c r="O33">
        <f t="shared" si="18"/>
        <v>9.9540177446898984E-2</v>
      </c>
      <c r="P33">
        <f t="shared" si="18"/>
        <v>0.13861876974950013</v>
      </c>
      <c r="Q33">
        <f t="shared" si="18"/>
        <v>0.18646331890964785</v>
      </c>
      <c r="R33">
        <f t="shared" si="18"/>
        <v>-6.1716896410380952E-2</v>
      </c>
      <c r="S33">
        <f t="shared" si="18"/>
        <v>-0.1744525718755863</v>
      </c>
      <c r="T33">
        <f t="shared" si="18"/>
        <v>0.64656147985894352</v>
      </c>
      <c r="U33">
        <f t="shared" si="18"/>
        <v>0.92285781304105152</v>
      </c>
      <c r="V33">
        <f t="shared" si="18"/>
        <v>0.70775277000660253</v>
      </c>
      <c r="W33">
        <f t="shared" si="18"/>
        <v>-0.20584041733003147</v>
      </c>
      <c r="X33">
        <f t="shared" si="18"/>
        <v>-0.10559464299723302</v>
      </c>
      <c r="Y33">
        <f t="shared" si="18"/>
        <v>0.23355477892145751</v>
      </c>
      <c r="Z33">
        <f t="shared" si="18"/>
        <v>0.54886704489994997</v>
      </c>
      <c r="AA33">
        <f t="shared" si="18"/>
        <v>0.24152503460209832</v>
      </c>
      <c r="AB33">
        <f t="shared" si="18"/>
        <v>6.0174949269149014E-2</v>
      </c>
      <c r="AC33">
        <f t="shared" si="18"/>
        <v>-0.55365406880894386</v>
      </c>
      <c r="AD33">
        <f t="shared" si="18"/>
        <v>-5.4940879416208643</v>
      </c>
      <c r="AE33">
        <f t="shared" si="18"/>
        <v>-5.3917392725737798</v>
      </c>
      <c r="AF33">
        <f t="shared" si="18"/>
        <v>-4.8386037592778921</v>
      </c>
      <c r="AG33">
        <f t="shared" si="18"/>
        <v>0.18137976052845331</v>
      </c>
      <c r="AH33">
        <f t="shared" si="18"/>
        <v>1.891940511352545E-2</v>
      </c>
      <c r="AI33">
        <f t="shared" si="18"/>
        <v>-0.23631137962302096</v>
      </c>
      <c r="AJ33">
        <f t="shared" si="18"/>
        <v>-0.18496322535962137</v>
      </c>
      <c r="AK33">
        <f t="shared" si="18"/>
        <v>0.25429421338229846</v>
      </c>
      <c r="AL33">
        <f t="shared" si="18"/>
        <v>0.1411893974732461</v>
      </c>
      <c r="AM33">
        <f t="shared" si="18"/>
        <v>0.78371541457287874</v>
      </c>
      <c r="AN33">
        <f t="shared" si="18"/>
        <v>0.44014325195778153</v>
      </c>
      <c r="AO33">
        <f t="shared" si="18"/>
        <v>0.58931219728702622</v>
      </c>
      <c r="AP33">
        <f t="shared" si="18"/>
        <v>0.20817583566846323</v>
      </c>
      <c r="AQ33">
        <f t="shared" si="18"/>
        <v>0.13670384937470803</v>
      </c>
      <c r="AR33">
        <f t="shared" si="18"/>
        <v>0.21031124699028214</v>
      </c>
    </row>
    <row r="35" spans="5:45" x14ac:dyDescent="0.25">
      <c r="F35">
        <f>F31</f>
        <v>1985</v>
      </c>
      <c r="G35">
        <f t="shared" ref="G35:AS35" si="19">G31</f>
        <v>1986</v>
      </c>
      <c r="H35">
        <f t="shared" si="19"/>
        <v>1987</v>
      </c>
      <c r="I35">
        <f t="shared" si="19"/>
        <v>1988</v>
      </c>
      <c r="J35">
        <f t="shared" si="19"/>
        <v>1989</v>
      </c>
      <c r="K35">
        <f t="shared" si="19"/>
        <v>1990</v>
      </c>
      <c r="L35">
        <f t="shared" si="19"/>
        <v>1991</v>
      </c>
      <c r="M35">
        <f t="shared" si="19"/>
        <v>1992</v>
      </c>
      <c r="N35">
        <f t="shared" si="19"/>
        <v>1993</v>
      </c>
      <c r="O35">
        <f t="shared" si="19"/>
        <v>1994</v>
      </c>
      <c r="P35">
        <f t="shared" si="19"/>
        <v>1995</v>
      </c>
      <c r="Q35">
        <f t="shared" si="19"/>
        <v>1996</v>
      </c>
      <c r="R35">
        <f t="shared" si="19"/>
        <v>1997</v>
      </c>
      <c r="S35">
        <f t="shared" si="19"/>
        <v>1998</v>
      </c>
      <c r="T35">
        <f t="shared" si="19"/>
        <v>1999</v>
      </c>
      <c r="U35">
        <f t="shared" si="19"/>
        <v>2000</v>
      </c>
      <c r="V35">
        <f t="shared" si="19"/>
        <v>2001</v>
      </c>
      <c r="W35">
        <f t="shared" si="19"/>
        <v>2002</v>
      </c>
      <c r="X35">
        <f t="shared" si="19"/>
        <v>2003</v>
      </c>
      <c r="Y35">
        <f t="shared" si="19"/>
        <v>2004</v>
      </c>
      <c r="Z35">
        <f t="shared" si="19"/>
        <v>2005</v>
      </c>
      <c r="AA35">
        <f t="shared" si="19"/>
        <v>2006</v>
      </c>
      <c r="AB35">
        <f t="shared" si="19"/>
        <v>2007</v>
      </c>
      <c r="AC35">
        <f t="shared" si="19"/>
        <v>2008</v>
      </c>
      <c r="AD35">
        <f t="shared" si="19"/>
        <v>2009</v>
      </c>
      <c r="AE35">
        <f t="shared" si="19"/>
        <v>2010</v>
      </c>
      <c r="AF35">
        <f t="shared" si="19"/>
        <v>2011</v>
      </c>
      <c r="AG35">
        <f t="shared" si="19"/>
        <v>2012</v>
      </c>
      <c r="AH35">
        <f t="shared" si="19"/>
        <v>2013</v>
      </c>
      <c r="AI35">
        <f t="shared" si="19"/>
        <v>2014</v>
      </c>
      <c r="AJ35">
        <f t="shared" si="19"/>
        <v>2015</v>
      </c>
      <c r="AK35">
        <f t="shared" si="19"/>
        <v>2016</v>
      </c>
      <c r="AL35">
        <f t="shared" si="19"/>
        <v>2017</v>
      </c>
      <c r="AM35">
        <f t="shared" si="19"/>
        <v>2018</v>
      </c>
      <c r="AN35">
        <f t="shared" si="19"/>
        <v>2019</v>
      </c>
      <c r="AO35">
        <f t="shared" si="19"/>
        <v>2020</v>
      </c>
      <c r="AP35">
        <f t="shared" si="19"/>
        <v>2021</v>
      </c>
      <c r="AQ35">
        <f t="shared" si="19"/>
        <v>2022</v>
      </c>
      <c r="AR35">
        <f t="shared" si="19"/>
        <v>2023</v>
      </c>
      <c r="AS35">
        <f t="shared" si="19"/>
        <v>2024</v>
      </c>
    </row>
    <row r="36" spans="5:45" x14ac:dyDescent="0.25">
      <c r="E36" t="s">
        <v>38</v>
      </c>
      <c r="F36">
        <f>F32</f>
        <v>0.1865494036546671</v>
      </c>
      <c r="G36">
        <f t="shared" ref="G36:AS36" si="20">G32</f>
        <v>-2.6719576719576921E-2</v>
      </c>
      <c r="H36">
        <f t="shared" si="20"/>
        <v>-1.0745673643200115E-2</v>
      </c>
      <c r="I36">
        <f t="shared" si="20"/>
        <v>1.4654161781924024E-4</v>
      </c>
      <c r="J36">
        <f t="shared" si="20"/>
        <v>1.829353442256676E-2</v>
      </c>
      <c r="K36">
        <f t="shared" si="20"/>
        <v>-7.4269179137596786E-2</v>
      </c>
      <c r="L36">
        <f t="shared" si="20"/>
        <v>4.3053992118526674E-2</v>
      </c>
      <c r="M36">
        <f t="shared" si="20"/>
        <v>-2.358333018237746E-2</v>
      </c>
      <c r="N36">
        <f t="shared" si="20"/>
        <v>-1.3412398279741833E-2</v>
      </c>
      <c r="O36">
        <f t="shared" si="20"/>
        <v>2.3390348350905255E-2</v>
      </c>
      <c r="P36">
        <f t="shared" si="20"/>
        <v>0.13463154299127367</v>
      </c>
      <c r="Q36">
        <f t="shared" si="20"/>
        <v>2.3869984297542945E-2</v>
      </c>
      <c r="R36">
        <f t="shared" si="20"/>
        <v>0.14182964475110449</v>
      </c>
      <c r="S36">
        <f t="shared" si="20"/>
        <v>9.0733550346858705E-2</v>
      </c>
      <c r="T36">
        <f t="shared" si="20"/>
        <v>8.60992895282644E-2</v>
      </c>
      <c r="U36">
        <f t="shared" si="20"/>
        <v>6.5314203725365561E-2</v>
      </c>
      <c r="V36">
        <f t="shared" si="20"/>
        <v>0.10484953369514649</v>
      </c>
      <c r="W36">
        <f t="shared" si="20"/>
        <v>8.2157538121878648E-3</v>
      </c>
      <c r="X36">
        <f t="shared" si="20"/>
        <v>1.2907373330943495E-2</v>
      </c>
      <c r="Y36">
        <f t="shared" si="20"/>
        <v>0.11076231787342916</v>
      </c>
      <c r="Z36">
        <f t="shared" si="20"/>
        <v>0.11430976973588525</v>
      </c>
      <c r="AA36">
        <f t="shared" si="20"/>
        <v>0.25</v>
      </c>
      <c r="AB36">
        <f t="shared" si="20"/>
        <v>0.18913513513513514</v>
      </c>
      <c r="AC36">
        <f t="shared" si="20"/>
        <v>0.16971225964816572</v>
      </c>
      <c r="AD36">
        <f t="shared" si="20"/>
        <v>-0.18387253473234233</v>
      </c>
      <c r="AE36">
        <f t="shared" si="20"/>
        <v>-0.18291509928098659</v>
      </c>
      <c r="AF36">
        <f t="shared" si="20"/>
        <v>-0.24118860579500689</v>
      </c>
      <c r="AG36">
        <f t="shared" si="20"/>
        <v>3.9935795528727169E-3</v>
      </c>
      <c r="AH36">
        <f t="shared" si="20"/>
        <v>-0.1038560686611234</v>
      </c>
      <c r="AI36">
        <f t="shared" si="20"/>
        <v>9.5047459710461579E-2</v>
      </c>
      <c r="AJ36">
        <f t="shared" si="20"/>
        <v>9.02585608830202E-2</v>
      </c>
      <c r="AK36">
        <f t="shared" si="20"/>
        <v>-6.398981882659116E-2</v>
      </c>
      <c r="AL36">
        <f t="shared" si="20"/>
        <v>-1.5422102722356335E-2</v>
      </c>
      <c r="AM36">
        <f t="shared" si="20"/>
        <v>2.4841540144456387E-2</v>
      </c>
      <c r="AN36">
        <f t="shared" si="20"/>
        <v>-6.4194278533523663E-3</v>
      </c>
      <c r="AO36">
        <f t="shared" si="20"/>
        <v>-6.6132829464156107E-3</v>
      </c>
      <c r="AP36">
        <f t="shared" si="20"/>
        <v>3.8870098095610706E-2</v>
      </c>
      <c r="AQ36">
        <f t="shared" si="20"/>
        <v>8.9766779130460383E-2</v>
      </c>
      <c r="AR36">
        <f t="shared" si="20"/>
        <v>8.1247882934760485E-2</v>
      </c>
      <c r="AS36">
        <f t="shared" si="20"/>
        <v>4.9999060168042009E-2</v>
      </c>
    </row>
    <row r="37" spans="5:45" x14ac:dyDescent="0.25">
      <c r="E37" t="s">
        <v>39</v>
      </c>
      <c r="F37">
        <f>AVERAGE(E29:F29)</f>
        <v>1.7263854463356916</v>
      </c>
      <c r="G37">
        <f t="shared" ref="G37:AS37" si="21">AVERAGE(F29:G29)</f>
        <v>-0.28348002047298887</v>
      </c>
      <c r="H37">
        <f t="shared" si="21"/>
        <v>-0.51082581107004232</v>
      </c>
      <c r="I37">
        <f t="shared" si="21"/>
        <v>0.48483413870098946</v>
      </c>
      <c r="J37">
        <f t="shared" si="21"/>
        <v>1.6885538522974997</v>
      </c>
      <c r="K37">
        <f t="shared" si="21"/>
        <v>0.61619053248817357</v>
      </c>
      <c r="L37">
        <f t="shared" si="21"/>
        <v>-0.13290108901876108</v>
      </c>
      <c r="M37">
        <f t="shared" si="21"/>
        <v>-0.14312585235361347</v>
      </c>
      <c r="N37">
        <f t="shared" si="21"/>
        <v>-0.10125796928049974</v>
      </c>
      <c r="O37">
        <f t="shared" si="21"/>
        <v>7.0311566560465555E-2</v>
      </c>
      <c r="P37">
        <f t="shared" si="21"/>
        <v>1.9024448840982311E-2</v>
      </c>
      <c r="Q37">
        <f t="shared" si="21"/>
        <v>0.2679024053931508</v>
      </c>
      <c r="R37">
        <f t="shared" si="21"/>
        <v>0.20069627875458884</v>
      </c>
      <c r="S37">
        <f t="shared" si="21"/>
        <v>-0.2814790503988393</v>
      </c>
      <c r="T37">
        <f t="shared" si="21"/>
        <v>-0.27347143078470043</v>
      </c>
      <c r="U37">
        <f t="shared" si="21"/>
        <v>1.2631138431585756</v>
      </c>
      <c r="V37">
        <f t="shared" si="21"/>
        <v>1.3644865269761177</v>
      </c>
      <c r="W37">
        <f t="shared" si="21"/>
        <v>-0.18168449556321214</v>
      </c>
      <c r="X37">
        <f t="shared" si="21"/>
        <v>-0.42993350239804912</v>
      </c>
      <c r="Y37">
        <f t="shared" si="21"/>
        <v>0.14446540747036452</v>
      </c>
      <c r="Z37">
        <f t="shared" si="21"/>
        <v>0.47740829881402136</v>
      </c>
      <c r="AA37">
        <f t="shared" si="21"/>
        <v>0.55175902944772537</v>
      </c>
      <c r="AB37">
        <f t="shared" si="21"/>
        <v>0.15642079099132572</v>
      </c>
      <c r="AC37">
        <f t="shared" si="21"/>
        <v>-0.25562984463218008</v>
      </c>
      <c r="AD37">
        <f t="shared" si="21"/>
        <v>-0.64100962566883801</v>
      </c>
      <c r="AE37">
        <f t="shared" si="21"/>
        <v>-8.1749735453436934</v>
      </c>
      <c r="AF37">
        <f t="shared" si="21"/>
        <v>-7.5127576502794327</v>
      </c>
      <c r="AG37">
        <f t="shared" si="21"/>
        <v>0.34221664784561956</v>
      </c>
      <c r="AH37">
        <f t="shared" si="21"/>
        <v>0.18470500430965558</v>
      </c>
      <c r="AI37">
        <f t="shared" si="21"/>
        <v>-0.22647290369230699</v>
      </c>
      <c r="AJ37">
        <f t="shared" si="21"/>
        <v>-0.28432006238159185</v>
      </c>
      <c r="AK37">
        <f t="shared" si="21"/>
        <v>-0.12111894140006463</v>
      </c>
      <c r="AL37">
        <f t="shared" si="21"/>
        <v>0.50943548581567211</v>
      </c>
      <c r="AM37">
        <f t="shared" si="21"/>
        <v>0.20490887186770934</v>
      </c>
      <c r="AN37">
        <f t="shared" si="21"/>
        <v>0.67301286038580577</v>
      </c>
      <c r="AO37">
        <f t="shared" si="21"/>
        <v>0.95786626754247539</v>
      </c>
      <c r="AP37">
        <f t="shared" si="21"/>
        <v>-8.6695954061069447E-2</v>
      </c>
      <c r="AQ37">
        <f t="shared" si="21"/>
        <v>0.32506173595182825</v>
      </c>
      <c r="AR37">
        <f t="shared" si="21"/>
        <v>0.27895374567399811</v>
      </c>
      <c r="AS37">
        <f t="shared" si="21"/>
        <v>-8.3492837078341098E-2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"/>
  <sheetViews>
    <sheetView workbookViewId="0"/>
  </sheetViews>
  <sheetFormatPr defaultRowHeight="15" x14ac:dyDescent="0.25"/>
  <sheetData>
    <row r="1" spans="1:4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T1">
        <v>6892816</v>
      </c>
      <c r="U1">
        <v>8406838</v>
      </c>
      <c r="V1">
        <v>10119001</v>
      </c>
      <c r="W1">
        <v>12095108</v>
      </c>
      <c r="X1">
        <v>14006447</v>
      </c>
      <c r="Y1">
        <v>7449206</v>
      </c>
      <c r="Z1">
        <v>10333358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</row>
    <row r="2" spans="1:49" x14ac:dyDescent="0.25">
      <c r="A2" t="s">
        <v>13</v>
      </c>
      <c r="B2" t="s">
        <v>7</v>
      </c>
      <c r="C2" t="s">
        <v>15</v>
      </c>
      <c r="D2" t="s">
        <v>9</v>
      </c>
      <c r="E2" t="s">
        <v>10</v>
      </c>
      <c r="F2" t="s">
        <v>14</v>
      </c>
      <c r="G2" t="s">
        <v>12</v>
      </c>
      <c r="T2">
        <v>13930752</v>
      </c>
      <c r="U2">
        <v>3900928</v>
      </c>
      <c r="V2">
        <v>6057327</v>
      </c>
      <c r="W2">
        <v>12095108</v>
      </c>
      <c r="X2">
        <v>14006447</v>
      </c>
      <c r="Y2">
        <v>7449206</v>
      </c>
      <c r="Z2">
        <v>10333358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 t="s">
        <v>18</v>
      </c>
      <c r="B3" t="s">
        <v>7</v>
      </c>
      <c r="C3" t="s">
        <v>19</v>
      </c>
      <c r="D3" t="s">
        <v>9</v>
      </c>
      <c r="E3" t="s">
        <v>10</v>
      </c>
      <c r="F3" t="s">
        <v>14</v>
      </c>
      <c r="G3" t="s">
        <v>12</v>
      </c>
      <c r="T3">
        <v>13930752</v>
      </c>
      <c r="U3">
        <v>8406838</v>
      </c>
      <c r="V3">
        <v>10119001</v>
      </c>
      <c r="W3">
        <v>12095108</v>
      </c>
      <c r="X3">
        <v>14006447</v>
      </c>
      <c r="Y3">
        <v>7449206</v>
      </c>
      <c r="Z3">
        <v>10333358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B8300B3AF1B47816F117AB132B39B" ma:contentTypeVersion="10" ma:contentTypeDescription="Create a new document." ma:contentTypeScope="" ma:versionID="9ddd8332b2f2c4a6681adf5c11ec9624">
  <xsd:schema xmlns:xsd="http://www.w3.org/2001/XMLSchema" xmlns:xs="http://www.w3.org/2001/XMLSchema" xmlns:p="http://schemas.microsoft.com/office/2006/metadata/properties" xmlns:ns3="9b00c0b4-e938-4f71-ab94-f7b193f91a70" targetNamespace="http://schemas.microsoft.com/office/2006/metadata/properties" ma:root="true" ma:fieldsID="f538849a4e2db9465f26668d380212fe" ns3:_="">
    <xsd:import namespace="9b00c0b4-e938-4f71-ab94-f7b193f91a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0c0b4-e938-4f71-ab94-f7b193f91a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339D4-2BC8-48D1-B248-8535DA41B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0c0b4-e938-4f71-ab94-f7b193f91a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D3CA57-5F90-4E4A-93EB-D9EF96FF89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C87B53-7266-4E79-8414-9A586F0AC413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9b00c0b4-e938-4f71-ab94-f7b193f91a70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LPRIS35</vt:lpstr>
      <vt:lpstr>Ark1</vt:lpstr>
      <vt:lpstr>DiagramInfo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Bolding Pedersen</dc:creator>
  <cp:lastModifiedBy>Peter Stephensen</cp:lastModifiedBy>
  <dcterms:created xsi:type="dcterms:W3CDTF">2025-11-19T14:02:50Z</dcterms:created>
  <dcterms:modified xsi:type="dcterms:W3CDTF">2026-02-05T15:47:23Z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0x0101008D7B8300B3AF1B47816F117AB132B39B</vt:lpwstr>
  </property>
</Properties>
</file>