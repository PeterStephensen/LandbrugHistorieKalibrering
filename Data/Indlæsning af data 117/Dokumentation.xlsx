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4" activeTab="7" autoFilterDateGrouping="1"/>
  </bookViews>
  <sheets>
    <sheet xmlns:r="http://schemas.openxmlformats.org/officeDocument/2006/relationships" name="Figurer" sheetId="1" state="visible" r:id="rId1"/>
    <sheet xmlns:r="http://schemas.openxmlformats.org/officeDocument/2006/relationships" name="Produktivitetsudvikling" sheetId="2" state="visible" r:id="rId2"/>
    <sheet xmlns:r="http://schemas.openxmlformats.org/officeDocument/2006/relationships" name="Produktivitetsudvikling (2)" sheetId="3" state="visible" r:id="rId3"/>
    <sheet xmlns:r="http://schemas.openxmlformats.org/officeDocument/2006/relationships" name="010000" sheetId="4" state="visible" r:id="rId4"/>
    <sheet xmlns:r="http://schemas.openxmlformats.org/officeDocument/2006/relationships" name="100010" sheetId="5" state="visible" r:id="rId5"/>
    <sheet xmlns:r="http://schemas.openxmlformats.org/officeDocument/2006/relationships" name="100030" sheetId="6" state="visible" r:id="rId6"/>
    <sheet xmlns:r="http://schemas.openxmlformats.org/officeDocument/2006/relationships" name="Anden fødevareindustri" sheetId="7" state="visible" r:id="rId7"/>
    <sheet xmlns:r="http://schemas.openxmlformats.org/officeDocument/2006/relationships" name="Resten" sheetId="8" state="visible" r:id="rId8"/>
    <sheet xmlns:r="http://schemas.openxmlformats.org/officeDocument/2006/relationships" name="Y" sheetId="9" state="visible" r:id="rId9"/>
    <sheet xmlns:r="http://schemas.openxmlformats.org/officeDocument/2006/relationships" name="BVT" sheetId="10" state="visible" r:id="rId10"/>
    <sheet xmlns:r="http://schemas.openxmlformats.org/officeDocument/2006/relationships" name="Mtot" sheetId="11" state="visible" r:id="rId11"/>
    <sheet xmlns:r="http://schemas.openxmlformats.org/officeDocument/2006/relationships" name="K" sheetId="12" state="visible" r:id="rId12"/>
    <sheet xmlns:r="http://schemas.openxmlformats.org/officeDocument/2006/relationships" name="K_BVT" sheetId="13" state="visible" r:id="rId13"/>
    <sheet xmlns:r="http://schemas.openxmlformats.org/officeDocument/2006/relationships" name="L" sheetId="14" state="visible" r:id="rId14"/>
    <sheet xmlns:r="http://schemas.openxmlformats.org/officeDocument/2006/relationships" name="J" sheetId="15" state="visible" r:id="rId15"/>
    <sheet xmlns:r="http://schemas.openxmlformats.org/officeDocument/2006/relationships" name="P" sheetId="16" state="visible" r:id="rId16"/>
    <sheet xmlns:r="http://schemas.openxmlformats.org/officeDocument/2006/relationships" name="w" sheetId="17" state="visible" r:id="rId17"/>
    <sheet xmlns:r="http://schemas.openxmlformats.org/officeDocument/2006/relationships" name="P_K" sheetId="18" state="visible" r:id="rId18"/>
    <sheet xmlns:r="http://schemas.openxmlformats.org/officeDocument/2006/relationships" name="KL" sheetId="19" state="visible" r:id="rId19"/>
    <sheet xmlns:r="http://schemas.openxmlformats.org/officeDocument/2006/relationships" name="JKL" sheetId="20" state="visible" r:id="rId20"/>
    <sheet xmlns:r="http://schemas.openxmlformats.org/officeDocument/2006/relationships" name="P_KL" sheetId="21" state="visible" r:id="rId21"/>
    <sheet xmlns:r="http://schemas.openxmlformats.org/officeDocument/2006/relationships" name="P_JKL" sheetId="22" state="visible" r:id="rId22"/>
    <sheet xmlns:r="http://schemas.openxmlformats.org/officeDocument/2006/relationships" name="P_O" sheetId="23" state="visible" r:id="rId23"/>
    <sheet xmlns:r="http://schemas.openxmlformats.org/officeDocument/2006/relationships" name="mu_Y_Mtot" sheetId="24" state="visible" r:id="rId24"/>
    <sheet xmlns:r="http://schemas.openxmlformats.org/officeDocument/2006/relationships" name="mu_Y_KL" sheetId="25" state="visible" r:id="rId25"/>
    <sheet xmlns:r="http://schemas.openxmlformats.org/officeDocument/2006/relationships" name="mu_Y_JKL" sheetId="26" state="visible" r:id="rId26"/>
    <sheet xmlns:r="http://schemas.openxmlformats.org/officeDocument/2006/relationships" name="mu_JKL_J" sheetId="27" state="visible" r:id="rId27"/>
    <sheet xmlns:r="http://schemas.openxmlformats.org/officeDocument/2006/relationships" name="mu_JKL_KL" sheetId="28" state="visible" r:id="rId28"/>
    <sheet xmlns:r="http://schemas.openxmlformats.org/officeDocument/2006/relationships" name="mu_KL_K" sheetId="29" state="visible" r:id="rId29"/>
    <sheet xmlns:r="http://schemas.openxmlformats.org/officeDocument/2006/relationships" name="mu_KL_L" sheetId="30" state="visible" r:id="rId30"/>
    <sheet xmlns:r="http://schemas.openxmlformats.org/officeDocument/2006/relationships" name="markup" sheetId="31" state="visible" r:id="rId31"/>
    <sheet xmlns:r="http://schemas.openxmlformats.org/officeDocument/2006/relationships" name="tau_Y" sheetId="32" state="visible" r:id="rId32"/>
    <sheet xmlns:r="http://schemas.openxmlformats.org/officeDocument/2006/relationships" name="theta_Y_Mtot" sheetId="33" state="visible" r:id="rId33"/>
    <sheet xmlns:r="http://schemas.openxmlformats.org/officeDocument/2006/relationships" name="theta_Y_KL" sheetId="34" state="visible" r:id="rId34"/>
    <sheet xmlns:r="http://schemas.openxmlformats.org/officeDocument/2006/relationships" name="theta_Y_JKL" sheetId="35" state="visible" r:id="rId35"/>
    <sheet xmlns:r="http://schemas.openxmlformats.org/officeDocument/2006/relationships" name="theta_KL_K" sheetId="36" state="visible" r:id="rId36"/>
    <sheet xmlns:r="http://schemas.openxmlformats.org/officeDocument/2006/relationships" name="Ark2" sheetId="37" state="visible" r:id="rId37"/>
    <sheet xmlns:r="http://schemas.openxmlformats.org/officeDocument/2006/relationships" name="theta_KL_L" sheetId="38" state="visible" r:id="rId38"/>
    <sheet xmlns:r="http://schemas.openxmlformats.org/officeDocument/2006/relationships" name="theta_Mtot_M" sheetId="39" state="visible" r:id="rId39"/>
    <sheet xmlns:r="http://schemas.openxmlformats.org/officeDocument/2006/relationships" name="theta_MD" sheetId="40" state="visible" r:id="rId40"/>
    <sheet xmlns:r="http://schemas.openxmlformats.org/officeDocument/2006/relationships" name="theta_MF" sheetId="41" state="visible" r:id="rId41"/>
    <sheet xmlns:r="http://schemas.openxmlformats.org/officeDocument/2006/relationships" name="theta_JKL_J" sheetId="42" state="visible" r:id="rId42"/>
    <sheet xmlns:r="http://schemas.openxmlformats.org/officeDocument/2006/relationships" name="theta_JKL_KL" sheetId="43" state="visible" r:id="rId43"/>
    <sheet xmlns:r="http://schemas.openxmlformats.org/officeDocument/2006/relationships" name="P_Mtot" sheetId="44" state="visible" r:id="rId44"/>
    <sheet xmlns:r="http://schemas.openxmlformats.org/officeDocument/2006/relationships" name="P_J" sheetId="45" state="visible" r:id="rId45"/>
    <sheet xmlns:r="http://schemas.openxmlformats.org/officeDocument/2006/relationships" name="tau_MD" sheetId="46" state="visible" r:id="rId46"/>
    <sheet xmlns:r="http://schemas.openxmlformats.org/officeDocument/2006/relationships" name="tau_MF" sheetId="47" state="visible" r:id="rId47"/>
    <sheet xmlns:r="http://schemas.openxmlformats.org/officeDocument/2006/relationships" name="P_Jord" sheetId="48" state="visible" r:id="rId48"/>
    <sheet xmlns:r="http://schemas.openxmlformats.org/officeDocument/2006/relationships" name="P_I" sheetId="49" state="visible" r:id="rId49"/>
    <sheet xmlns:r="http://schemas.openxmlformats.org/officeDocument/2006/relationships" name="I" sheetId="50" state="visible" r:id="rId5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Figurer!$B$4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Figurer!$C$4:$AF$4</f>
              <numCache>
                <formatCode>General</formatCode>
                <ptCount val="30"/>
                <pt idx="0">
                  <v>3.807725297944511</v>
                </pt>
                <pt idx="1">
                  <v>3.796342173513051</v>
                </pt>
                <pt idx="2">
                  <v>3.711740450387963</v>
                </pt>
                <pt idx="3">
                  <v>3.638580616236343</v>
                </pt>
                <pt idx="4">
                  <v>3.511900353295786</v>
                </pt>
                <pt idx="5">
                  <v>3.429595103989583</v>
                </pt>
                <pt idx="6">
                  <v>3.331187238642229</v>
                </pt>
                <pt idx="7">
                  <v>3.251199482442017</v>
                </pt>
                <pt idx="8">
                  <v>3.29217609206219</v>
                </pt>
                <pt idx="9">
                  <v>3.219858104743313</v>
                </pt>
                <pt idx="10">
                  <v>3.186110411371252</v>
                </pt>
                <pt idx="11">
                  <v>3.122086741853903</v>
                </pt>
                <pt idx="12">
                  <v>3.163065530042851</v>
                </pt>
                <pt idx="13">
                  <v>3.118860660104966</v>
                </pt>
                <pt idx="14">
                  <v>3.023375968377628</v>
                </pt>
                <pt idx="15">
                  <v>3.31267546373636</v>
                </pt>
                <pt idx="16">
                  <v>3.254497085526446</v>
                </pt>
                <pt idx="17">
                  <v>3.026633445587936</v>
                </pt>
                <pt idx="18">
                  <v>3.019682522892581</v>
                </pt>
                <pt idx="19">
                  <v>2.899990613357994</v>
                </pt>
                <pt idx="20">
                  <v>2.898626796247439</v>
                </pt>
                <pt idx="21">
                  <v>2.718229918890087</v>
                </pt>
                <pt idx="22">
                  <v>2.717667300254749</v>
                </pt>
                <pt idx="23">
                  <v>2.744555700712414</v>
                </pt>
                <pt idx="24">
                  <v>2.580634818047141</v>
                </pt>
                <pt idx="25">
                  <v>2.562021699342381</v>
                </pt>
                <pt idx="26">
                  <v>2.560457969963092</v>
                </pt>
                <pt idx="27">
                  <v>2.441061235205009</v>
                </pt>
                <pt idx="28">
                  <v>2.352122043578108</v>
                </pt>
                <pt idx="29">
                  <v>2.339808758033594</v>
                </pt>
              </numCache>
            </numRef>
          </val>
          <smooth val="0"/>
        </ser>
        <ser>
          <idx val="1"/>
          <order val="1"/>
          <tx>
            <strRef>
              <f>Figurer!$B$5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Figurer!$C$5:$AF$5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2"/>
          <order val="2"/>
          <tx>
            <strRef>
              <f>Figurer!$B$6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Figurer!$C$6:$AF$6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3"/>
          <order val="3"/>
          <tx>
            <strRef>
              <f>Figurer!$B$7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Figurer!$C$7:$AF$7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4"/>
          <order val="4"/>
          <tx>
            <strRef>
              <f>Figurer!$B$8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Figurer!$C$8:$AF$8</f>
              <numCache>
                <formatCode>General</formatCode>
                <ptCount val="30"/>
                <pt idx="0">
                  <v>2.471286858231498</v>
                </pt>
                <pt idx="1">
                  <v>2.356268070288201</v>
                </pt>
                <pt idx="2">
                  <v>2.289878988883978</v>
                </pt>
                <pt idx="3">
                  <v>2.238497657545603</v>
                </pt>
                <pt idx="4">
                  <v>2.195622561512022</v>
                </pt>
                <pt idx="5">
                  <v>2.167260959725699</v>
                </pt>
                <pt idx="6">
                  <v>2.099530924414772</v>
                </pt>
                <pt idx="7">
                  <v>2.026492653618889</v>
                </pt>
                <pt idx="8">
                  <v>2.003132788083614</v>
                </pt>
                <pt idx="9">
                  <v>2.003615572251875</v>
                </pt>
                <pt idx="10">
                  <v>2.021331067129118</v>
                </pt>
                <pt idx="11">
                  <v>1.997307036608077</v>
                </pt>
                <pt idx="12">
                  <v>1.918008755753288</v>
                </pt>
                <pt idx="13">
                  <v>1.855456841472991</v>
                </pt>
                <pt idx="14">
                  <v>1.836084183984544</v>
                </pt>
                <pt idx="15">
                  <v>1.842544746030851</v>
                </pt>
                <pt idx="16">
                  <v>1.988266347165367</v>
                </pt>
                <pt idx="17">
                  <v>1.991896374657193</v>
                </pt>
                <pt idx="18">
                  <v>1.946120095105505</v>
                </pt>
                <pt idx="19">
                  <v>1.938790862975788</v>
                </pt>
                <pt idx="20">
                  <v>1.94713030612672</v>
                </pt>
                <pt idx="21">
                  <v>1.924377773000174</v>
                </pt>
                <pt idx="22">
                  <v>1.896593595093144</v>
                </pt>
                <pt idx="23">
                  <v>1.854860849905613</v>
                </pt>
                <pt idx="24">
                  <v>1.838766129841685</v>
                </pt>
                <pt idx="25">
                  <v>1.834498307335257</v>
                </pt>
                <pt idx="26">
                  <v>1.832456215510369</v>
                </pt>
                <pt idx="27">
                  <v>1.909759525793893</v>
                </pt>
                <pt idx="28">
                  <v>1.831908439641152</v>
                </pt>
                <pt idx="29">
                  <v>1.819368121700852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Figurer!$B$11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Figurer!$C$11:$AF$11</f>
              <numCache>
                <formatCode>General</formatCode>
                <ptCount val="30"/>
                <pt idx="0">
                  <v>0.002957106190034187</v>
                </pt>
                <pt idx="1">
                  <v>0.002720224890024772</v>
                </pt>
                <pt idx="2">
                  <v>0.002593870557513843</v>
                </pt>
                <pt idx="3">
                  <v>0.002462254859023013</v>
                </pt>
                <pt idx="4">
                  <v>0.002249059330487143</v>
                </pt>
                <pt idx="5">
                  <v>0.002198113169920507</v>
                </pt>
                <pt idx="6">
                  <v>0.002081078101784327</v>
                </pt>
                <pt idx="7">
                  <v>0.002001229860938585</v>
                </pt>
                <pt idx="8">
                  <v>0.001976181280994977</v>
                </pt>
                <pt idx="9">
                  <v>0.001952567131218233</v>
                </pt>
                <pt idx="10">
                  <v>0.001798618703009682</v>
                </pt>
                <pt idx="11">
                  <v>0.001762805753684504</v>
                </pt>
                <pt idx="12">
                  <v>0.001692650525112263</v>
                </pt>
                <pt idx="13">
                  <v>0.001559833668050461</v>
                </pt>
                <pt idx="14">
                  <v>0.001449863716486311</v>
                </pt>
                <pt idx="15">
                  <v>0.001495998900721448</v>
                </pt>
                <pt idx="16">
                  <v>0.001387964906889663</v>
                </pt>
                <pt idx="17">
                  <v>0.00127489873681684</v>
                </pt>
                <pt idx="18">
                  <v>0.001280283810605583</v>
                </pt>
                <pt idx="19">
                  <v>0.001232995253807751</v>
                </pt>
                <pt idx="20">
                  <v>0.001237885562569385</v>
                </pt>
                <pt idx="21">
                  <v>0.001190398999343481</v>
                </pt>
                <pt idx="22">
                  <v>0.00123047958244574</v>
                </pt>
                <pt idx="23">
                  <v>0.001191072329811083</v>
                </pt>
                <pt idx="24">
                  <v>0.00114566021286891</v>
                </pt>
                <pt idx="25">
                  <v>0.001128661270906246</v>
                </pt>
                <pt idx="26">
                  <v>0.001084437361669352</v>
                </pt>
                <pt idx="27">
                  <v>0.001061941261170584</v>
                </pt>
                <pt idx="28">
                  <v>0.001052232022549312</v>
                </pt>
                <pt idx="29">
                  <v>0.00103692862295441</v>
                </pt>
              </numCache>
            </numRef>
          </val>
          <smooth val="0"/>
        </ser>
        <ser>
          <idx val="1"/>
          <order val="1"/>
          <tx>
            <strRef>
              <f>Figurer!$B$12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Figurer!$C$12:$AF$12</f>
              <numCache>
                <formatCode>General</formatCode>
                <ptCount val="30"/>
                <pt idx="0">
                  <v>0.0009165744344136659</v>
                </pt>
                <pt idx="1">
                  <v>0.0008747573737346571</v>
                </pt>
                <pt idx="2">
                  <v>0.0009837378249016829</v>
                </pt>
                <pt idx="3">
                  <v>0.0009800574928423194</v>
                </pt>
                <pt idx="4">
                  <v>0.0009309370438217342</v>
                </pt>
                <pt idx="5">
                  <v>0.0008283709016333782</v>
                </pt>
                <pt idx="6">
                  <v>0.0008195637971882389</v>
                </pt>
                <pt idx="7">
                  <v>0.0008320598814069088</v>
                </pt>
                <pt idx="8">
                  <v>0.0008157834274004495</v>
                </pt>
                <pt idx="9">
                  <v>0.0008437949909888712</v>
                </pt>
                <pt idx="10">
                  <v>0.0008117607770234971</v>
                </pt>
                <pt idx="11">
                  <v>0.0007749335352792655</v>
                </pt>
                <pt idx="12">
                  <v>0.0006676420791289034</v>
                </pt>
                <pt idx="13">
                  <v>0.000647367518464588</v>
                </pt>
                <pt idx="14">
                  <v>0.0006400981753888471</v>
                </pt>
                <pt idx="15">
                  <v>0.0006327738060680585</v>
                </pt>
                <pt idx="16">
                  <v>0.0006000178403099177</v>
                </pt>
                <pt idx="17">
                  <v>0.0005798031888558353</v>
                </pt>
                <pt idx="18">
                  <v>0.0005538268289696364</v>
                </pt>
                <pt idx="19">
                  <v>0.0005653607659073073</v>
                </pt>
                <pt idx="20">
                  <v>0.0005205330595353712</v>
                </pt>
                <pt idx="21">
                  <v>0.0004890841953441732</v>
                </pt>
                <pt idx="22">
                  <v>0.0004558996091336812</v>
                </pt>
                <pt idx="23">
                  <v>0.0004556987058993277</v>
                </pt>
                <pt idx="24">
                  <v>0.0004364632995071289</v>
                </pt>
                <pt idx="25">
                  <v>0.0004391745894643685</v>
                </pt>
                <pt idx="26">
                  <v>0.0004022457246945267</v>
                </pt>
                <pt idx="27">
                  <v>0.000448367409101907</v>
                </pt>
                <pt idx="28">
                  <v>0.0004052940690036969</v>
                </pt>
                <pt idx="29">
                  <v>0.0004336864244196906</v>
                </pt>
              </numCache>
            </numRef>
          </val>
          <smooth val="0"/>
        </ser>
        <ser>
          <idx val="2"/>
          <order val="2"/>
          <tx>
            <strRef>
              <f>Figurer!$B$13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Figurer!$C$13:$AF$13</f>
              <numCache>
                <formatCode>General</formatCode>
                <ptCount val="30"/>
                <pt idx="0">
                  <v>0.0004933284338617142</v>
                </pt>
                <pt idx="1">
                  <v>0.0004958567966273521</v>
                </pt>
                <pt idx="2">
                  <v>0.0004954420396644662</v>
                </pt>
                <pt idx="3">
                  <v>0.0005002339581080713</v>
                </pt>
                <pt idx="4">
                  <v>0.0004750738214271324</v>
                </pt>
                <pt idx="5">
                  <v>0.0004698778514928411</v>
                </pt>
                <pt idx="6">
                  <v>0.0004745433026432389</v>
                </pt>
                <pt idx="7">
                  <v>0.000503444916779597</v>
                </pt>
                <pt idx="8">
                  <v>0.0004945544151234446</v>
                </pt>
                <pt idx="9">
                  <v>0.0005344644636664489</v>
                </pt>
                <pt idx="10">
                  <v>0.0005000744941301004</v>
                </pt>
                <pt idx="11">
                  <v>0.0004845288203634048</v>
                </pt>
                <pt idx="12">
                  <v>0.0004327731510094097</v>
                </pt>
                <pt idx="13">
                  <v>0.0003767288599273421</v>
                </pt>
                <pt idx="14">
                  <v>0.0003614721800170147</v>
                </pt>
                <pt idx="15">
                  <v>0.0003680410724113249</v>
                </pt>
                <pt idx="16">
                  <v>0.0003732392822828317</v>
                </pt>
                <pt idx="17">
                  <v>0.0003738857981415556</v>
                </pt>
                <pt idx="18">
                  <v>0.0003399574100983414</v>
                </pt>
                <pt idx="19">
                  <v>0.0003255694461783333</v>
                </pt>
                <pt idx="20">
                  <v>0.0002967675599950783</v>
                </pt>
                <pt idx="21">
                  <v>0.0002406419714187968</v>
                </pt>
                <pt idx="22">
                  <v>0.0002223088887198519</v>
                </pt>
                <pt idx="23">
                  <v>0.0002526159941980184</v>
                </pt>
                <pt idx="24">
                  <v>0.0002150457161757119</v>
                </pt>
                <pt idx="25">
                  <v>0.0001878691825259309</v>
                </pt>
                <pt idx="26">
                  <v>0.0002180069137313549</v>
                </pt>
                <pt idx="27">
                  <v>0.0002419783347220353</v>
                </pt>
                <pt idx="28">
                  <v>0.0002492205460742376</v>
                </pt>
                <pt idx="29">
                  <v>0.0002027434642688191</v>
                </pt>
              </numCache>
            </numRef>
          </val>
          <smooth val="0"/>
        </ser>
        <ser>
          <idx val="3"/>
          <order val="3"/>
          <tx>
            <strRef>
              <f>Figurer!$B$14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Figurer!$C$14:$AF$14</f>
              <numCache>
                <formatCode>General</formatCode>
                <ptCount val="30"/>
                <pt idx="0">
                  <v>0.001205336005367103</v>
                </pt>
                <pt idx="1">
                  <v>0.001162187256710179</v>
                </pt>
                <pt idx="2">
                  <v>0.001121142808828828</v>
                </pt>
                <pt idx="3">
                  <v>0.001138211047138572</v>
                </pt>
                <pt idx="4">
                  <v>0.001110995009836422</v>
                </pt>
                <pt idx="5">
                  <v>0.001089310774782404</v>
                </pt>
                <pt idx="6">
                  <v>0.001061492608577413</v>
                </pt>
                <pt idx="7">
                  <v>0.001066658255056115</v>
                </pt>
                <pt idx="8">
                  <v>0.001030052344918313</v>
                </pt>
                <pt idx="9">
                  <v>0.000932383693624339</v>
                </pt>
                <pt idx="10">
                  <v>0.0008743507456269911</v>
                </pt>
                <pt idx="11">
                  <v>0.0008128915868126389</v>
                </pt>
                <pt idx="12">
                  <v>0.0007380949551183914</v>
                </pt>
                <pt idx="13">
                  <v>0.0007557530179467778</v>
                </pt>
                <pt idx="14">
                  <v>0.0006977963062630822</v>
                </pt>
                <pt idx="15">
                  <v>0.0007094844433531818</v>
                </pt>
                <pt idx="16">
                  <v>0.0007076537693683032</v>
                </pt>
                <pt idx="17">
                  <v>0.0007254822569136266</v>
                </pt>
                <pt idx="18">
                  <v>0.0006955370990626528</v>
                </pt>
                <pt idx="19">
                  <v>0.0006826812268194102</v>
                </pt>
                <pt idx="20">
                  <v>0.0006612665941142205</v>
                </pt>
                <pt idx="21">
                  <v>0.0006352905713581964</v>
                </pt>
                <pt idx="22">
                  <v>0.0006165323430285072</v>
                </pt>
                <pt idx="23">
                  <v>0.0005939350319334641</v>
                </pt>
                <pt idx="24">
                  <v>0.0006077267707511338</v>
                </pt>
                <pt idx="25">
                  <v>0.0005926235959183155</v>
                </pt>
                <pt idx="26">
                  <v>0.0005689385198015678</v>
                </pt>
                <pt idx="27">
                  <v>0.0005636611468032173</v>
                </pt>
                <pt idx="28">
                  <v>0.000578233810647383</v>
                </pt>
                <pt idx="29">
                  <v>0.0005599128644562397</v>
                </pt>
              </numCache>
            </numRef>
          </val>
          <smooth val="0"/>
        </ser>
        <ser>
          <idx val="4"/>
          <order val="4"/>
          <tx>
            <strRef>
              <f>Figurer!$B$15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Figurer!$C$10:$AF$10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Figurer!$C$15:$AF$15</f>
              <numCache>
                <formatCode>General</formatCode>
                <ptCount val="30"/>
                <pt idx="0">
                  <v>0.001624065466902518</v>
                </pt>
                <pt idx="1">
                  <v>0.00153278085397061</v>
                </pt>
                <pt idx="2">
                  <v>0.001502659807081931</v>
                </pt>
                <pt idx="3">
                  <v>0.001463837508350555</v>
                </pt>
                <pt idx="4">
                  <v>0.001459500387109682</v>
                </pt>
                <pt idx="5">
                  <v>0.001453889715218356</v>
                </pt>
                <pt idx="6">
                  <v>0.001423090675983824</v>
                </pt>
                <pt idx="7">
                  <v>0.001372592809757289</v>
                </pt>
                <pt idx="8">
                  <v>0.001356024910948098</v>
                </pt>
                <pt idx="9">
                  <v>0.001335828012338454</v>
                </pt>
                <pt idx="10">
                  <v>0.001319754795253806</v>
                </pt>
                <pt idx="11">
                  <v>0.001283044138123184</v>
                </pt>
                <pt idx="12">
                  <v>0.00122937338245749</v>
                </pt>
                <pt idx="13">
                  <v>0.001195557707524355</v>
                </pt>
                <pt idx="14">
                  <v>0.001169454936015068</v>
                </pt>
                <pt idx="15">
                  <v>0.001170604407984434</v>
                </pt>
                <pt idx="16">
                  <v>0.001204497942892269</v>
                </pt>
                <pt idx="17">
                  <v>0.001180076905340092</v>
                </pt>
                <pt idx="18">
                  <v>0.001160869814448711</v>
                </pt>
                <pt idx="19">
                  <v>0.001131883019409388</v>
                </pt>
                <pt idx="20">
                  <v>0.001132924320550143</v>
                </pt>
                <pt idx="21">
                  <v>0.001107238730932426</v>
                </pt>
                <pt idx="22">
                  <v>0.001089846433125057</v>
                </pt>
                <pt idx="23">
                  <v>0.001073051778708929</v>
                </pt>
                <pt idx="24">
                  <v>0.001056479493493938</v>
                </pt>
                <pt idx="25">
                  <v>0.001035023579707287</v>
                </pt>
                <pt idx="26">
                  <v>0.001029082934832994</v>
                </pt>
                <pt idx="27">
                  <v>0.001018764509692675</v>
                </pt>
                <pt idx="28">
                  <v>0.001013565593575286</v>
                </pt>
                <pt idx="29">
                  <v>0.001024457385750039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Figurer!$B$10</f>
              <strCache>
                <ptCount val="1"/>
                <pt idx="0">
                  <v>Arbejdskraft-output-ratio (L/Y)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Figurer!$B$18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Figurer!$C$18:$AF$18</f>
              <numCache>
                <formatCode>General</formatCode>
                <ptCount val="30"/>
                <pt idx="0">
                  <v>0.7660940304330199</v>
                </pt>
                <pt idx="1">
                  <v>0.745173300250125</v>
                </pt>
                <pt idx="2">
                  <v>0.7183582911654159</v>
                </pt>
                <pt idx="3">
                  <v>0.7014622043530576</v>
                </pt>
                <pt idx="4">
                  <v>0.7066537293379773</v>
                </pt>
                <pt idx="5">
                  <v>0.714148856045737</v>
                </pt>
                <pt idx="6">
                  <v>0.7251340396439346</v>
                </pt>
                <pt idx="7">
                  <v>0.6897723944785377</v>
                </pt>
                <pt idx="8">
                  <v>0.6739901786752583</v>
                </pt>
                <pt idx="9">
                  <v>0.6935563336177279</v>
                </pt>
                <pt idx="10">
                  <v>0.673575818764831</v>
                </pt>
                <pt idx="11">
                  <v>0.668967855383186</v>
                </pt>
                <pt idx="12">
                  <v>0.6737002900740476</v>
                </pt>
                <pt idx="13">
                  <v>0.6674841081992093</v>
                </pt>
                <pt idx="14">
                  <v>0.6394021240917748</v>
                </pt>
                <pt idx="15">
                  <v>0.7012388242480223</v>
                </pt>
                <pt idx="16">
                  <v>0.7097889050804976</v>
                </pt>
                <pt idx="17">
                  <v>0.6608476193781528</v>
                </pt>
                <pt idx="18">
                  <v>0.6844641795559606</v>
                </pt>
                <pt idx="19">
                  <v>0.6586667757199968</v>
                </pt>
                <pt idx="20">
                  <v>0.6782979583881225</v>
                </pt>
                <pt idx="21">
                  <v>0.6376548060226628</v>
                </pt>
                <pt idx="22">
                  <v>0.6792746229714762</v>
                </pt>
                <pt idx="23">
                  <v>0.7027471109901169</v>
                </pt>
                <pt idx="24">
                  <v>0.6766739794416522</v>
                </pt>
                <pt idx="25">
                  <v>0.6812199436765362</v>
                </pt>
                <pt idx="26">
                  <v>0.6575392785013953</v>
                </pt>
                <pt idx="27">
                  <v>0.6633603222597335</v>
                </pt>
                <pt idx="28">
                  <v>0.6488258580900595</v>
                </pt>
                <pt idx="29">
                  <v>0.6665858882200117</v>
                </pt>
              </numCache>
            </numRef>
          </val>
          <smooth val="0"/>
        </ser>
        <ser>
          <idx val="1"/>
          <order val="1"/>
          <tx>
            <strRef>
              <f>Figurer!$B$19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Figurer!$C$19:$AF$19</f>
              <numCache>
                <formatCode>General</formatCode>
                <ptCount val="30"/>
                <pt idx="0">
                  <v>0.9496528933584665</v>
                </pt>
                <pt idx="1">
                  <v>0.958966977673296</v>
                </pt>
                <pt idx="2">
                  <v>0.9432053120391053</v>
                </pt>
                <pt idx="3">
                  <v>0.9462036808700326</v>
                </pt>
                <pt idx="4">
                  <v>0.9469010492799728</v>
                </pt>
                <pt idx="5">
                  <v>0.9200280786390896</v>
                </pt>
                <pt idx="6">
                  <v>0.8855632299189771</v>
                </pt>
                <pt idx="7">
                  <v>0.9305900645970947</v>
                </pt>
                <pt idx="8">
                  <v>0.891319806166351</v>
                </pt>
                <pt idx="9">
                  <v>0.9608646601197105</v>
                </pt>
                <pt idx="10">
                  <v>0.942606921925869</v>
                </pt>
                <pt idx="11">
                  <v>0.913010846091223</v>
                </pt>
                <pt idx="12">
                  <v>0.9428605748671121</v>
                </pt>
                <pt idx="13">
                  <v>0.9302482461287764</v>
                </pt>
                <pt idx="14">
                  <v>0.9746766052478002</v>
                </pt>
                <pt idx="15">
                  <v>0.9629564244696854</v>
                </pt>
                <pt idx="16">
                  <v>0.9558226864368422</v>
                </pt>
                <pt idx="17">
                  <v>0.9494235065613978</v>
                </pt>
                <pt idx="18">
                  <v>0.9395605755466527</v>
                </pt>
                <pt idx="19">
                  <v>0.8933245075944838</v>
                </pt>
                <pt idx="20">
                  <v>0.9186185066169336</v>
                </pt>
                <pt idx="21">
                  <v>0.93136739375151</v>
                </pt>
                <pt idx="22">
                  <v>0.9208693213553474</v>
                </pt>
                <pt idx="23">
                  <v>0.9029638863371516</v>
                </pt>
                <pt idx="24">
                  <v>0.9003082967335165</v>
                </pt>
                <pt idx="25">
                  <v>0.9204482802851542</v>
                </pt>
                <pt idx="26">
                  <v>0.8651610014334573</v>
                </pt>
                <pt idx="27">
                  <v>0.826941813092995</v>
                </pt>
                <pt idx="28">
                  <v>0.8598532119744907</v>
                </pt>
                <pt idx="29">
                  <v>0.8888771316096289</v>
                </pt>
              </numCache>
            </numRef>
          </val>
          <smooth val="0"/>
        </ser>
        <ser>
          <idx val="2"/>
          <order val="2"/>
          <tx>
            <strRef>
              <f>Figurer!$B$20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Figurer!$C$20:$AF$20</f>
              <numCache>
                <formatCode>General</formatCode>
                <ptCount val="30"/>
                <pt idx="0">
                  <v>0.8281939745557928</v>
                </pt>
                <pt idx="1">
                  <v>0.8059116018956269</v>
                </pt>
                <pt idx="2">
                  <v>0.7824019934140893</v>
                </pt>
                <pt idx="3">
                  <v>0.7722884805539314</v>
                </pt>
                <pt idx="4">
                  <v>0.7583668102169323</v>
                </pt>
                <pt idx="5">
                  <v>0.7834224067552571</v>
                </pt>
                <pt idx="6">
                  <v>0.791495418399756</v>
                </pt>
                <pt idx="7">
                  <v>0.7502011617501115</v>
                </pt>
                <pt idx="8">
                  <v>0.7698600263399221</v>
                </pt>
                <pt idx="9">
                  <v>0.7627981958622337</v>
                </pt>
                <pt idx="10">
                  <v>0.7834045070674408</v>
                </pt>
                <pt idx="11">
                  <v>0.8007761624804195</v>
                </pt>
                <pt idx="12">
                  <v>0.8176079172266429</v>
                </pt>
                <pt idx="13">
                  <v>0.8371700125422035</v>
                </pt>
                <pt idx="14">
                  <v>0.821660614523907</v>
                </pt>
                <pt idx="15">
                  <v>0.8075530726394464</v>
                </pt>
                <pt idx="16">
                  <v>0.8494297064410714</v>
                </pt>
                <pt idx="17">
                  <v>0.8035662984260893</v>
                </pt>
                <pt idx="18">
                  <v>0.8054739764941636</v>
                </pt>
                <pt idx="19">
                  <v>0.807664923253812</v>
                </pt>
                <pt idx="20">
                  <v>0.8077539091309759</v>
                </pt>
                <pt idx="21">
                  <v>0.7909570638417478</v>
                </pt>
                <pt idx="22">
                  <v>0.8214503412121019</v>
                </pt>
                <pt idx="23">
                  <v>0.8584015447602477</v>
                </pt>
                <pt idx="24">
                  <v>0.8046377093820644</v>
                </pt>
                <pt idx="25">
                  <v>0.8435525607192953</v>
                </pt>
                <pt idx="26">
                  <v>0.8335593390671507</v>
                </pt>
                <pt idx="27">
                  <v>0.8816695889714742</v>
                </pt>
                <pt idx="28">
                  <v>0.8232444605291489</v>
                </pt>
                <pt idx="29">
                  <v>0.7549896223026389</v>
                </pt>
              </numCache>
            </numRef>
          </val>
          <smooth val="0"/>
        </ser>
        <ser>
          <idx val="3"/>
          <order val="3"/>
          <tx>
            <strRef>
              <f>Figurer!$B$21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Figurer!$C$21:$AF$21</f>
              <numCache>
                <formatCode>General</formatCode>
                <ptCount val="30"/>
                <pt idx="0">
                  <v>0.7362055618983401</v>
                </pt>
                <pt idx="1">
                  <v>0.7256621422312911</v>
                </pt>
                <pt idx="2">
                  <v>0.7590235096853484</v>
                </pt>
                <pt idx="3">
                  <v>0.7638441095365198</v>
                </pt>
                <pt idx="4">
                  <v>0.7450134223124252</v>
                </pt>
                <pt idx="5">
                  <v>0.74947906365234</v>
                </pt>
                <pt idx="6">
                  <v>0.7503932599346901</v>
                </pt>
                <pt idx="7">
                  <v>0.7410933482594497</v>
                </pt>
                <pt idx="8">
                  <v>0.7320669940343937</v>
                </pt>
                <pt idx="9">
                  <v>0.7786551251947359</v>
                </pt>
                <pt idx="10">
                  <v>0.8322671216888492</v>
                </pt>
                <pt idx="11">
                  <v>0.8168353083839458</v>
                </pt>
                <pt idx="12">
                  <v>0.789623275182585</v>
                </pt>
                <pt idx="13">
                  <v>0.8086746091792278</v>
                </pt>
                <pt idx="14">
                  <v>0.7908807204581269</v>
                </pt>
                <pt idx="15">
                  <v>0.7840505651943189</v>
                </pt>
                <pt idx="16">
                  <v>0.7599976380670223</v>
                </pt>
                <pt idx="17">
                  <v>0.7489734254748703</v>
                </pt>
                <pt idx="18">
                  <v>0.7501643426912313</v>
                </pt>
                <pt idx="19">
                  <v>0.7657300447327482</v>
                </pt>
                <pt idx="20">
                  <v>0.7402444689270583</v>
                </pt>
                <pt idx="21">
                  <v>0.751961521343582</v>
                </pt>
                <pt idx="22">
                  <v>0.7953954396470557</v>
                </pt>
                <pt idx="23">
                  <v>0.7550957413871123</v>
                </pt>
                <pt idx="24">
                  <v>0.7588001130091643</v>
                </pt>
                <pt idx="25">
                  <v>0.7453130236895933</v>
                </pt>
                <pt idx="26">
                  <v>0.735251333000302</v>
                </pt>
                <pt idx="27">
                  <v>0.7527741489864097</v>
                </pt>
                <pt idx="28">
                  <v>0.7069749577211202</v>
                </pt>
                <pt idx="29">
                  <v>0.7039185388767607</v>
                </pt>
              </numCache>
            </numRef>
          </val>
          <smooth val="0"/>
        </ser>
        <ser>
          <idx val="4"/>
          <order val="4"/>
          <tx>
            <strRef>
              <f>Figurer!$B$22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Figurer!$C$22:$AF$22</f>
              <numCache>
                <formatCode>General</formatCode>
                <ptCount val="30"/>
                <pt idx="0">
                  <v>0.3876203933022995</v>
                </pt>
                <pt idx="1">
                  <v>0.390071304325781</v>
                </pt>
                <pt idx="2">
                  <v>0.3958298293231622</v>
                </pt>
                <pt idx="3">
                  <v>0.3983372159056743</v>
                </pt>
                <pt idx="4">
                  <v>0.3972147290749352</v>
                </pt>
                <pt idx="5">
                  <v>0.3998980324195895</v>
                </pt>
                <pt idx="6">
                  <v>0.4064886855889049</v>
                </pt>
                <pt idx="7">
                  <v>0.4049400909848331</v>
                </pt>
                <pt idx="8">
                  <v>0.4126303292647611</v>
                </pt>
                <pt idx="9">
                  <v>0.414886346717817</v>
                </pt>
                <pt idx="10">
                  <v>0.4096111231458624</v>
                </pt>
                <pt idx="11">
                  <v>0.4107705197609726</v>
                </pt>
                <pt idx="12">
                  <v>0.4261266407935849</v>
                </pt>
                <pt idx="13">
                  <v>0.4313602248650105</v>
                </pt>
                <pt idx="14">
                  <v>0.4364285690217791</v>
                </pt>
                <pt idx="15">
                  <v>0.4372225343099637</v>
                </pt>
                <pt idx="16">
                  <v>0.4256554306263725</v>
                </pt>
                <pt idx="17">
                  <v>0.4204698307881749</v>
                </pt>
                <pt idx="18">
                  <v>0.4200081589903698</v>
                </pt>
                <pt idx="19">
                  <v>0.4245884032830329</v>
                </pt>
                <pt idx="20">
                  <v>0.4210671135192255</v>
                </pt>
                <pt idx="21">
                  <v>0.4256051887137249</v>
                </pt>
                <pt idx="22">
                  <v>0.429932605201735</v>
                </pt>
                <pt idx="23">
                  <v>0.4312634982715037</v>
                </pt>
                <pt idx="24">
                  <v>0.4302240721285101</v>
                </pt>
                <pt idx="25">
                  <v>0.4306818762351994</v>
                </pt>
                <pt idx="26">
                  <v>0.4318473368322762</v>
                </pt>
                <pt idx="27">
                  <v>0.436580561482262</v>
                </pt>
                <pt idx="28">
                  <v>0.4366177201650498</v>
                </pt>
                <pt idx="29">
                  <v>0.4471971577120691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Figurer!$B$17</f>
              <strCache>
                <ptCount val="1"/>
                <pt idx="0">
                  <v>Materiale-output-ratio (Mtot/Y)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Figurer!$B$25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Figurer!$C$25:$AF$25</f>
              <numCache>
                <formatCode>General</formatCode>
                <ptCount val="30"/>
                <pt idx="0">
                  <v>1287.652540438695</v>
                </pt>
                <pt idx="1">
                  <v>1395.598646065796</v>
                </pt>
                <pt idx="2">
                  <v>1430.965951495116</v>
                </pt>
                <pt idx="3">
                  <v>1477.743298140989</v>
                </pt>
                <pt idx="4">
                  <v>1561.497425030185</v>
                </pt>
                <pt idx="5">
                  <v>1560.245009638704</v>
                </pt>
                <pt idx="6">
                  <v>1600.702653007618</v>
                </pt>
                <pt idx="7">
                  <v>1624.600724734935</v>
                </pt>
                <pt idx="8">
                  <v>1665.928183675857</v>
                </pt>
                <pt idx="9">
                  <v>1649.038362504034</v>
                </pt>
                <pt idx="10">
                  <v>1771.42070525556</v>
                </pt>
                <pt idx="11">
                  <v>1771.089489201132</v>
                </pt>
                <pt idx="12">
                  <v>1868.705608816129</v>
                </pt>
                <pt idx="13">
                  <v>1999.482844861936</v>
                </pt>
                <pt idx="14">
                  <v>2085.282867623354</v>
                </pt>
                <pt idx="15">
                  <v>2214.356883643975</v>
                </pt>
                <pt idx="16">
                  <v>2344.797818281701</v>
                </pt>
                <pt idx="17">
                  <v>2374.01870296367</v>
                </pt>
                <pt idx="18">
                  <v>2358.604004735677</v>
                </pt>
                <pt idx="19">
                  <v>2351.988464190926</v>
                </pt>
                <pt idx="20">
                  <v>2341.595123083089</v>
                </pt>
                <pt idx="21">
                  <v>2283.461192750685</v>
                </pt>
                <pt idx="22">
                  <v>2208.624457508695</v>
                </pt>
                <pt idx="23">
                  <v>2304.272907714791</v>
                </pt>
                <pt idx="24">
                  <v>2252.530714656515</v>
                </pt>
                <pt idx="25">
                  <v>2269.965104131938</v>
                </pt>
                <pt idx="26">
                  <v>2361.093466958383</v>
                </pt>
                <pt idx="27">
                  <v>2298.678207977541</v>
                </pt>
                <pt idx="28">
                  <v>2235.364437854179</v>
                </pt>
                <pt idx="29">
                  <v>2256.480056811457</v>
                </pt>
              </numCache>
            </numRef>
          </val>
          <smooth val="0"/>
        </ser>
        <ser>
          <idx val="1"/>
          <order val="1"/>
          <tx>
            <strRef>
              <f>Figurer!$B$26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Figurer!$C$26:$AF$26</f>
              <numCache>
                <formatCode>General</formatCode>
                <ptCount val="30"/>
                <pt idx="0">
                  <v>551.8389389477325</v>
                </pt>
                <pt idx="1">
                  <v>535.6072507996823</v>
                </pt>
                <pt idx="2">
                  <v>573.9787821671493</v>
                </pt>
                <pt idx="3">
                  <v>621.7239847855999</v>
                </pt>
                <pt idx="4">
                  <v>633.6588364657172</v>
                </pt>
                <pt idx="5">
                  <v>641.4833221389122</v>
                </pt>
                <pt idx="6">
                  <v>655.8823635411707</v>
                </pt>
                <pt idx="7">
                  <v>690.7965791221044</v>
                </pt>
                <pt idx="8">
                  <v>708.93512939935</v>
                </pt>
                <pt idx="9">
                  <v>725.9671189240537</v>
                </pt>
                <pt idx="10">
                  <v>756.136348641892</v>
                </pt>
                <pt idx="11">
                  <v>811.329754317828</v>
                </pt>
                <pt idx="12">
                  <v>946.9528218494304</v>
                </pt>
                <pt idx="13">
                  <v>995.9953922343146</v>
                </pt>
                <pt idx="14">
                  <v>1024.490687478923</v>
                </pt>
                <pt idx="15">
                  <v>1068.297391677246</v>
                </pt>
                <pt idx="16">
                  <v>1107.38485606311</v>
                </pt>
                <pt idx="17">
                  <v>1128.211824405523</v>
                </pt>
                <pt idx="18">
                  <v>1131.924362957929</v>
                </pt>
                <pt idx="19">
                  <v>1160.257984581417</v>
                </pt>
                <pt idx="20">
                  <v>1263.565467033735</v>
                </pt>
                <pt idx="21">
                  <v>1332.781897400922</v>
                </pt>
                <pt idx="22">
                  <v>1387.024975251732</v>
                </pt>
                <pt idx="23">
                  <v>1386.836387285034</v>
                </pt>
                <pt idx="24">
                  <v>1418.780886022774</v>
                </pt>
                <pt idx="25">
                  <v>1446.987489926078</v>
                </pt>
                <pt idx="26">
                  <v>1550.431864544234</v>
                </pt>
                <pt idx="27">
                  <v>1304.800285474678</v>
                </pt>
                <pt idx="28">
                  <v>1328.258878987537</v>
                </pt>
                <pt idx="29">
                  <v>1317.233005254107</v>
                </pt>
              </numCache>
            </numRef>
          </val>
          <smooth val="0"/>
        </ser>
        <ser>
          <idx val="2"/>
          <order val="2"/>
          <tx>
            <strRef>
              <f>Figurer!$B$27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Figurer!$C$27:$AF$27</f>
              <numCache>
                <formatCode>General</formatCode>
                <ptCount val="30"/>
                <pt idx="0">
                  <v>651.6086486642931</v>
                </pt>
                <pt idx="1">
                  <v>708.2583687578247</v>
                </pt>
                <pt idx="2">
                  <v>687.283010984174</v>
                </pt>
                <pt idx="3">
                  <v>736.5916122440564</v>
                </pt>
                <pt idx="4">
                  <v>772.1212354148357</v>
                </pt>
                <pt idx="5">
                  <v>789.3436806407245</v>
                </pt>
                <pt idx="6">
                  <v>797.7145431778814</v>
                </pt>
                <pt idx="7">
                  <v>775.0195181788682</v>
                </pt>
                <pt idx="8">
                  <v>787.6619289515145</v>
                </pt>
                <pt idx="9">
                  <v>776.8177298093707</v>
                </pt>
                <pt idx="10">
                  <v>829.1594709461856</v>
                </pt>
                <pt idx="11">
                  <v>892.7700647149203</v>
                </pt>
                <pt idx="12">
                  <v>935.5000609990684</v>
                </pt>
                <pt idx="13">
                  <v>1047.396493259471</v>
                </pt>
                <pt idx="14">
                  <v>1154.301428563782</v>
                </pt>
                <pt idx="15">
                  <v>1159.971682275435</v>
                </pt>
                <pt idx="16">
                  <v>1194.582391233633</v>
                </pt>
                <pt idx="17">
                  <v>1179.597669546905</v>
                </pt>
                <pt idx="18">
                  <v>1173.743986955721</v>
                </pt>
                <pt idx="19">
                  <v>1225.585229432633</v>
                </pt>
                <pt idx="20">
                  <v>1369.514180249787</v>
                </pt>
                <pt idx="21">
                  <v>1655.67384797548</v>
                </pt>
                <pt idx="22">
                  <v>1842.386711549737</v>
                </pt>
                <pt idx="23">
                  <v>1609.285485696545</v>
                </pt>
                <pt idx="24">
                  <v>1769.885639549715</v>
                </pt>
                <pt idx="25">
                  <v>2151.744287551562</v>
                </pt>
                <pt idx="26">
                  <v>1812.962531207997</v>
                </pt>
                <pt idx="27">
                  <v>1558.668595265138</v>
                </pt>
                <pt idx="28">
                  <v>1512.967539801363</v>
                </pt>
                <pt idx="29">
                  <v>1718.732894220296</v>
                </pt>
              </numCache>
            </numRef>
          </val>
          <smooth val="0"/>
        </ser>
        <ser>
          <idx val="3"/>
          <order val="3"/>
          <tx>
            <strRef>
              <f>Figurer!$B$28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Figurer!$C$28:$AF$28</f>
              <numCache>
                <formatCode>General</formatCode>
                <ptCount val="30"/>
                <pt idx="0">
                  <v>541.7074780554467</v>
                </pt>
                <pt idx="1">
                  <v>589.3152979122962</v>
                </pt>
                <pt idx="2">
                  <v>554.3181697326504</v>
                </pt>
                <pt idx="3">
                  <v>587.7994746476118</v>
                </pt>
                <pt idx="4">
                  <v>614.5182163410959</v>
                </pt>
                <pt idx="5">
                  <v>627.3368919425337</v>
                </pt>
                <pt idx="6">
                  <v>641.6217220790625</v>
                </pt>
                <pt idx="7">
                  <v>652.4860929084717</v>
                </pt>
                <pt idx="8">
                  <v>674.7876925083257</v>
                </pt>
                <pt idx="9">
                  <v>687.8815193587286</v>
                </pt>
                <pt idx="10">
                  <v>767.4003629499856</v>
                </pt>
                <pt idx="11">
                  <v>804.502919664983</v>
                </pt>
                <pt idx="12">
                  <v>864.4240557525129</v>
                </pt>
                <pt idx="13">
                  <v>864.0342284206359</v>
                </pt>
                <pt idx="14">
                  <v>930.6619162334923</v>
                </pt>
                <pt idx="15">
                  <v>969.7936749013182</v>
                </pt>
                <pt idx="16">
                  <v>1142.705288950989</v>
                </pt>
                <pt idx="17">
                  <v>1171.061026523803</v>
                </pt>
                <pt idx="18">
                  <v>1237.075911161641</v>
                </pt>
                <pt idx="19">
                  <v>1327.916591645638</v>
                </pt>
                <pt idx="20">
                  <v>1308.826456740672</v>
                </pt>
                <pt idx="21">
                  <v>1361.390963991087</v>
                </pt>
                <pt idx="22">
                  <v>1318.512152395154</v>
                </pt>
                <pt idx="23">
                  <v>1307.39027407222</v>
                </pt>
                <pt idx="24">
                  <v>1265.506608775333</v>
                </pt>
                <pt idx="25">
                  <v>1307.460488137677</v>
                </pt>
                <pt idx="26">
                  <v>1365.667681277274</v>
                </pt>
                <pt idx="27">
                  <v>1348.804799875637</v>
                </pt>
                <pt idx="28">
                  <v>1373.4778272345</v>
                </pt>
                <pt idx="29">
                  <v>1392.726503154603</v>
                </pt>
              </numCache>
            </numRef>
          </val>
          <smooth val="0"/>
        </ser>
        <ser>
          <idx val="4"/>
          <order val="4"/>
          <tx>
            <strRef>
              <f>Figurer!$B$29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Figurer!$C$29:$AF$29</f>
              <numCache>
                <formatCode>General</formatCode>
                <ptCount val="30"/>
                <pt idx="0">
                  <v>1521.667019338103</v>
                </pt>
                <pt idx="1">
                  <v>1537.250458331587</v>
                </pt>
                <pt idx="2">
                  <v>1523.88383457915</v>
                </pt>
                <pt idx="3">
                  <v>1529.198182705355</v>
                </pt>
                <pt idx="4">
                  <v>1504.365864444968</v>
                </pt>
                <pt idx="5">
                  <v>1490.663932099006</v>
                </pt>
                <pt idx="6">
                  <v>1475.331797085456</v>
                </pt>
                <pt idx="7">
                  <v>1476.3975442777</v>
                </pt>
                <pt idx="8">
                  <v>1477.209431708061</v>
                </pt>
                <pt idx="9">
                  <v>1499.905342413366</v>
                </pt>
                <pt idx="10">
                  <v>1531.595925544934</v>
                </pt>
                <pt idx="11">
                  <v>1556.69394158934</v>
                </pt>
                <pt idx="12">
                  <v>1560.151523631683</v>
                </pt>
                <pt idx="13">
                  <v>1551.959248638103</v>
                </pt>
                <pt idx="14">
                  <v>1570.034147909131</v>
                </pt>
                <pt idx="15">
                  <v>1574.011453795374</v>
                </pt>
                <pt idx="16">
                  <v>1650.701322404167</v>
                </pt>
                <pt idx="17">
                  <v>1687.937765448548</v>
                </pt>
                <pt idx="18">
                  <v>1676.432680808144</v>
                </pt>
                <pt idx="19">
                  <v>1712.889786072982</v>
                </pt>
                <pt idx="20">
                  <v>1718.676411837643</v>
                </pt>
                <pt idx="21">
                  <v>1737.997162887916</v>
                </pt>
                <pt idx="22">
                  <v>1740.239301104833</v>
                </pt>
                <pt idx="23">
                  <v>1728.584665445817</v>
                </pt>
                <pt idx="24">
                  <v>1740.465518891055</v>
                </pt>
                <pt idx="25">
                  <v>1772.421752801098</v>
                </pt>
                <pt idx="26">
                  <v>1780.669131208314</v>
                </pt>
                <pt idx="27">
                  <v>1874.583878437225</v>
                </pt>
                <pt idx="28">
                  <v>1807.390119843369</v>
                </pt>
                <pt idx="29">
                  <v>1775.933432671612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Figurer!$B$24</f>
              <strCache>
                <ptCount val="1"/>
                <pt idx="0">
                  <v>Kapital pr arbejdstime (K/L)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Figurer!$B$32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Figurer!$C$32:$AF$32</f>
              <numCache>
                <formatCode>General</formatCode>
                <ptCount val="30"/>
                <pt idx="0">
                  <v>55728.664</v>
                </pt>
                <pt idx="1">
                  <v>55147.06399999999</v>
                </pt>
                <pt idx="2">
                  <v>58275.62700000001</v>
                </pt>
                <pt idx="3">
                  <v>59527.836</v>
                </pt>
                <pt idx="4">
                  <v>61114.082</v>
                </pt>
                <pt idx="5">
                  <v>55009.011</v>
                </pt>
                <pt idx="6">
                  <v>53791.911</v>
                </pt>
                <pt idx="7">
                  <v>59756.001</v>
                </pt>
                <pt idx="8">
                  <v>63043.538</v>
                </pt>
                <pt idx="9">
                  <v>58246.66099999999</v>
                </pt>
                <pt idx="10">
                  <v>56424.33999999999</v>
                </pt>
                <pt idx="11">
                  <v>58797.782</v>
                </pt>
                <pt idx="12">
                  <v>53297.89000000001</v>
                </pt>
                <pt idx="13">
                  <v>55302.07599999999</v>
                </pt>
                <pt idx="14">
                  <v>60373.719</v>
                </pt>
                <pt idx="15">
                  <v>61138.87000000001</v>
                </pt>
                <pt idx="16">
                  <v>58467.33000000001</v>
                </pt>
                <pt idx="17">
                  <v>65318.85200000001</v>
                </pt>
                <pt idx="18">
                  <v>71951.56699999998</v>
                </pt>
                <pt idx="19">
                  <v>79895.74200000001</v>
                </pt>
                <pt idx="20">
                  <v>74902.37899999999</v>
                </pt>
                <pt idx="21">
                  <v>75434.427</v>
                </pt>
                <pt idx="22">
                  <v>68758.59</v>
                </pt>
                <pt idx="23">
                  <v>67851.48699999999</v>
                </pt>
                <pt idx="24">
                  <v>77164.473</v>
                </pt>
                <pt idx="25">
                  <v>72672.23299999999</v>
                </pt>
                <pt idx="26">
                  <v>77232.461</v>
                </pt>
                <pt idx="27">
                  <v>80503.511</v>
                </pt>
                <pt idx="28">
                  <v>80890.02</v>
                </pt>
                <pt idx="29">
                  <v>95782.79999999997</v>
                </pt>
              </numCache>
            </numRef>
          </val>
          <smooth val="0"/>
        </ser>
        <ser>
          <idx val="1"/>
          <order val="1"/>
          <tx>
            <strRef>
              <f>Figurer!$B$33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Figurer!$C$33:$AF$33</f>
              <numCache>
                <formatCode>General</formatCode>
                <ptCount val="30"/>
                <pt idx="0">
                  <v>35939.871</v>
                </pt>
                <pt idx="1">
                  <v>40285.281</v>
                </pt>
                <pt idx="2">
                  <v>34495.789</v>
                </pt>
                <pt idx="3">
                  <v>34730.883</v>
                </pt>
                <pt idx="4">
                  <v>36911.052</v>
                </pt>
                <pt idx="5">
                  <v>34169.736</v>
                </pt>
                <pt idx="6">
                  <v>31462.418</v>
                </pt>
                <pt idx="7">
                  <v>35566.786</v>
                </pt>
                <pt idx="8">
                  <v>38941.561</v>
                </pt>
                <pt idx="9">
                  <v>35776.34700000001</v>
                </pt>
                <pt idx="10">
                  <v>34456.59900000001</v>
                </pt>
                <pt idx="11">
                  <v>35325.74799999999</v>
                </pt>
                <pt idx="12">
                  <v>35991.94</v>
                </pt>
                <pt idx="13">
                  <v>36332.656</v>
                </pt>
                <pt idx="14">
                  <v>35378.702</v>
                </pt>
                <pt idx="15">
                  <v>37566.908</v>
                </pt>
                <pt idx="16">
                  <v>37853.944</v>
                </pt>
                <pt idx="17">
                  <v>37776.63</v>
                </pt>
                <pt idx="18">
                  <v>40046.342</v>
                </pt>
                <pt idx="19">
                  <v>40796.45499999998</v>
                </pt>
                <pt idx="20">
                  <v>41303.702</v>
                </pt>
                <pt idx="21">
                  <v>39339.77500000001</v>
                </pt>
                <pt idx="22">
                  <v>38196.07999999999</v>
                </pt>
                <pt idx="23">
                  <v>38562.473</v>
                </pt>
                <pt idx="24">
                  <v>40719.605</v>
                </pt>
                <pt idx="25">
                  <v>39080.08199999999</v>
                </pt>
                <pt idx="26">
                  <v>42723.52300000001</v>
                </pt>
                <pt idx="27">
                  <v>45302.133</v>
                </pt>
                <pt idx="28">
                  <v>45795.763</v>
                </pt>
                <pt idx="29">
                  <v>51101.65799999998</v>
                </pt>
              </numCache>
            </numRef>
          </val>
          <smooth val="0"/>
        </ser>
        <ser>
          <idx val="2"/>
          <order val="2"/>
          <tx>
            <strRef>
              <f>Figurer!$B$34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Figurer!$C$34:$AF$34</f>
              <numCache>
                <formatCode>General</formatCode>
                <ptCount val="30"/>
                <pt idx="0">
                  <v>23932.98</v>
                </pt>
                <pt idx="1">
                  <v>21254.905</v>
                </pt>
                <pt idx="2">
                  <v>21836.365</v>
                </pt>
                <pt idx="3">
                  <v>20665.757</v>
                </pt>
                <pt idx="4">
                  <v>20826.415</v>
                </pt>
                <pt idx="5">
                  <v>21225.924</v>
                </pt>
                <pt idx="6">
                  <v>20955.632</v>
                </pt>
                <pt idx="7">
                  <v>22073.817</v>
                </pt>
                <pt idx="8">
                  <v>23707.783</v>
                </pt>
                <pt idx="9">
                  <v>23337.843</v>
                </pt>
                <pt idx="10">
                  <v>24244.216</v>
                </pt>
                <pt idx="11">
                  <v>24271.804</v>
                </pt>
                <pt idx="12">
                  <v>26173.198</v>
                </pt>
                <pt idx="13">
                  <v>26512.142</v>
                </pt>
                <pt idx="14">
                  <v>26611.136</v>
                </pt>
                <pt idx="15">
                  <v>29031.881</v>
                </pt>
                <pt idx="16">
                  <v>26566.609</v>
                </pt>
                <pt idx="17">
                  <v>27956.279</v>
                </pt>
                <pt idx="18">
                  <v>31582.26700000001</v>
                </pt>
                <pt idx="19">
                  <v>33361.708</v>
                </pt>
                <pt idx="20">
                  <v>33152.891</v>
                </pt>
                <pt idx="21">
                  <v>35071.085</v>
                </pt>
                <pt idx="22">
                  <v>34664.278</v>
                </pt>
                <pt idx="23">
                  <v>35041.208</v>
                </pt>
                <pt idx="24">
                  <v>38186.742</v>
                </pt>
                <pt idx="25">
                  <v>37454.258</v>
                </pt>
                <pt idx="26">
                  <v>39692.60400000001</v>
                </pt>
                <pt idx="27">
                  <v>41925.241</v>
                </pt>
                <pt idx="28">
                  <v>43119.16700000001</v>
                </pt>
                <pt idx="29">
                  <v>54981.136</v>
                </pt>
              </numCache>
            </numRef>
          </val>
          <smooth val="0"/>
        </ser>
        <ser>
          <idx val="3"/>
          <order val="3"/>
          <tx>
            <strRef>
              <f>Figurer!$B$35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Figurer!$C$35:$AF$35</f>
              <numCache>
                <formatCode>General</formatCode>
                <ptCount val="30"/>
                <pt idx="0">
                  <v>33836.816</v>
                </pt>
                <pt idx="1">
                  <v>33418.452</v>
                </pt>
                <pt idx="2">
                  <v>37654.286</v>
                </pt>
                <pt idx="3">
                  <v>36859.343</v>
                </pt>
                <pt idx="4">
                  <v>36706.302</v>
                </pt>
                <pt idx="5">
                  <v>36594.19</v>
                </pt>
                <pt idx="6">
                  <v>36128.03</v>
                </pt>
                <pt idx="7">
                  <v>37139.576</v>
                </pt>
                <pt idx="8">
                  <v>39451.578</v>
                </pt>
                <pt idx="9">
                  <v>44337.901</v>
                </pt>
                <pt idx="10">
                  <v>43431.378</v>
                </pt>
                <pt idx="11">
                  <v>46087.899</v>
                </pt>
                <pt idx="12">
                  <v>47237.74799999999</v>
                </pt>
                <pt idx="13">
                  <v>46561.392</v>
                </pt>
                <pt idx="14">
                  <v>50564.47899999999</v>
                </pt>
                <pt idx="15">
                  <v>54544.433</v>
                </pt>
                <pt idx="16">
                  <v>45587.99</v>
                </pt>
                <pt idx="17">
                  <v>43804.61</v>
                </pt>
                <pt idx="18">
                  <v>45979.86199999999</v>
                </pt>
                <pt idx="19">
                  <v>44709.71999999999</v>
                </pt>
                <pt idx="20">
                  <v>47514.67300000001</v>
                </pt>
                <pt idx="21">
                  <v>45196.533</v>
                </pt>
                <pt idx="22">
                  <v>46485.13400000003</v>
                </pt>
                <pt idx="23">
                  <v>48624.01100000001</v>
                </pt>
                <pt idx="24">
                  <v>49512.234</v>
                </pt>
                <pt idx="25">
                  <v>49654.274</v>
                </pt>
                <pt idx="26">
                  <v>50274.50099999999</v>
                </pt>
                <pt idx="27">
                  <v>52160.771</v>
                </pt>
                <pt idx="28">
                  <v>52317.69999999998</v>
                </pt>
                <pt idx="29">
                  <v>62239.854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Figurer!$B$31</f>
              <strCache>
                <ptCount val="1"/>
                <pt idx="0">
                  <v>Produktionsværdi (mio.kr.)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Figurer!$B$39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Figurer!$C$39:$AF$39</f>
              <numCache>
                <formatCode>General</formatCode>
                <ptCount val="30"/>
                <pt idx="0">
                  <v>3.807725297944511</v>
                </pt>
                <pt idx="1">
                  <v>3.796342173513051</v>
                </pt>
                <pt idx="2">
                  <v>3.711740450387963</v>
                </pt>
                <pt idx="3">
                  <v>3.638580616236343</v>
                </pt>
                <pt idx="4">
                  <v>3.511900353295786</v>
                </pt>
                <pt idx="5">
                  <v>3.429595103989583</v>
                </pt>
                <pt idx="6">
                  <v>3.331187238642229</v>
                </pt>
                <pt idx="7">
                  <v>3.251199482442017</v>
                </pt>
                <pt idx="8">
                  <v>3.29217609206219</v>
                </pt>
                <pt idx="9">
                  <v>3.219858104743313</v>
                </pt>
                <pt idx="10">
                  <v>3.186110411371252</v>
                </pt>
                <pt idx="11">
                  <v>3.122086741853903</v>
                </pt>
                <pt idx="12">
                  <v>3.163065530042851</v>
                </pt>
                <pt idx="13">
                  <v>3.118860660104966</v>
                </pt>
                <pt idx="14">
                  <v>3.023375968377628</v>
                </pt>
                <pt idx="15">
                  <v>3.31267546373636</v>
                </pt>
                <pt idx="16">
                  <v>3.254497085526446</v>
                </pt>
                <pt idx="17">
                  <v>3.026633445587936</v>
                </pt>
                <pt idx="18">
                  <v>3.019682522892581</v>
                </pt>
                <pt idx="19">
                  <v>2.899990613357994</v>
                </pt>
                <pt idx="20">
                  <v>2.898626796247439</v>
                </pt>
                <pt idx="21">
                  <v>2.718229918890087</v>
                </pt>
                <pt idx="22">
                  <v>2.717667300254749</v>
                </pt>
                <pt idx="23">
                  <v>2.744555700712414</v>
                </pt>
                <pt idx="24">
                  <v>2.580634818047141</v>
                </pt>
                <pt idx="25">
                  <v>2.562021699342381</v>
                </pt>
                <pt idx="26">
                  <v>2.560457969963092</v>
                </pt>
                <pt idx="27">
                  <v>2.441061235205009</v>
                </pt>
                <pt idx="28">
                  <v>2.352122043578108</v>
                </pt>
                <pt idx="29">
                  <v>2.339808758033594</v>
                </pt>
              </numCache>
            </numRef>
          </val>
          <smooth val="0"/>
        </ser>
        <ser>
          <idx val="1"/>
          <order val="1"/>
          <tx>
            <strRef>
              <f>Figurer!$B$40</f>
              <strCache>
                <ptCount val="1"/>
                <pt idx="0">
                  <v>Ny 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Figurer!$C$40:$AF$40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2"/>
          <order val="2"/>
          <tx>
            <strRef>
              <f>Figurer!$B$41</f>
              <strCache>
                <ptCount val="1"/>
                <pt idx="0">
                  <v>Ny 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Figurer!$C$41:$AF$41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3"/>
          <order val="3"/>
          <tx>
            <strRef>
              <f>Figurer!$B$42</f>
              <strCache>
                <ptCount val="1"/>
                <pt idx="0">
                  <v>Ny 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Figurer!$C$42:$AF$42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4"/>
          <order val="4"/>
          <tx>
            <strRef>
              <f>Figurer!$B$43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Figurer!$C$43:$AF$43</f>
              <numCache>
                <formatCode>General</formatCode>
                <ptCount val="30"/>
                <pt idx="0">
                  <v>2.471286858231498</v>
                </pt>
                <pt idx="1">
                  <v>2.356268070288201</v>
                </pt>
                <pt idx="2">
                  <v>2.289878988883978</v>
                </pt>
                <pt idx="3">
                  <v>2.238497657545603</v>
                </pt>
                <pt idx="4">
                  <v>2.195622561512022</v>
                </pt>
                <pt idx="5">
                  <v>2.167260959725699</v>
                </pt>
                <pt idx="6">
                  <v>2.099530924414772</v>
                </pt>
                <pt idx="7">
                  <v>2.026492653618889</v>
                </pt>
                <pt idx="8">
                  <v>2.003132788083614</v>
                </pt>
                <pt idx="9">
                  <v>2.003615572251875</v>
                </pt>
                <pt idx="10">
                  <v>2.021331067129118</v>
                </pt>
                <pt idx="11">
                  <v>1.997307036608077</v>
                </pt>
                <pt idx="12">
                  <v>1.918008755753288</v>
                </pt>
                <pt idx="13">
                  <v>1.855456841472991</v>
                </pt>
                <pt idx="14">
                  <v>1.836084183984544</v>
                </pt>
                <pt idx="15">
                  <v>1.842544746030851</v>
                </pt>
                <pt idx="16">
                  <v>1.988266347165367</v>
                </pt>
                <pt idx="17">
                  <v>1.991896374657193</v>
                </pt>
                <pt idx="18">
                  <v>1.946120095105505</v>
                </pt>
                <pt idx="19">
                  <v>1.938790862975788</v>
                </pt>
                <pt idx="20">
                  <v>1.94713030612672</v>
                </pt>
                <pt idx="21">
                  <v>1.924377773000174</v>
                </pt>
                <pt idx="22">
                  <v>1.896593595093144</v>
                </pt>
                <pt idx="23">
                  <v>1.854860849905613</v>
                </pt>
                <pt idx="24">
                  <v>1.838766129841685</v>
                </pt>
                <pt idx="25">
                  <v>1.834498307335257</v>
                </pt>
                <pt idx="26">
                  <v>1.832456215510369</v>
                </pt>
                <pt idx="27">
                  <v>1.909759525793893</v>
                </pt>
                <pt idx="28">
                  <v>1.831908439641152</v>
                </pt>
                <pt idx="29">
                  <v>1.819368121700852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Figurer!$B$40</f>
              <strCache>
                <ptCount val="1"/>
                <pt idx="0">
                  <v>Ny Slagterier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Figurer!$C$40:$AF$40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1"/>
          <order val="1"/>
          <tx>
            <strRef>
              <f>Figurer!$B$41</f>
              <strCache>
                <ptCount val="1"/>
                <pt idx="0">
                  <v>Ny Mejerier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Figurer!$C$41:$AF$41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2"/>
          <order val="2"/>
          <tx>
            <strRef>
              <f>Figurer!$B$42</f>
              <strCache>
                <ptCount val="1"/>
                <pt idx="0">
                  <v>Ny Anden fødevareindustri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Figurer!$C$42:$AF$42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ser>
          <idx val="3"/>
          <order val="3"/>
          <tx>
            <strRef>
              <f>Figurer!$B$5</f>
              <strCache>
                <ptCount val="1"/>
                <pt idx="0">
                  <v>Slagterier</v>
                </pt>
              </strCache>
            </strRef>
          </tx>
          <spPr>
            <a:ln xmlns:a="http://schemas.openxmlformats.org/drawingml/2006/main"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Figurer!$C$5:$AF$5</f>
              <numCache>
                <formatCode>General</formatCode>
                <ptCount val="30"/>
                <pt idx="0">
                  <v>0.5058014633534554</v>
                </pt>
                <pt idx="1">
                  <v>0.46852639206277</v>
                </pt>
                <pt idx="2">
                  <v>0.5646446387088284</v>
                </pt>
                <pt idx="3">
                  <v>0.6093252497689113</v>
                </pt>
                <pt idx="4">
                  <v>0.5898964840109144</v>
                </pt>
                <pt idx="5">
                  <v>0.5313861179429854</v>
                </pt>
                <pt idx="6">
                  <v>0.5375374403725988</v>
                </pt>
                <pt idx="7">
                  <v>0.5747841197006366</v>
                </pt>
                <pt idx="8">
                  <v>0.578337529665983</v>
                </pt>
                <pt idx="9">
                  <v>0.6125674185707387</v>
                </pt>
                <pt idx="10">
                  <v>0.6138018299092521</v>
                </pt>
                <pt idx="11">
                  <v>0.6287266347907723</v>
                </pt>
                <pt idx="12">
                  <v>0.6322255508165359</v>
                </pt>
                <pt idx="13">
                  <v>0.6447750654728923</v>
                </pt>
                <pt idx="14">
                  <v>0.6557746197581241</v>
                </pt>
                <pt idx="15">
                  <v>0.6759906065441901</v>
                </pt>
                <pt idx="16">
                  <v>0.6644506697268964</v>
                </pt>
                <pt idx="17">
                  <v>0.6541408134951816</v>
                </pt>
                <pt idx="18">
                  <v>0.6268900805704657</v>
                </pt>
                <pt idx="19">
                  <v>0.6559643428130187</v>
                </pt>
                <pt idx="20">
                  <v>0.6577275984783101</v>
                </pt>
                <pt idx="21">
                  <v>0.6518425618596102</v>
                </pt>
                <pt idx="22">
                  <v>0.6323441440759185</v>
                </pt>
                <pt idx="23">
                  <v>0.6319795469798887</v>
                </pt>
                <pt idx="24">
                  <v>0.6192457867911476</v>
                </pt>
                <pt idx="25">
                  <v>0.6354801368483621</v>
                </pt>
                <pt idx="26">
                  <v>0.6236545889430817</v>
                </pt>
                <pt idx="27">
                  <v>0.58502992339371</v>
                </pt>
                <pt idx="28">
                  <v>0.5383354457551479</v>
                </pt>
                <pt idx="29">
                  <v>0.5712660721762571</v>
                </pt>
              </numCache>
            </numRef>
          </val>
          <smooth val="0"/>
        </ser>
        <ser>
          <idx val="4"/>
          <order val="4"/>
          <tx>
            <strRef>
              <f>Figurer!$B$6</f>
              <strCache>
                <ptCount val="1"/>
                <pt idx="0">
                  <v>Mejerier</v>
                </pt>
              </strCache>
            </strRef>
          </tx>
          <spPr>
            <a:ln xmlns:a="http://schemas.openxmlformats.org/drawingml/2006/main">
              <a:solidFill>
                <a:schemeClr val="accent3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Figurer!$C$6:$AF$6</f>
              <numCache>
                <formatCode>General</formatCode>
                <ptCount val="30"/>
                <pt idx="0">
                  <v>0.3214570741363037</v>
                </pt>
                <pt idx="1">
                  <v>0.3511947259167688</v>
                </pt>
                <pt idx="2">
                  <v>0.3405088967887349</v>
                </pt>
                <pt idx="3">
                  <v>0.36846813770205</v>
                </pt>
                <pt idx="4">
                  <v>0.3668145859135645</v>
                </pt>
                <pt idx="5">
                  <v>0.370895112748915</v>
                </pt>
                <pt idx="6">
                  <v>0.3785500938861744</v>
                </pt>
                <pt idx="7">
                  <v>0.3901796368321238</v>
                </pt>
                <pt idx="8">
                  <v>0.3895416845876205</v>
                </pt>
                <pt idx="9">
                  <v>0.4151814713291537</v>
                </pt>
                <pt idx="10">
                  <v>0.4146415029865955</v>
                </pt>
                <pt idx="11">
                  <v>0.4325728263120809</v>
                </pt>
                <pt idx="12">
                  <v>0.4048593091680618</v>
                </pt>
                <pt idx="13">
                  <v>0.3945844867975365</v>
                </pt>
                <pt idx="14">
                  <v>0.4172478537797049</v>
                </pt>
                <pt idx="15">
                  <v>0.4269172219114196</v>
                </pt>
                <pt idx="16">
                  <v>0.4458650743317502</v>
                </pt>
                <pt idx="17">
                  <v>0.4410348161644636</v>
                </pt>
                <pt idx="18">
                  <v>0.3990229659239683</v>
                </pt>
                <pt idx="19">
                  <v>0.3990131043907278</v>
                </pt>
                <pt idx="20">
                  <v>0.4064273816513893</v>
                </pt>
                <pt idx="21">
                  <v>0.3984246188033649</v>
                </pt>
                <pt idx="22">
                  <v>0.4095789424368445</v>
                </pt>
                <pt idx="23">
                  <v>0.4065312529176735</v>
                </pt>
                <pt idx="24">
                  <v>0.3806063249060763</v>
                </pt>
                <pt idx="25">
                  <v>0.4042464403071536</v>
                </pt>
                <pt idx="26">
                  <v>0.3952383661392406</v>
                </pt>
                <pt idx="27">
                  <v>0.3771640310657921</v>
                </pt>
                <pt idx="28">
                  <v>0.3770625964618916</v>
                </pt>
                <pt idx="29">
                  <v>0.3484618611269966</v>
                </pt>
              </numCache>
            </numRef>
          </val>
          <smooth val="0"/>
        </ser>
        <ser>
          <idx val="5"/>
          <order val="5"/>
          <tx>
            <strRef>
              <f>Figurer!$B$7</f>
              <strCache>
                <ptCount val="1"/>
                <pt idx="0">
                  <v>Anden fødevareindustri</v>
                </pt>
              </strCache>
            </strRef>
          </tx>
          <spPr>
            <a:ln xmlns:a="http://schemas.openxmlformats.org/drawingml/2006/main">
              <a:solidFill>
                <a:schemeClr val="accent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Figurer!$C$7:$AF$7</f>
              <numCache>
                <formatCode>General</formatCode>
                <ptCount val="30"/>
                <pt idx="0">
                  <v>0.6529395276768399</v>
                </pt>
                <pt idx="1">
                  <v>0.6848947294180332</v>
                </pt>
                <pt idx="2">
                  <v>0.6214698297989185</v>
                </pt>
                <pt idx="3">
                  <v>0.6690398555461609</v>
                </pt>
                <pt idx="4">
                  <v>0.6827266718085361</v>
                </pt>
                <pt idx="5">
                  <v>0.6833648358115065</v>
                </pt>
                <pt idx="6">
                  <v>0.6810767154896359</v>
                </pt>
                <pt idx="7">
                  <v>0.6959796773101322</v>
                </pt>
                <pt idx="8">
                  <v>0.6950666449902186</v>
                </pt>
                <pt idx="9">
                  <v>0.6413695117956136</v>
                </pt>
                <pt idx="10">
                  <v>0.6709770795397436</v>
                </pt>
                <pt idx="11">
                  <v>0.653973654961869</v>
                </pt>
                <pt idx="12">
                  <v>0.6380270346339089</v>
                </pt>
                <pt idx="13">
                  <v>0.6529964757382112</v>
                </pt>
                <pt idx="14">
                  <v>0.649412447527453</v>
                </pt>
                <pt idx="15">
                  <v>0.6880535256047983</v>
                </pt>
                <pt idx="16">
                  <v>0.8086397050032635</v>
                </pt>
                <pt idx="17">
                  <v>0.8495839965060772</v>
                </pt>
                <pt idx="18">
                  <v>0.860432190569656</v>
                </pt>
                <pt idx="19">
                  <v>0.9065437278984941</v>
                </pt>
                <pt idx="20">
                  <v>0.8654832133354872</v>
                </pt>
                <pt idx="21">
                  <v>0.8648788433557832</v>
                </pt>
                <pt idx="22">
                  <v>0.8129053866277443</v>
                </pt>
                <pt idx="23">
                  <v>0.7765048841805842</v>
                </pt>
                <pt idx="24">
                  <v>0.7690822447152513</v>
                </pt>
                <pt idx="25">
                  <v>0.7748319360012659</v>
                </pt>
                <pt idx="26">
                  <v>0.7769809491267318</v>
                </pt>
                <pt idx="27">
                  <v>0.7602688603115855</v>
                </pt>
                <pt idx="28">
                  <v>0.7941913178814932</v>
                </pt>
                <pt idx="29">
                  <v>0.779805485785416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Figurer!$B$52</f>
              <strCache>
                <ptCount val="1"/>
                <pt idx="0">
                  <v>Jord-output-ratio (J/Y)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Figurer!$C$52:$AF$52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Figurer!$C$53:$AF$53</f>
              <numCache>
                <formatCode>General</formatCode>
                <ptCount val="30"/>
                <pt idx="0">
                  <v>3.341293488277911e-05</v>
                </pt>
                <pt idx="1">
                  <v>3.322381769810476e-05</v>
                </pt>
                <pt idx="2">
                  <v>3.300283684066126e-05</v>
                </pt>
                <pt idx="3">
                  <v>3.318808625351036e-05</v>
                </pt>
                <pt idx="4">
                  <v>3.287737031562857e-05</v>
                </pt>
                <pt idx="5">
                  <v>3.245090834556171e-05</v>
                </pt>
                <pt idx="6">
                  <v>3.145239056399463e-05</v>
                </pt>
                <pt idx="7">
                  <v>3.074501172542194e-05</v>
                </pt>
                <pt idx="8">
                  <v>3.127248445471235e-05</v>
                </pt>
                <pt idx="9">
                  <v>3.061158480800015e-05</v>
                </pt>
                <pt idx="10">
                  <v>3.042703790939159e-05</v>
                </pt>
                <pt idx="11">
                  <v>3.009561598320836e-05</v>
                </pt>
                <pt idx="12">
                  <v>3.152021816947038e-05</v>
                </pt>
                <pt idx="13">
                  <v>3.1147307434896e-05</v>
                </pt>
                <pt idx="14">
                  <v>2.925897263984576e-05</v>
                </pt>
                <pt idx="15">
                  <v>3.301682168524516e-05</v>
                </pt>
                <pt idx="16">
                  <v>3.260225242213142e-05</v>
                </pt>
                <pt idx="17">
                  <v>3.11865027116619e-05</v>
                </pt>
                <pt idx="18">
                  <v>3.200526318144498e-05</v>
                </pt>
                <pt idx="19">
                  <v>3.117401656058047e-05</v>
                </pt>
                <pt idx="20">
                  <v>3.141381045821105e-05</v>
                </pt>
                <pt idx="21">
                  <v>3.032826304034002e-05</v>
                </pt>
                <pt idx="22">
                  <v>2.968834509060972e-05</v>
                </pt>
                <pt idx="23">
                  <v>3.072748125116496e-05</v>
                </pt>
                <pt idx="24">
                  <v>2.92330943998898e-05</v>
                </pt>
                <pt idx="25">
                  <v>2.939394842086021e-05</v>
                </pt>
                <pt idx="26">
                  <v>2.987787315096033e-05</v>
                </pt>
                <pt idx="27">
                  <v>2.876713041745471e-05</v>
                </pt>
                <pt idx="28">
                  <v>2.790380908185684e-05</v>
                </pt>
                <pt idx="29">
                  <v>2.810255751043417e-05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16194831"/>
        <axId val="2016195311"/>
      </lineChart>
      <catAx>
        <axId val="20161948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2016195311"/>
        <crosses val="autoZero"/>
        <auto val="1"/>
        <lblAlgn val="ctr"/>
        <lblOffset val="100"/>
        <noMultiLvlLbl val="0"/>
      </catAx>
      <valAx>
        <axId val="2016195311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20161948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L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Produktivitetsudvikling!$B$9:$AD$9</f>
              <numCache>
                <formatCode>General</formatCode>
                <ptCount val="29"/>
                <pt idx="0">
                  <v>1</v>
                </pt>
                <pt idx="1">
                  <v>1.011286535010154</v>
                </pt>
                <pt idx="2">
                  <v>1.031785441353877</v>
                </pt>
                <pt idx="3">
                  <v>1.065845678125481</v>
                </pt>
                <pt idx="4">
                  <v>1.06622421254046</v>
                </pt>
                <pt idx="5">
                  <v>1.093032037258586</v>
                </pt>
                <pt idx="6">
                  <v>1.088078313584781</v>
                </pt>
                <pt idx="7">
                  <v>1.098669685456906</v>
                </pt>
                <pt idx="8">
                  <v>1.097623570704872</v>
                </pt>
                <pt idx="9">
                  <v>1.139211559528702</v>
                </pt>
                <pt idx="10">
                  <v>1.13883483199349</v>
                </pt>
                <pt idx="11">
                  <v>1.171116668868891</v>
                </pt>
                <pt idx="12">
                  <v>1.201196381213526</v>
                </pt>
                <pt idx="13">
                  <v>1.222016637767076</v>
                </pt>
                <pt idx="14">
                  <v>1.259119483939374</v>
                </pt>
                <pt idx="15">
                  <v>1.31694321886469</v>
                </pt>
                <pt idx="16">
                  <v>1.331982349760631</v>
                </pt>
                <pt idx="17">
                  <v>1.327447655890599</v>
                </pt>
                <pt idx="18">
                  <v>1.322629860685055</v>
                </pt>
                <pt idx="19">
                  <v>1.317388747280603</v>
                </pt>
                <pt idx="20">
                  <v>1.302731437297089</v>
                </pt>
                <pt idx="21">
                  <v>1.282234185707492</v>
                </pt>
                <pt idx="22">
                  <v>1.307553422908124</v>
                </pt>
                <pt idx="23">
                  <v>1.294280323636539</v>
                </pt>
                <pt idx="24">
                  <v>1.301716189437918</v>
                </pt>
                <pt idx="25">
                  <v>1.328136208945761</v>
                </pt>
                <pt idx="26">
                  <v>1.314302610421121</v>
                </pt>
                <pt idx="27">
                  <v>1.292485596608908</v>
                </pt>
                <pt idx="28">
                  <v>1.305426182158416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Produktivitetsudvikling!$B$10:$AD$10</f>
              <numCache>
                <formatCode>General</formatCode>
                <ptCount val="29"/>
                <pt idx="0">
                  <v>1</v>
                </pt>
                <pt idx="1">
                  <v>1.023358484418783</v>
                </pt>
                <pt idx="2">
                  <v>1.041127325616924</v>
                </pt>
                <pt idx="3">
                  <v>1.057348915471644</v>
                </pt>
                <pt idx="4">
                  <v>1.057979566405037</v>
                </pt>
                <pt idx="5">
                  <v>1.068626553964823</v>
                </pt>
                <pt idx="6">
                  <v>1.077131744959967</v>
                </pt>
                <pt idx="7">
                  <v>1.086018957656581</v>
                </pt>
                <pt idx="8">
                  <v>1.094687932965173</v>
                </pt>
                <pt idx="9">
                  <v>1.102200421558585</v>
                </pt>
                <pt idx="10">
                  <v>1.124721890665478</v>
                </pt>
                <pt idx="11">
                  <v>1.191818551181831</v>
                </pt>
                <pt idx="12">
                  <v>1.208432038282597</v>
                </pt>
                <pt idx="13">
                  <v>1.216213266572715</v>
                </pt>
                <pt idx="14">
                  <v>1.221333263592373</v>
                </pt>
                <pt idx="15">
                  <v>1.23594377350626</v>
                </pt>
                <pt idx="16">
                  <v>1.261556679768484</v>
                </pt>
                <pt idx="17">
                  <v>1.26059104349199</v>
                </pt>
                <pt idx="18">
                  <v>1.260788970341155</v>
                </pt>
                <pt idx="19">
                  <v>1.300190818647915</v>
                </pt>
                <pt idx="20">
                  <v>1.322468418947278</v>
                </pt>
                <pt idx="21">
                  <v>1.338006033481948</v>
                </pt>
                <pt idx="22">
                  <v>1.336840576398791</v>
                </pt>
                <pt idx="23">
                  <v>1.343720583633472</v>
                </pt>
                <pt idx="24">
                  <v>1.341444632747316</v>
                </pt>
                <pt idx="25">
                  <v>1.373237424073284</v>
                </pt>
                <pt idx="26">
                  <v>1.31901063762653</v>
                </pt>
                <pt idx="27">
                  <v>1.323612702987927</v>
                </pt>
                <pt idx="28">
                  <v>1.320271118201854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Produktivitetsudvikling!$B$11:$AD$11</f>
              <numCache>
                <formatCode>General</formatCode>
                <ptCount val="29"/>
                <pt idx="0">
                  <v>1</v>
                </pt>
                <pt idx="1">
                  <v>0.9892811442950465</v>
                </pt>
                <pt idx="2">
                  <v>1.004315873597228</v>
                </pt>
                <pt idx="3">
                  <v>1.029456580842527</v>
                </pt>
                <pt idx="4">
                  <v>1.035938205263986</v>
                </pt>
                <pt idx="5">
                  <v>1.04147897890762</v>
                </pt>
                <pt idx="6">
                  <v>1.020619923343595</v>
                </pt>
                <pt idx="7">
                  <v>1.030489263994198</v>
                </pt>
                <pt idx="8">
                  <v>1.02723653748237</v>
                </pt>
                <pt idx="9">
                  <v>1.04142665414432</v>
                </pt>
                <pt idx="10">
                  <v>1.061177993793211</v>
                </pt>
                <pt idx="11">
                  <v>1.084089877057293</v>
                </pt>
                <pt idx="12">
                  <v>1.11798407036266</v>
                </pt>
                <pt idx="13">
                  <v>1.148233473750698</v>
                </pt>
                <pt idx="14">
                  <v>1.141967021950745</v>
                </pt>
                <pt idx="15">
                  <v>1.154233584589589</v>
                </pt>
                <pt idx="16">
                  <v>1.165604279154813</v>
                </pt>
                <pt idx="17">
                  <v>1.160320888342535</v>
                </pt>
                <pt idx="18">
                  <v>1.162904124434747</v>
                </pt>
                <pt idx="19">
                  <v>1.213435211259402</v>
                </pt>
                <pt idx="20">
                  <v>1.289010120072984</v>
                </pt>
                <pt idx="21">
                  <v>1.328574982545817</v>
                </pt>
                <pt idx="22">
                  <v>1.274378041933266</v>
                </pt>
                <pt idx="23">
                  <v>1.308571373121584</v>
                </pt>
                <pt idx="24">
                  <v>1.394958847286905</v>
                </pt>
                <pt idx="25">
                  <v>1.314673108065968</v>
                </pt>
                <pt idx="26">
                  <v>1.269646315087602</v>
                </pt>
                <pt idx="27">
                  <v>1.255476472395643</v>
                </pt>
                <pt idx="28">
                  <v>1.297923831699703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Produktivitetsudvikling!$B$12:$AD$12</f>
              <numCache>
                <formatCode>General</formatCode>
                <ptCount val="29"/>
                <pt idx="0">
                  <v>1</v>
                </pt>
                <pt idx="1">
                  <v>0.9813176469478355</v>
                </pt>
                <pt idx="2">
                  <v>0.9918689848377547</v>
                </pt>
                <pt idx="3">
                  <v>1.017046983628981</v>
                </pt>
                <pt idx="4">
                  <v>1.022366309276753</v>
                </pt>
                <pt idx="5">
                  <v>1.033227152165816</v>
                </pt>
                <pt idx="6">
                  <v>1.02946330166962</v>
                </pt>
                <pt idx="7">
                  <v>1.041569235477157</v>
                </pt>
                <pt idx="8">
                  <v>1.047188843679705</v>
                </pt>
                <pt idx="9">
                  <v>1.079466803180743</v>
                </pt>
                <pt idx="10">
                  <v>1.092522449799711</v>
                </pt>
                <pt idx="11">
                  <v>1.125693179393628</v>
                </pt>
                <pt idx="12">
                  <v>1.126053366983943</v>
                </pt>
                <pt idx="13">
                  <v>1.148122550251802</v>
                </pt>
                <pt idx="14">
                  <v>1.151828276113378</v>
                </pt>
                <pt idx="15">
                  <v>1.215061797837768</v>
                </pt>
                <pt idx="16">
                  <v>1.243964026907777</v>
                </pt>
                <pt idx="17">
                  <v>1.263028516438552</v>
                </pt>
                <pt idx="18">
                  <v>1.286963881544168</v>
                </pt>
                <pt idx="19">
                  <v>1.281824770270482</v>
                </pt>
                <pt idx="20">
                  <v>1.299970349912759</v>
                </pt>
                <pt idx="21">
                  <v>1.291453589160263</v>
                </pt>
                <pt idx="22">
                  <v>1.285217310927409</v>
                </pt>
                <pt idx="23">
                  <v>1.27080228513103</v>
                </pt>
                <pt idx="24">
                  <v>1.275584473897028</v>
                </pt>
                <pt idx="25">
                  <v>1.298818778594715</v>
                </pt>
                <pt idx="26">
                  <v>1.299434220153305</v>
                </pt>
                <pt idx="27">
                  <v>1.303783512441673</v>
                </pt>
                <pt idx="28">
                  <v>1.30830892388379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CES fordelingsparameter 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Produktivitetsudvikling!$B$55:$AD$55</f>
              <numCache>
                <formatCode>General</formatCode>
                <ptCount val="29"/>
                <pt idx="0">
                  <v>1</v>
                </pt>
                <pt idx="1">
                  <v>0.9888394291633277</v>
                </pt>
                <pt idx="2">
                  <v>0.9691937489327539</v>
                </pt>
                <pt idx="3">
                  <v>0.9382221277649831</v>
                </pt>
                <pt idx="4">
                  <v>0.9378890370697269</v>
                </pt>
                <pt idx="5">
                  <v>0.9148862667448265</v>
                </pt>
                <pt idx="6">
                  <v>0.9190514942857392</v>
                </pt>
                <pt idx="7">
                  <v>0.9101916738370078</v>
                </pt>
                <pt idx="8">
                  <v>0.9110591524176361</v>
                </pt>
                <pt idx="9">
                  <v>0.8778000816755277</v>
                </pt>
                <pt idx="10">
                  <v>0.87809045869236</v>
                </pt>
                <pt idx="11">
                  <v>0.8538858907762261</v>
                </pt>
                <pt idx="12">
                  <v>0.8325033405359872</v>
                </pt>
                <pt idx="13">
                  <v>0.8183194639863869</v>
                </pt>
                <pt idx="14">
                  <v>0.794205802352709</v>
                </pt>
                <pt idx="15">
                  <v>0.759334180605053</v>
                </pt>
                <pt idx="16">
                  <v>0.7507606990285635</v>
                </pt>
                <pt idx="17">
                  <v>0.753325372614477</v>
                </pt>
                <pt idx="18">
                  <v>0.7560694263186005</v>
                </pt>
                <pt idx="19">
                  <v>0.7590773809661214</v>
                </pt>
                <pt idx="20">
                  <v>0.7676179229042045</v>
                </pt>
                <pt idx="21">
                  <v>0.7798887372888396</v>
                </pt>
                <pt idx="22">
                  <v>0.7647871073412081</v>
                </pt>
                <pt idx="23">
                  <v>0.7726301495415617</v>
                </pt>
                <pt idx="24">
                  <v>0.7682166113581184</v>
                </pt>
                <pt idx="25">
                  <v>0.7529348219440334</v>
                </pt>
                <pt idx="26">
                  <v>0.7608597837902689</v>
                </pt>
                <pt idx="27">
                  <v>0.7737030127250145</v>
                </pt>
                <pt idx="28">
                  <v>0.7660333565139482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Produktivitetsudvikling!$B$56:$AD$56</f>
              <numCache>
                <formatCode>General</formatCode>
                <ptCount val="29"/>
                <pt idx="0">
                  <v>1</v>
                </pt>
                <pt idx="1">
                  <v>0.9771746804522277</v>
                </pt>
                <pt idx="2">
                  <v>0.9604973142045289</v>
                </pt>
                <pt idx="3">
                  <v>0.9457615980567188</v>
                </pt>
                <pt idx="4">
                  <v>0.9451978391207978</v>
                </pt>
                <pt idx="5">
                  <v>0.9357806020164808</v>
                </pt>
                <pt idx="6">
                  <v>0.9283915404769413</v>
                </pt>
                <pt idx="7">
                  <v>0.9207942393177062</v>
                </pt>
                <pt idx="8">
                  <v>0.9135023506574217</v>
                </pt>
                <pt idx="9">
                  <v>0.9072760093721731</v>
                </pt>
                <pt idx="10">
                  <v>0.8891086839328056</v>
                </pt>
                <pt idx="11">
                  <v>0.8390538970956445</v>
                </pt>
                <pt idx="12">
                  <v>0.8275186095042488</v>
                </pt>
                <pt idx="13">
                  <v>0.8222242163317268</v>
                </pt>
                <pt idx="14">
                  <v>0.8187773393305001</v>
                </pt>
                <pt idx="15">
                  <v>0.8090982951134513</v>
                </pt>
                <pt idx="16">
                  <v>0.7926714796385649</v>
                </pt>
                <pt idx="17">
                  <v>0.7932786807923676</v>
                </pt>
                <pt idx="18">
                  <v>0.7931541467478188</v>
                </pt>
                <pt idx="19">
                  <v>0.7691178753591821</v>
                </pt>
                <pt idx="20">
                  <v>0.7561617242973773</v>
                </pt>
                <pt idx="21">
                  <v>0.7473807852701974</v>
                </pt>
                <pt idx="22">
                  <v>0.7480323515417381</v>
                </pt>
                <pt idx="23">
                  <v>0.7442023380306948</v>
                </pt>
                <pt idx="24">
                  <v>0.7454649827417568</v>
                </pt>
                <pt idx="25">
                  <v>0.7282061954252668</v>
                </pt>
                <pt idx="26">
                  <v>0.7581439993535091</v>
                </pt>
                <pt idx="27">
                  <v>0.7555080105703103</v>
                </pt>
                <pt idx="28">
                  <v>0.757420189091125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Produktivitetsudvikling!$B$57:$AD$57</f>
              <numCache>
                <formatCode>General</formatCode>
                <ptCount val="29"/>
                <pt idx="0">
                  <v>1</v>
                </pt>
                <pt idx="1">
                  <v>1.010834994446994</v>
                </pt>
                <pt idx="2">
                  <v>0.9957026731223813</v>
                </pt>
                <pt idx="3">
                  <v>0.9713862814705413</v>
                </pt>
                <pt idx="4">
                  <v>0.9653085434233718</v>
                </pt>
                <pt idx="5">
                  <v>0.9601730042106786</v>
                </pt>
                <pt idx="6">
                  <v>0.979796667817297</v>
                </pt>
                <pt idx="7">
                  <v>0.9704128271302693</v>
                </pt>
                <pt idx="8">
                  <v>0.9734856223580955</v>
                </pt>
                <pt idx="9">
                  <v>0.9602212465184514</v>
                </pt>
                <pt idx="10">
                  <v>0.9423489799533741</v>
                </pt>
                <pt idx="11">
                  <v>0.922432743966256</v>
                </pt>
                <pt idx="12">
                  <v>0.8944671274928023</v>
                </pt>
                <pt idx="13">
                  <v>0.8709030200395619</v>
                </pt>
                <pt idx="14">
                  <v>0.8756820300219939</v>
                </pt>
                <pt idx="15">
                  <v>0.8663757608089088</v>
                </pt>
                <pt idx="16">
                  <v>0.8579240981554274</v>
                </pt>
                <pt idx="17">
                  <v>0.8618305591554541</v>
                </pt>
                <pt idx="18">
                  <v>0.859916117750524</v>
                </pt>
                <pt idx="19">
                  <v>0.824106627796072</v>
                </pt>
                <pt idx="20">
                  <v>0.7757890992689639</v>
                </pt>
                <pt idx="21">
                  <v>0.7526861585815794</v>
                </pt>
                <pt idx="22">
                  <v>0.7846965084889352</v>
                </pt>
                <pt idx="23">
                  <v>0.7641921721201262</v>
                </pt>
                <pt idx="24">
                  <v>0.7168670258229685</v>
                </pt>
                <pt idx="25">
                  <v>0.7606453603292395</v>
                </pt>
                <pt idx="26">
                  <v>0.7876209209735727</v>
                </pt>
                <pt idx="27">
                  <v>0.7965103464598148</v>
                </pt>
                <pt idx="28">
                  <v>0.7704612363041706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Produktivitetsudvikling!$B$58:$AD$58</f>
              <numCache>
                <formatCode>General</formatCode>
                <ptCount val="29"/>
                <pt idx="0">
                  <v>1</v>
                </pt>
                <pt idx="1">
                  <v>1.019038028216726</v>
                </pt>
                <pt idx="2">
                  <v>1.008197670545748</v>
                </pt>
                <pt idx="3">
                  <v>0.9832387452070753</v>
                </pt>
                <pt idx="4">
                  <v>0.9781229985047378</v>
                </pt>
                <pt idx="5">
                  <v>0.9678413869630059</v>
                </pt>
                <pt idx="6">
                  <v>0.9713799397979171</v>
                </pt>
                <pt idx="7">
                  <v>0.9600898009836919</v>
                </pt>
                <pt idx="8">
                  <v>0.9549375989206604</v>
                </pt>
                <pt idx="9">
                  <v>0.9263832820550045</v>
                </pt>
                <pt idx="10">
                  <v>0.9153129989990842</v>
                </pt>
                <pt idx="11">
                  <v>0.8883415288512854</v>
                </pt>
                <pt idx="12">
                  <v>0.8880573774921798</v>
                </pt>
                <pt idx="13">
                  <v>0.870987160543693</v>
                </pt>
                <pt idx="14">
                  <v>0.8681849723070757</v>
                </pt>
                <pt idx="15">
                  <v>0.8230034075464511</v>
                </pt>
                <pt idx="16">
                  <v>0.8038817669718166</v>
                </pt>
                <pt idx="17">
                  <v>0.7917477610242468</v>
                </pt>
                <pt idx="18">
                  <v>0.7770225834155866</v>
                </pt>
                <pt idx="19">
                  <v>0.7801378341198592</v>
                </pt>
                <pt idx="20">
                  <v>0.7692483140612472</v>
                </pt>
                <pt idx="21">
                  <v>0.7743212829275777</v>
                </pt>
                <pt idx="22">
                  <v>0.7780785330991241</v>
                </pt>
                <pt idx="23">
                  <v>0.7869044710577393</v>
                </pt>
                <pt idx="24">
                  <v>0.7839543522703032</v>
                </pt>
                <pt idx="25">
                  <v>0.7699303524714751</v>
                </pt>
                <pt idx="26">
                  <v>0.7695656959703753</v>
                </pt>
                <pt idx="27">
                  <v>0.7669985012521294</v>
                </pt>
                <pt idx="28">
                  <v>0.7643454705112328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K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Produktivitetsudvikling!$A$23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Produktivitetsudvikling!$B$23:$AD$23</f>
              <numCache>
                <formatCode>General</formatCode>
                <ptCount val="29"/>
                <pt idx="0">
                  <v>1</v>
                </pt>
                <pt idx="1">
                  <v>0.990692018079007</v>
                </pt>
                <pt idx="2">
                  <v>0.9765208975161336</v>
                </pt>
                <pt idx="3">
                  <v>0.9578442261285309</v>
                </pt>
                <pt idx="4">
                  <v>0.9575924005559016</v>
                </pt>
                <pt idx="5">
                  <v>0.939148816747939</v>
                </pt>
                <pt idx="6">
                  <v>0.9417067661132558</v>
                </pt>
                <pt idx="7">
                  <v>0.9337585042542224</v>
                </pt>
                <pt idx="8">
                  <v>0.9346290237248408</v>
                </pt>
                <pt idx="9">
                  <v>0.9024779412557542</v>
                </pt>
                <pt idx="10">
                  <v>0.9027484621575731</v>
                </pt>
                <pt idx="11">
                  <v>0.8819397228922011</v>
                </pt>
                <pt idx="12">
                  <v>0.8546700454188918</v>
                </pt>
                <pt idx="13">
                  <v>0.8418740465257037</v>
                </pt>
                <pt idx="14">
                  <v>0.814778810800555</v>
                </pt>
                <pt idx="15">
                  <v>0.7845391851407524</v>
                </pt>
                <pt idx="16">
                  <v>0.7778071958644905</v>
                </pt>
                <pt idx="17">
                  <v>0.7798714774685401</v>
                </pt>
                <pt idx="18">
                  <v>0.7821554419501353</v>
                </pt>
                <pt idx="19">
                  <v>0.7855877947011485</v>
                </pt>
                <pt idx="20">
                  <v>0.7947805279599264</v>
                </pt>
                <pt idx="21">
                  <v>0.8098111213221282</v>
                </pt>
                <pt idx="22">
                  <v>0.7884704010654724</v>
                </pt>
                <pt idx="23">
                  <v>0.8018455140977667</v>
                </pt>
                <pt idx="24">
                  <v>0.7961466270442689</v>
                </pt>
                <pt idx="25">
                  <v>0.7825692071288836</v>
                </pt>
                <pt idx="26">
                  <v>0.792449448489387</v>
                </pt>
                <pt idx="27">
                  <v>0.8100298127362683</v>
                </pt>
                <pt idx="28">
                  <v>0.8029149139212101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Produktivitetsudvikling!$A$24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Produktivitetsudvikling!$B$24:$AD$24</f>
              <numCache>
                <formatCode>General</formatCode>
                <ptCount val="29"/>
                <pt idx="0">
                  <v>1</v>
                </pt>
                <pt idx="1">
                  <v>0.9420124472828427</v>
                </pt>
                <pt idx="2">
                  <v>0.9059595996261808</v>
                </pt>
                <pt idx="3">
                  <v>0.8780856596105432</v>
                </pt>
                <pt idx="4">
                  <v>0.8769584337999047</v>
                </pt>
                <pt idx="5">
                  <v>0.8560432168275539</v>
                </pt>
                <pt idx="6">
                  <v>0.838082971093136</v>
                </pt>
                <pt idx="7">
                  <v>0.82263885914068</v>
                </pt>
                <pt idx="8">
                  <v>0.8034153720747776</v>
                </pt>
                <pt idx="9">
                  <v>0.788157693884919</v>
                </pt>
                <pt idx="10">
                  <v>0.7465670843304737</v>
                </pt>
                <pt idx="11">
                  <v>0.6563749308352295</v>
                </pt>
                <pt idx="12">
                  <v>0.6324698737062284</v>
                </pt>
                <pt idx="13">
                  <v>0.6238386469405309</v>
                </pt>
                <pt idx="14">
                  <v>0.6157199242146948</v>
                </pt>
                <pt idx="15">
                  <v>0.5984113569641113</v>
                </pt>
                <pt idx="16">
                  <v>0.5727887841830943</v>
                </pt>
                <pt idx="17">
                  <v>0.5736889864217566</v>
                </pt>
                <pt idx="18">
                  <v>0.5734995786635003</v>
                </pt>
                <pt idx="19">
                  <v>0.5355618386887724</v>
                </pt>
                <pt idx="20">
                  <v>0.515811469997024</v>
                </pt>
                <pt idx="21">
                  <v>0.500110665917212</v>
                </pt>
                <pt idx="22">
                  <v>0.5012481793273693</v>
                </pt>
                <pt idx="23">
                  <v>0.4938855410519196</v>
                </pt>
                <pt idx="24">
                  <v>0.4958763519880717</v>
                </pt>
                <pt idx="25">
                  <v>0.4689472988796739</v>
                </pt>
                <pt idx="26">
                  <v>0.5305625211440828</v>
                </pt>
                <pt idx="27">
                  <v>0.5251928697212338</v>
                </pt>
                <pt idx="28">
                  <v>0.5292971221482653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Produktivitetsudvikling!$A$25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Produktivitetsudvikling!$B$25:$AD$25</f>
              <numCache>
                <formatCode>General</formatCode>
                <ptCount val="29"/>
                <pt idx="0">
                  <v>1</v>
                </pt>
                <pt idx="1">
                  <v>1.025649441648442</v>
                </pt>
                <pt idx="2">
                  <v>0.9917697465837694</v>
                </pt>
                <pt idx="3">
                  <v>0.9437865177238085</v>
                </pt>
                <pt idx="4">
                  <v>0.9309011439711892</v>
                </pt>
                <pt idx="5">
                  <v>0.9193745449518759</v>
                </pt>
                <pt idx="6">
                  <v>0.9723627636596176</v>
                </pt>
                <pt idx="7">
                  <v>0.9497389620328871</v>
                </pt>
                <pt idx="8">
                  <v>0.9589298920321812</v>
                </pt>
                <pt idx="9">
                  <v>0.9210356612429128</v>
                </pt>
                <pt idx="10">
                  <v>0.8725514472236739</v>
                </pt>
                <pt idx="11">
                  <v>0.825388223528731</v>
                </pt>
                <pt idx="12">
                  <v>0.7525325764823166</v>
                </pt>
                <pt idx="13">
                  <v>0.7066361267184352</v>
                </pt>
                <pt idx="14">
                  <v>0.7195984818033431</v>
                </pt>
                <pt idx="15">
                  <v>0.7007653366569863</v>
                </pt>
                <pt idx="16">
                  <v>0.6851957098074366</v>
                </pt>
                <pt idx="17">
                  <v>0.6922121812402516</v>
                </pt>
                <pt idx="18">
                  <v>0.6886513872778252</v>
                </pt>
                <pt idx="19">
                  <v>0.6207118282883692</v>
                </pt>
                <pt idx="20">
                  <v>0.5483755785599579</v>
                </pt>
                <pt idx="21">
                  <v>0.5133459912398424</v>
                </pt>
                <pt idx="22">
                  <v>0.5644509690524041</v>
                </pt>
                <pt idx="23">
                  <v>0.5270172639996337</v>
                </pt>
                <pt idx="24">
                  <v>0.4658490429841439</v>
                </pt>
                <pt idx="25">
                  <v>0.5234114214725066</v>
                </pt>
                <pt idx="26">
                  <v>0.5735084003922757</v>
                </pt>
                <pt idx="27">
                  <v>0.5921427816718674</v>
                </pt>
                <pt idx="28">
                  <v>0.5393749741286959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Produktivitetsudvikling!$A$26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Produktivitetsudvikling!$B$26:$AD$26</f>
              <numCache>
                <formatCode>General</formatCode>
                <ptCount val="29"/>
                <pt idx="0">
                  <v>1</v>
                </pt>
                <pt idx="1">
                  <v>1.043213501590363</v>
                </pt>
                <pt idx="2">
                  <v>1.019106690767322</v>
                </pt>
                <pt idx="3">
                  <v>0.9698874011006199</v>
                </pt>
                <pt idx="4">
                  <v>0.9593437200707493</v>
                </pt>
                <pt idx="5">
                  <v>0.9371229338214913</v>
                </pt>
                <pt idx="6">
                  <v>0.9455501973836711</v>
                </pt>
                <pt idx="7">
                  <v>0.9215696199162164</v>
                </pt>
                <pt idx="8">
                  <v>0.9074318614568029</v>
                </pt>
                <pt idx="9">
                  <v>0.8386502592023117</v>
                </pt>
                <pt idx="10">
                  <v>0.813648040831162</v>
                </pt>
                <pt idx="11">
                  <v>0.7605858355609537</v>
                </pt>
                <pt idx="12">
                  <v>0.7598965923703512</v>
                </pt>
                <pt idx="13">
                  <v>0.7264266326703922</v>
                </pt>
                <pt idx="14">
                  <v>0.7187968372074187</v>
                </pt>
                <pt idx="15">
                  <v>0.6346792070321349</v>
                </pt>
                <pt idx="16">
                  <v>0.6047639464482099</v>
                </pt>
                <pt idx="17">
                  <v>0.5876451954138335</v>
                </pt>
                <pt idx="18">
                  <v>0.5672182527297953</v>
                </pt>
                <pt idx="19">
                  <v>0.5718429607716151</v>
                </pt>
                <pt idx="20">
                  <v>0.5558566136879265</v>
                </pt>
                <pt idx="21">
                  <v>0.5649695391258007</v>
                </pt>
                <pt idx="22">
                  <v>0.5717707880551687</v>
                </pt>
                <pt idx="23">
                  <v>0.5892619095303254</v>
                </pt>
                <pt idx="24">
                  <v>0.5841996234405799</v>
                </pt>
                <pt idx="25">
                  <v>0.5606115224718223</v>
                </pt>
                <pt idx="26">
                  <v>0.5599392757176641</v>
                </pt>
                <pt idx="27">
                  <v>0.5551451518292854</v>
                </pt>
                <pt idx="28">
                  <v>0.5503977354427237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4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strike="noStrike" kern="1200" spc="0" baseline="0">
                <a:solidFill>
                  <a:srgbClr val="000000"/>
                </a:solidFill>
              </a:rPr>
              <a:t>CES fordelingsparameter K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Produktivitetsudvikling!$A$69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Produktivitetsudvikling!$B$69:$AD$69</f>
              <numCache>
                <formatCode>General</formatCode>
                <ptCount val="29"/>
                <pt idx="0">
                  <v>1</v>
                </pt>
                <pt idx="1">
                  <v>1.00939543445504</v>
                </pt>
                <pt idx="2">
                  <v>1.024043625224598</v>
                </pt>
                <pt idx="3">
                  <v>1.044011095668297</v>
                </pt>
                <pt idx="4">
                  <v>1.044285647441938</v>
                </pt>
                <pt idx="5">
                  <v>1.064793973188163</v>
                </pt>
                <pt idx="6">
                  <v>1.061901683182483</v>
                </pt>
                <pt idx="7">
                  <v>1.070940714803645</v>
                </pt>
                <pt idx="8">
                  <v>1.069943233749185</v>
                </pt>
                <pt idx="9">
                  <v>1.108060324010301</v>
                </pt>
                <pt idx="10">
                  <v>1.107728278605975</v>
                </pt>
                <pt idx="11">
                  <v>1.133864337939826</v>
                </pt>
                <pt idx="12">
                  <v>1.170042176346404</v>
                </pt>
                <pt idx="13">
                  <v>1.187826141127475</v>
                </pt>
                <pt idx="14">
                  <v>1.227326958855811</v>
                </pt>
                <pt idx="15">
                  <v>1.274633592483455</v>
                </pt>
                <pt idx="16">
                  <v>1.285665657655113</v>
                </pt>
                <pt idx="17">
                  <v>1.282262563629069</v>
                </pt>
                <pt idx="18">
                  <v>1.278518241216498</v>
                </pt>
                <pt idx="19">
                  <v>1.272932200251937</v>
                </pt>
                <pt idx="20">
                  <v>1.258208983260874</v>
                </pt>
                <pt idx="21">
                  <v>1.234855849308863</v>
                </pt>
                <pt idx="22">
                  <v>1.26827842700079</v>
                </pt>
                <pt idx="23">
                  <v>1.247123021103629</v>
                </pt>
                <pt idx="24">
                  <v>1.25605003655237</v>
                </pt>
                <pt idx="25">
                  <v>1.277842254576862</v>
                </pt>
                <pt idx="26">
                  <v>1.261910146957964</v>
                </pt>
                <pt idx="27">
                  <v>1.234522463589353</v>
                </pt>
                <pt idx="28">
                  <v>1.245461981913229</v>
                </pt>
              </numCache>
            </numRef>
          </val>
          <smooth val="0"/>
        </ser>
        <ser>
          <idx val="1"/>
          <order val="1"/>
          <tx>
            <strRef>
              <f>Produktivitetsudvikling!$A$70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Produktivitetsudvikling!$B$70:$AD$70</f>
              <numCache>
                <formatCode>General</formatCode>
                <ptCount val="29"/>
                <pt idx="0">
                  <v>1</v>
                </pt>
                <pt idx="1">
                  <v>1.061557098193785</v>
                </pt>
                <pt idx="2">
                  <v>1.10380198014638</v>
                </pt>
                <pt idx="3">
                  <v>1.138841056171592</v>
                </pt>
                <pt idx="4">
                  <v>1.14030490095973</v>
                </pt>
                <pt idx="5">
                  <v>1.168165321963466</v>
                </pt>
                <pt idx="6">
                  <v>1.193199282757972</v>
                </pt>
                <pt idx="7">
                  <v>1.215600246558483</v>
                </pt>
                <pt idx="8">
                  <v>1.244686167029084</v>
                </pt>
                <pt idx="9">
                  <v>1.268781625502996</v>
                </pt>
                <pt idx="10">
                  <v>1.339464357575859</v>
                </pt>
                <pt idx="11">
                  <v>1.523519490190632</v>
                </pt>
                <pt idx="12">
                  <v>1.581102976715826</v>
                </pt>
                <pt idx="13">
                  <v>1.602978598559521</v>
                </pt>
                <pt idx="14">
                  <v>1.624115057305358</v>
                </pt>
                <pt idx="15">
                  <v>1.671091279205073</v>
                </pt>
                <pt idx="16">
                  <v>1.745844240693697</v>
                </pt>
                <pt idx="17">
                  <v>1.743104754785782</v>
                </pt>
                <pt idx="18">
                  <v>1.74368044407361</v>
                </pt>
                <pt idx="19">
                  <v>1.867198011061285</v>
                </pt>
                <pt idx="20">
                  <v>1.938692832878977</v>
                </pt>
                <pt idx="21">
                  <v>1.999557434285034</v>
                </pt>
                <pt idx="22">
                  <v>1.995019715267418</v>
                </pt>
                <pt idx="23">
                  <v>2.024760631522264</v>
                </pt>
                <pt idx="24">
                  <v>2.016631759088313</v>
                </pt>
                <pt idx="25">
                  <v>2.132435781993038</v>
                </pt>
                <pt idx="26">
                  <v>1.88479200876014</v>
                </pt>
                <pt idx="27">
                  <v>1.904062407646145</v>
                </pt>
                <pt idx="28">
                  <v>1.889298010805891</v>
                </pt>
              </numCache>
            </numRef>
          </val>
          <smooth val="0"/>
        </ser>
        <ser>
          <idx val="2"/>
          <order val="2"/>
          <tx>
            <strRef>
              <f>Produktivitetsudvikling!$A$71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Produktivitetsudvikling!$B$71:$AD$71</f>
              <numCache>
                <formatCode>General</formatCode>
                <ptCount val="29"/>
                <pt idx="0">
                  <v>1</v>
                </pt>
                <pt idx="1">
                  <v>0.9749919995985977</v>
                </pt>
                <pt idx="2">
                  <v>1.008298552607176</v>
                </pt>
                <pt idx="3">
                  <v>1.059561650034761</v>
                </pt>
                <pt idx="4">
                  <v>1.074227920414876</v>
                </pt>
                <pt idx="5">
                  <v>1.087695983634553</v>
                </pt>
                <pt idx="6">
                  <v>1.028422762957691</v>
                </pt>
                <pt idx="7">
                  <v>1.052920897190035</v>
                </pt>
                <pt idx="8">
                  <v>1.042829103888692</v>
                </pt>
                <pt idx="9">
                  <v>1.085734290299387</v>
                </pt>
                <pt idx="10">
                  <v>1.146064227137378</v>
                </pt>
                <pt idx="11">
                  <v>1.211551087710898</v>
                </pt>
                <pt idx="12">
                  <v>1.328846127398843</v>
                </pt>
                <pt idx="13">
                  <v>1.415155498267439</v>
                </pt>
                <pt idx="14">
                  <v>1.389663854617868</v>
                </pt>
                <pt idx="15">
                  <v>1.427011222858879</v>
                </pt>
                <pt idx="16">
                  <v>1.459437042127765</v>
                </pt>
                <pt idx="17">
                  <v>1.444643748118212</v>
                </pt>
                <pt idx="18">
                  <v>1.452113534473381</v>
                </pt>
                <pt idx="19">
                  <v>1.611053558875346</v>
                </pt>
                <pt idx="20">
                  <v>1.82356771362068</v>
                </pt>
                <pt idx="21">
                  <v>1.948003913666067</v>
                </pt>
                <pt idx="22">
                  <v>1.771633064389617</v>
                </pt>
                <pt idx="23">
                  <v>1.897471047553188</v>
                </pt>
                <pt idx="24">
                  <v>2.146618126752354</v>
                </pt>
                <pt idx="25">
                  <v>1.910542947623712</v>
                </pt>
                <pt idx="26">
                  <v>1.743653622712426</v>
                </pt>
                <pt idx="27">
                  <v>1.688781879898258</v>
                </pt>
                <pt idx="28">
                  <v>1.853997771430526</v>
                </pt>
              </numCache>
            </numRef>
          </val>
          <smooth val="0"/>
        </ser>
        <ser>
          <idx val="3"/>
          <order val="3"/>
          <tx>
            <strRef>
              <f>Produktivitetsudvikling!$A$72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Produktivitetsudvikling!$B$72:$AD$72</f>
              <numCache>
                <formatCode>General</formatCode>
                <ptCount val="29"/>
                <pt idx="0">
                  <v>1</v>
                </pt>
                <pt idx="1">
                  <v>0.9585765507017644</v>
                </pt>
                <pt idx="2">
                  <v>0.9812515304428671</v>
                </pt>
                <pt idx="3">
                  <v>1.031047520428875</v>
                </pt>
                <pt idx="4">
                  <v>1.042379263113592</v>
                </pt>
                <pt idx="5">
                  <v>1.067095856807283</v>
                </pt>
                <pt idx="6">
                  <v>1.057585311458863</v>
                </pt>
                <pt idx="7">
                  <v>1.085105214395971</v>
                </pt>
                <pt idx="8">
                  <v>1.102011117831576</v>
                </pt>
                <pt idx="9">
                  <v>1.192392167089004</v>
                </pt>
                <pt idx="10">
                  <v>1.229032640425797</v>
                </pt>
                <pt idx="11">
                  <v>1.314775996666401</v>
                </pt>
                <pt idx="12">
                  <v>1.315968527876526</v>
                </pt>
                <pt idx="13">
                  <v>1.376601510773268</v>
                </pt>
                <pt idx="14">
                  <v>1.391213689649883</v>
                </pt>
                <pt idx="15">
                  <v>1.575599119870597</v>
                </pt>
                <pt idx="16">
                  <v>1.653537724715599</v>
                </pt>
                <pt idx="17">
                  <v>1.701707097759519</v>
                </pt>
                <pt idx="18">
                  <v>1.762989810689974</v>
                </pt>
                <pt idx="19">
                  <v>1.748731852274008</v>
                </pt>
                <pt idx="20">
                  <v>1.799025099953974</v>
                </pt>
                <pt idx="21">
                  <v>1.770006930899918</v>
                </pt>
                <pt idx="22">
                  <v>1.748952588853686</v>
                </pt>
                <pt idx="23">
                  <v>1.69703825043953</v>
                </pt>
                <pt idx="24">
                  <v>1.711743657263264</v>
                </pt>
                <pt idx="25">
                  <v>1.783766404926617</v>
                </pt>
                <pt idx="26">
                  <v>1.785907942818117</v>
                </pt>
                <pt idx="27">
                  <v>1.801330691090162</v>
                </pt>
                <pt idx="28">
                  <v>1.816867940409729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100" b="0" i="0" strike="noStrike" kern="1200" spc="0" baseline="0">
                <a:solidFill>
                  <a:srgbClr val="000000"/>
                </a:solidFill>
              </a:rPr>
              <a:t xml:space="preserve">CES fordelingsparameter 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2"/>
          <order val="0"/>
          <tx>
            <strRef>
              <f>Produktivitetsudvikling!$A$113</f>
              <strCache>
                <ptCount val="1"/>
                <pt idx="0">
                  <v>Mu (JKL_J)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Produktivitetsudvikling!$B$114:$AD$114</f>
              <numCache>
                <formatCode>General</formatCode>
                <ptCount val="29"/>
                <pt idx="0">
                  <v>1</v>
                </pt>
                <pt idx="1">
                  <v>1.00634679286683</v>
                </pt>
                <pt idx="2">
                  <v>1.035431611772422</v>
                </pt>
                <pt idx="3">
                  <v>1.080395206189417</v>
                </pt>
                <pt idx="4">
                  <v>1.10790877177993</v>
                </pt>
                <pt idx="5">
                  <v>1.140864443006921</v>
                </pt>
                <pt idx="6">
                  <v>1.135619507283437</v>
                </pt>
                <pt idx="7">
                  <v>1.146209869378326</v>
                </pt>
                <pt idx="8">
                  <v>1.150159963729325</v>
                </pt>
                <pt idx="9">
                  <v>1.191495711686509</v>
                </pt>
                <pt idx="10">
                  <v>1.196728780779324</v>
                </pt>
                <pt idx="11">
                  <v>1.238616259881916</v>
                </pt>
                <pt idx="12">
                  <v>1.336188997130483</v>
                </pt>
                <pt idx="13">
                  <v>1.361079960473801</v>
                </pt>
                <pt idx="14">
                  <v>1.362731000894848</v>
                </pt>
                <pt idx="15">
                  <v>1.445275203426714</v>
                </pt>
                <pt idx="16">
                  <v>1.464652602618606</v>
                </pt>
                <pt idx="17">
                  <v>1.506827720040762</v>
                </pt>
                <pt idx="18">
                  <v>1.550495373110345</v>
                </pt>
                <pt idx="19">
                  <v>1.570443132116932</v>
                </pt>
                <pt idx="20">
                  <v>1.563221724741993</v>
                </pt>
                <pt idx="21">
                  <v>1.584351894697477</v>
                </pt>
                <pt idx="22">
                  <v>1.595893005689004</v>
                </pt>
                <pt idx="23">
                  <v>1.612637919537491</v>
                </pt>
                <pt idx="24">
                  <v>1.652653328660883</v>
                </pt>
                <pt idx="25">
                  <v>1.717047857063398</v>
                </pt>
                <pt idx="26">
                  <v>1.727187073436215</v>
                </pt>
                <pt idx="27">
                  <v>1.699236173922525</v>
                </pt>
                <pt idx="28">
                  <v>1.732432287513445</v>
                </pt>
              </numCache>
            </numRef>
          </val>
          <smooth val="0"/>
        </ser>
        <ser>
          <idx val="3"/>
          <order val="1"/>
          <tx>
            <strRef>
              <f>Produktivitetsudvikling!$A$152</f>
              <strCache>
                <ptCount val="1"/>
                <pt idx="0">
                  <v>Mu (JKL_KL)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Produktivitetsudvikling!$B$153:$AD$153</f>
              <numCache>
                <formatCode>General</formatCode>
                <ptCount val="29"/>
                <pt idx="0">
                  <v>1</v>
                </pt>
                <pt idx="1">
                  <v>0.9996573423705403</v>
                </pt>
                <pt idx="2">
                  <v>0.9978799668169431</v>
                </pt>
                <pt idx="3">
                  <v>0.995580405737557</v>
                </pt>
                <pt idx="4">
                  <v>0.994440533826086</v>
                </pt>
                <pt idx="5">
                  <v>0.9936500714816758</v>
                </pt>
                <pt idx="6">
                  <v>0.9939005570286364</v>
                </pt>
                <pt idx="7">
                  <v>0.9931541984313775</v>
                </pt>
                <pt idx="8">
                  <v>0.9930410366548518</v>
                </pt>
                <pt idx="9">
                  <v>0.992496566634408</v>
                </pt>
                <pt idx="10">
                  <v>0.9926877305690007</v>
                </pt>
                <pt idx="11">
                  <v>0.9944121545678829</v>
                </pt>
                <pt idx="12">
                  <v>1.005621068941692</v>
                </pt>
                <pt idx="13">
                  <v>1.006827893375592</v>
                </pt>
                <pt idx="14">
                  <v>1.006773929304506</v>
                </pt>
                <pt idx="15">
                  <v>0.9982925573424933</v>
                </pt>
                <pt idx="16">
                  <v>0.9979111625415061</v>
                </pt>
                <pt idx="17">
                  <v>1.000757387325249</v>
                </pt>
                <pt idx="18">
                  <v>1.004043302353493</v>
                </pt>
                <pt idx="19">
                  <v>1.007093487071655</v>
                </pt>
                <pt idx="20">
                  <v>1.005978036837382</v>
                </pt>
                <pt idx="21">
                  <v>1.009074077237368</v>
                </pt>
                <pt idx="22">
                  <v>1.010761009102795</v>
                </pt>
                <pt idx="23">
                  <v>1.013495146519549</v>
                </pt>
                <pt idx="24">
                  <v>1.019237985065664</v>
                </pt>
                <pt idx="25">
                  <v>1.027730028052577</v>
                </pt>
                <pt idx="26">
                  <v>1.029266726972415</v>
                </pt>
                <pt idx="27">
                  <v>1.024910387625294</v>
                </pt>
                <pt idx="28">
                  <v>1.028895266382836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100" b="0" i="0" strike="noStrike" kern="1200" spc="0" baseline="0">
                <a:solidFill>
                  <a:srgbClr val="000000"/>
                </a:solidFill>
              </a:rPr>
              <a:t>Produktivitetsudvikling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2"/>
          <order val="0"/>
          <tx>
            <strRef>
              <f>Produktivitetsudvikling!$A$119</f>
              <strCache>
                <ptCount val="1"/>
                <pt idx="0">
                  <v>Theta (JKL_J)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Produktivitetsudvikling!$B$120:$AD$120</f>
              <numCache>
                <formatCode>General</formatCode>
                <ptCount val="29"/>
                <pt idx="0">
                  <v>1</v>
                </pt>
                <pt idx="1">
                  <v>0.9936932348651403</v>
                </pt>
                <pt idx="2">
                  <v>0.9657808286229829</v>
                </pt>
                <pt idx="3">
                  <v>0.925587224259377</v>
                </pt>
                <pt idx="4">
                  <v>0.9026013923451776</v>
                </pt>
                <pt idx="5">
                  <v>0.8765283256302981</v>
                </pt>
                <pt idx="6">
                  <v>0.8805766311571569</v>
                </pt>
                <pt idx="7">
                  <v>0.8724405771714159</v>
                </pt>
                <pt idx="8">
                  <v>0.8694442786528228</v>
                </pt>
                <pt idx="9">
                  <v>0.8392812413773146</v>
                </pt>
                <pt idx="10">
                  <v>0.8356112229111657</v>
                </pt>
                <pt idx="11">
                  <v>0.8073525533205381</v>
                </pt>
                <pt idx="12">
                  <v>0.7483971220744505</v>
                </pt>
                <pt idx="13">
                  <v>0.7347106922740184</v>
                </pt>
                <pt idx="14">
                  <v>0.7338205407694851</v>
                </pt>
                <pt idx="15">
                  <v>0.6919097467589722</v>
                </pt>
                <pt idx="16">
                  <v>0.6827557594286401</v>
                </pt>
                <pt idx="17">
                  <v>0.6636458745084328</v>
                </pt>
                <pt idx="18">
                  <v>0.6449551655184667</v>
                </pt>
                <pt idx="19">
                  <v>0.6367629489722535</v>
                </pt>
                <pt idx="20">
                  <v>0.6397045180299344</v>
                </pt>
                <pt idx="21">
                  <v>0.6311729126255399</v>
                </pt>
                <pt idx="22">
                  <v>0.6266084232684913</v>
                </pt>
                <pt idx="23">
                  <v>0.6201020005078401</v>
                </pt>
                <pt idx="24">
                  <v>0.6050875780526115</v>
                </pt>
                <pt idx="25">
                  <v>0.5823949494979491</v>
                </pt>
                <pt idx="26">
                  <v>0.5789760793024658</v>
                </pt>
                <pt idx="27">
                  <v>0.5884997126041608</v>
                </pt>
                <pt idx="28">
                  <v>0.5772231372086101</v>
                </pt>
              </numCache>
            </numRef>
          </val>
          <smooth val="0"/>
        </ser>
        <ser>
          <idx val="3"/>
          <order val="1"/>
          <tx>
            <strRef>
              <f>Produktivitetsudvikling!$A$158</f>
              <strCache>
                <ptCount val="1"/>
                <pt idx="0">
                  <v>Theta (JKL_KL)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Produktivitetsudvikling!$B$8:$AD$8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Produktivitetsudvikling!$B$159:$AD$159</f>
              <numCache>
                <formatCode>General</formatCode>
                <ptCount val="29"/>
                <pt idx="0">
                  <v>1</v>
                </pt>
                <pt idx="1">
                  <v>1.000342775083957</v>
                </pt>
                <pt idx="2">
                  <v>1.002124537272574</v>
                </pt>
                <pt idx="3">
                  <v>1.004439213786222</v>
                </pt>
                <pt idx="4">
                  <v>1.00559054662879</v>
                </pt>
                <pt idx="5">
                  <v>1.006390507785961</v>
                </pt>
                <pt idx="6">
                  <v>1.006136874487322</v>
                </pt>
                <pt idx="7">
                  <v>1.006892989607691</v>
                </pt>
                <pt idx="8">
                  <v>1.00700772988052</v>
                </pt>
                <pt idx="9">
                  <v>1.007560160526334</v>
                </pt>
                <pt idx="10">
                  <v>1.007366132577068</v>
                </pt>
                <pt idx="11">
                  <v>1.005619244904086</v>
                </pt>
                <pt idx="12">
                  <v>0.994410350861476</v>
                </pt>
                <pt idx="13">
                  <v>0.9932184105937907</v>
                </pt>
                <pt idx="14">
                  <v>0.9932716480757647</v>
                </pt>
                <pt idx="15">
                  <v>1.00171036300426</v>
                </pt>
                <pt idx="16">
                  <v>1.002093209833602</v>
                </pt>
                <pt idx="17">
                  <v>0.9992431858761756</v>
                </pt>
                <pt idx="18">
                  <v>0.9959729801055239</v>
                </pt>
                <pt idx="19">
                  <v>0.9929564760742511</v>
                </pt>
                <pt idx="20">
                  <v>0.9940574877199349</v>
                </pt>
                <pt idx="21">
                  <v>0.9910075212097306</v>
                </pt>
                <pt idx="22">
                  <v>0.9893535573633305</v>
                </pt>
                <pt idx="23">
                  <v>0.9866845474634066</v>
                </pt>
                <pt idx="24">
                  <v>0.9811251294128085</v>
                </pt>
                <pt idx="25">
                  <v>0.9730181786114379</v>
                </pt>
                <pt idx="26">
                  <v>0.9715654589763112</v>
                </pt>
                <pt idx="27">
                  <v>0.9756950579035387</v>
                </pt>
                <pt idx="28">
                  <v>0.9719162218673435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Produktivitetsudvikling!$A$8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KL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(2)'!$A$9</f>
              <strCache>
                <ptCount val="1"/>
                <pt idx="0">
                  <v>Landbrug (010000) (JKL)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(2)'!$B$9:$AD$9</f>
              <numCache>
                <formatCode>General</formatCode>
                <ptCount val="29"/>
                <pt idx="0">
                  <v>1</v>
                </pt>
                <pt idx="1">
                  <v>1.03665308844316</v>
                </pt>
                <pt idx="2">
                  <v>1.068466020511474</v>
                </pt>
                <pt idx="3">
                  <v>1.12975926027109</v>
                </pt>
                <pt idx="4">
                  <v>1.154210548919587</v>
                </pt>
                <pt idx="5">
                  <v>1.188275129132815</v>
                </pt>
                <pt idx="6">
                  <v>1.24162547635424</v>
                </pt>
                <pt idx="7">
                  <v>1.244307074003913</v>
                </pt>
                <pt idx="8">
                  <v>1.260412225230535</v>
                </pt>
                <pt idx="9">
                  <v>1.317620475205209</v>
                </pt>
                <pt idx="10">
                  <v>1.345092846423782</v>
                </pt>
                <pt idx="11">
                  <v>1.364594986364839</v>
                </pt>
                <pt idx="12">
                  <v>1.459979872580365</v>
                </pt>
                <pt idx="13">
                  <v>1.545808704419235</v>
                </pt>
                <pt idx="14">
                  <v>1.453913443227967</v>
                </pt>
                <pt idx="15">
                  <v>1.485652052789391</v>
                </pt>
                <pt idx="16">
                  <v>1.598536399785106</v>
                </pt>
                <pt idx="17">
                  <v>1.601806147137179</v>
                </pt>
                <pt idx="18">
                  <v>1.674779071699781</v>
                </pt>
                <pt idx="19">
                  <v>1.679887312817728</v>
                </pt>
                <pt idx="20">
                  <v>1.764598323937302</v>
                </pt>
                <pt idx="21">
                  <v>1.739747000109133</v>
                </pt>
                <pt idx="22">
                  <v>1.765451181706158</v>
                </pt>
                <pt idx="23">
                  <v>1.859269322398809</v>
                </pt>
                <pt idx="24">
                  <v>1.887124190101115</v>
                </pt>
                <pt idx="25">
                  <v>1.941050199149009</v>
                </pt>
                <pt idx="26">
                  <v>2.006027479028025</v>
                </pt>
                <pt idx="27">
                  <v>2.049998193316673</v>
                </pt>
                <pt idx="28">
                  <v>2.067639392405714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(2)'!$B$10:$AD$10</f>
              <numCache>
                <formatCode>General</formatCode>
                <ptCount val="29"/>
                <pt idx="0">
                  <v>1</v>
                </pt>
                <pt idx="1">
                  <v>0.868921307603297</v>
                </pt>
                <pt idx="2">
                  <v>0.8572987954166121</v>
                </pt>
                <pt idx="3">
                  <v>0.8886873040295623</v>
                </pt>
                <pt idx="4">
                  <v>0.9981262955744395</v>
                </pt>
                <pt idx="5">
                  <v>0.998800806746421</v>
                </pt>
                <pt idx="6">
                  <v>0.9760323311969965</v>
                </pt>
                <pt idx="7">
                  <v>0.9873595411250865</v>
                </pt>
                <pt idx="8">
                  <v>0.9470225892488869</v>
                </pt>
                <pt idx="9">
                  <v>0.9776850541127946</v>
                </pt>
                <pt idx="10">
                  <v>1.003640108362915</v>
                </pt>
                <pt idx="11">
                  <v>1.099344403820158</v>
                </pt>
                <pt idx="12">
                  <v>1.118187096077001</v>
                </pt>
                <pt idx="13">
                  <v>1.123650595726897</v>
                </pt>
                <pt idx="14">
                  <v>1.131891851650325</v>
                </pt>
                <pt idx="15">
                  <v>1.179572759638381</v>
                </pt>
                <pt idx="16">
                  <v>1.195914812285388</v>
                </pt>
                <pt idx="17">
                  <v>1.252966341014277</v>
                </pt>
                <pt idx="18">
                  <v>1.227211862256512</v>
                </pt>
                <pt idx="19">
                  <v>1.292504905148796</v>
                </pt>
                <pt idx="20">
                  <v>1.352442075130988</v>
                </pt>
                <pt idx="21">
                  <v>1.434036879621451</v>
                </pt>
                <pt idx="22">
                  <v>1.435919845354504</v>
                </pt>
                <pt idx="23">
                  <v>1.491526282915545</v>
                </pt>
                <pt idx="24">
                  <v>1.484833153278868</v>
                </pt>
                <pt idx="25">
                  <v>1.583618420136761</v>
                </pt>
                <pt idx="26">
                  <v>1.479126360043783</v>
                </pt>
                <pt idx="27">
                  <v>1.630633788415867</v>
                </pt>
                <pt idx="28">
                  <v>1.527737226982653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(2)'!$B$11:$AD$11</f>
              <numCache>
                <formatCode>General</formatCode>
                <ptCount val="29"/>
                <pt idx="0">
                  <v>1</v>
                </pt>
                <pt idx="1">
                  <v>1.011681210187104</v>
                </pt>
                <pt idx="2">
                  <v>0.9869900471272893</v>
                </pt>
                <pt idx="3">
                  <v>1.013881355050874</v>
                </pt>
                <pt idx="4">
                  <v>1.018679217541755</v>
                </pt>
                <pt idx="5">
                  <v>1.003297923338107</v>
                </pt>
                <pt idx="6">
                  <v>0.9650287863820742</v>
                </pt>
                <pt idx="7">
                  <v>0.9729683552553062</v>
                </pt>
                <pt idx="8">
                  <v>0.9031647472946327</v>
                </pt>
                <pt idx="9">
                  <v>0.9521226076135189</v>
                </pt>
                <pt idx="10">
                  <v>0.9643805009457899</v>
                </pt>
                <pt idx="11">
                  <v>1.05689214883236</v>
                </pt>
                <pt idx="12">
                  <v>1.177312522891375</v>
                </pt>
                <pt idx="13">
                  <v>1.194678886960476</v>
                </pt>
                <pt idx="14">
                  <v>1.179794644728032</v>
                </pt>
                <pt idx="15">
                  <v>1.150999720079709</v>
                </pt>
                <pt idx="16">
                  <v>1.137800625686505</v>
                </pt>
                <pt idx="17">
                  <v>1.25705317079208</v>
                </pt>
                <pt idx="18">
                  <v>1.30969062521439</v>
                </pt>
                <pt idx="19">
                  <v>1.376966109587945</v>
                </pt>
                <pt idx="20">
                  <v>1.598558619487272</v>
                </pt>
                <pt idx="21">
                  <v>1.678855711119754</v>
                </pt>
                <pt idx="22">
                  <v>1.540271027807485</v>
                </pt>
                <pt idx="23">
                  <v>1.76208989053083</v>
                </pt>
                <pt idx="24">
                  <v>1.892079276936712</v>
                </pt>
                <pt idx="25">
                  <v>1.730088120999202</v>
                </pt>
                <pt idx="26">
                  <v>1.613975843247574</v>
                </pt>
                <pt idx="27">
                  <v>1.584761269074731</v>
                </pt>
                <pt idx="28">
                  <v>1.884344049940805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(2)'!$B$12:$AD$12</f>
              <numCache>
                <formatCode>General</formatCode>
                <ptCount val="29"/>
                <pt idx="0">
                  <v>1</v>
                </pt>
                <pt idx="1">
                  <v>1.056344473844245</v>
                </pt>
                <pt idx="2">
                  <v>1.029435171885574</v>
                </pt>
                <pt idx="3">
                  <v>1.028544259754701</v>
                </pt>
                <pt idx="4">
                  <v>1.043560855793821</v>
                </pt>
                <pt idx="5">
                  <v>1.059652151466752</v>
                </pt>
                <pt idx="6">
                  <v>1.058375896971471</v>
                </pt>
                <pt idx="7">
                  <v>1.083249931428626</v>
                </pt>
                <pt idx="8">
                  <v>1.190299997745517</v>
                </pt>
                <pt idx="9">
                  <v>1.231348918747284</v>
                </pt>
                <pt idx="10">
                  <v>1.308618665262551</v>
                </pt>
                <pt idx="11">
                  <v>1.398762039054718</v>
                </pt>
                <pt idx="12">
                  <v>1.365643196705772</v>
                </pt>
                <pt idx="13">
                  <v>1.450638488132703</v>
                </pt>
                <pt idx="14">
                  <v>1.422150296226136</v>
                </pt>
                <pt idx="15">
                  <v>1.351627185330134</v>
                </pt>
                <pt idx="16">
                  <v>1.287779455077061</v>
                </pt>
                <pt idx="17">
                  <v>1.322947632313584</v>
                </pt>
                <pt idx="18">
                  <v>1.322792701989005</v>
                </pt>
                <pt idx="19">
                  <v>1.371105477520873</v>
                </pt>
                <pt idx="20">
                  <v>1.407246743701003</v>
                </pt>
                <pt idx="21">
                  <v>1.45962549701354</v>
                </pt>
                <pt idx="22">
                  <v>1.522511566532504</v>
                </pt>
                <pt idx="23">
                  <v>1.504838016895707</v>
                </pt>
                <pt idx="24">
                  <v>1.537403782647579</v>
                </pt>
                <pt idx="25">
                  <v>1.57275911729234</v>
                </pt>
                <pt idx="26">
                  <v>1.586732472391451</v>
                </pt>
                <pt idx="27">
                  <v>1.541583815503689</v>
                </pt>
                <pt idx="28">
                  <v>1.586519299596709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CES fordelingsparameter KL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(2)'!$A$9</f>
              <strCache>
                <ptCount val="1"/>
                <pt idx="0">
                  <v>Landbrug (010000) (JKL)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(2)'!$B$55:$AD$55</f>
              <numCache>
                <formatCode>General</formatCode>
                <ptCount val="29"/>
                <pt idx="0">
                  <v>1</v>
                </pt>
                <pt idx="1">
                  <v>0.9646428599386077</v>
                </pt>
                <pt idx="2">
                  <v>0.9359211999285675</v>
                </pt>
                <pt idx="3">
                  <v>0.8851443269073507</v>
                </pt>
                <pt idx="4">
                  <v>0.8663930518882036</v>
                </pt>
                <pt idx="5">
                  <v>0.8415559456586331</v>
                </pt>
                <pt idx="6">
                  <v>0.8053958452401286</v>
                </pt>
                <pt idx="7">
                  <v>0.8036601421723137</v>
                </pt>
                <pt idx="8">
                  <v>0.7933912254914026</v>
                </pt>
                <pt idx="9">
                  <v>0.7589438831726245</v>
                </pt>
                <pt idx="10">
                  <v>0.7434431033208709</v>
                </pt>
                <pt idx="11">
                  <v>0.7328181694877191</v>
                </pt>
                <pt idx="12">
                  <v>0.6849409493793928</v>
                </pt>
                <pt idx="13">
                  <v>0.6469105764129481</v>
                </pt>
                <pt idx="14">
                  <v>0.6877988539536495</v>
                </pt>
                <pt idx="15">
                  <v>0.6731051177982401</v>
                </pt>
                <pt idx="16">
                  <v>0.6255722422926571</v>
                </pt>
                <pt idx="17">
                  <v>0.6242952693041204</v>
                </pt>
                <pt idx="18">
                  <v>0.5970936805324847</v>
                </pt>
                <pt idx="19">
                  <v>0.5952780239304674</v>
                </pt>
                <pt idx="20">
                  <v>0.5667012069742458</v>
                </pt>
                <pt idx="21">
                  <v>0.574796220333917</v>
                </pt>
                <pt idx="22">
                  <v>0.5664274437957473</v>
                </pt>
                <pt idx="23">
                  <v>0.5378456945171404</v>
                </pt>
                <pt idx="24">
                  <v>0.5299068313815737</v>
                </pt>
                <pt idx="25">
                  <v>0.5151850273828147</v>
                </pt>
                <pt idx="26">
                  <v>0.4984976579107117</v>
                </pt>
                <pt idx="27">
                  <v>0.4878053079559593</v>
                </pt>
                <pt idx="28">
                  <v>0.4836433295249287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(2)'!$A$10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(2)'!$B$56:$AD$56</f>
              <numCache>
                <formatCode>General</formatCode>
                <ptCount val="29"/>
                <pt idx="0">
                  <v>1</v>
                </pt>
                <pt idx="1">
                  <v>1.150852201746843</v>
                </pt>
                <pt idx="2">
                  <v>1.166454455956678</v>
                </pt>
                <pt idx="3">
                  <v>1.125255188710038</v>
                </pt>
                <pt idx="4">
                  <v>1.001877221784325</v>
                </pt>
                <pt idx="5">
                  <v>1.001200633044626</v>
                </pt>
                <pt idx="6">
                  <v>1.02455622425295</v>
                </pt>
                <pt idx="7">
                  <v>1.012802285640052</v>
                </pt>
                <pt idx="8">
                  <v>1.055941021209569</v>
                </pt>
                <pt idx="9">
                  <v>1.022824268196935</v>
                </pt>
                <pt idx="10">
                  <v>0.9963730939680641</v>
                </pt>
                <pt idx="11">
                  <v>0.9096330472280186</v>
                </pt>
                <pt idx="12">
                  <v>0.8943047219095591</v>
                </pt>
                <pt idx="13">
                  <v>0.8899563652641445</v>
                </pt>
                <pt idx="14">
                  <v>0.8834766312187653</v>
                </pt>
                <pt idx="15">
                  <v>0.8477645756303899</v>
                </pt>
                <pt idx="16">
                  <v>0.8361799600834476</v>
                </pt>
                <pt idx="17">
                  <v>0.7981060362647089</v>
                </pt>
                <pt idx="18">
                  <v>0.8148552265142458</v>
                </pt>
                <pt idx="19">
                  <v>0.7736914544899758</v>
                </pt>
                <pt idx="20">
                  <v>0.7394032013557005</v>
                </pt>
                <pt idx="21">
                  <v>0.6973321357425438</v>
                </pt>
                <pt idx="22">
                  <v>0.6964177027256816</v>
                </pt>
                <pt idx="23">
                  <v>0.670454159242344</v>
                </pt>
                <pt idx="24">
                  <v>0.6734763416291991</v>
                </pt>
                <pt idx="25">
                  <v>0.6314652490046435</v>
                </pt>
                <pt idx="26">
                  <v>0.6760747607597229</v>
                </pt>
                <pt idx="27">
                  <v>0.6132584809072814</v>
                </pt>
                <pt idx="28">
                  <v>0.6545628281736927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(2)'!$A$11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(2)'!$B$57:$AD$57</f>
              <numCache>
                <formatCode>General</formatCode>
                <ptCount val="29"/>
                <pt idx="0">
                  <v>1</v>
                </pt>
                <pt idx="1">
                  <v>0.9884536649791651</v>
                </pt>
                <pt idx="2">
                  <v>1.013181442822627</v>
                </pt>
                <pt idx="3">
                  <v>0.9863086987627091</v>
                </pt>
                <pt idx="4">
                  <v>0.9816632977093307</v>
                </pt>
                <pt idx="5">
                  <v>0.9967129172089443</v>
                </pt>
                <pt idx="6">
                  <v>1.036238518592833</v>
                </pt>
                <pt idx="7">
                  <v>1.027782655621519</v>
                </pt>
                <pt idx="8">
                  <v>1.107217706399005</v>
                </pt>
                <pt idx="9">
                  <v>1.050284902389289</v>
                </pt>
                <pt idx="10">
                  <v>1.036935109139263</v>
                </pt>
                <pt idx="11">
                  <v>0.946170336400726</v>
                </pt>
                <pt idx="12">
                  <v>0.849392137224608</v>
                </pt>
                <pt idx="13">
                  <v>0.8370450092612072</v>
                </pt>
                <pt idx="14">
                  <v>0.8476051357484519</v>
                </pt>
                <pt idx="15">
                  <v>0.8688099419613657</v>
                </pt>
                <pt idx="16">
                  <v>0.8788886008887883</v>
                </pt>
                <pt idx="17">
                  <v>0.7955112983565297</v>
                </pt>
                <pt idx="18">
                  <v>0.7635390990420392</v>
                </pt>
                <pt idx="19">
                  <v>0.7262342864046585</v>
                </pt>
                <pt idx="20">
                  <v>0.6255635469412715</v>
                </pt>
                <pt idx="21">
                  <v>0.5956438027262186</v>
                </pt>
                <pt idx="22">
                  <v>0.6492363888863514</v>
                </pt>
                <pt idx="23">
                  <v>0.5675079378037576</v>
                </pt>
                <pt idx="24">
                  <v>0.5285190806692869</v>
                </pt>
                <pt idx="25">
                  <v>0.5780052402316107</v>
                </pt>
                <pt idx="26">
                  <v>0.6195879598717177</v>
                </pt>
                <pt idx="27">
                  <v>0.6310098684982717</v>
                </pt>
                <pt idx="28">
                  <v>0.5306886500007333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(2)'!$A$12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(2)'!$B$58:$AD$58</f>
              <numCache>
                <formatCode>General</formatCode>
                <ptCount val="29"/>
                <pt idx="0">
                  <v>1</v>
                </pt>
                <pt idx="1">
                  <v>0.9466608902310092</v>
                </pt>
                <pt idx="2">
                  <v>0.9714064831963546</v>
                </pt>
                <pt idx="3">
                  <v>0.972247903302179</v>
                </pt>
                <pt idx="4">
                  <v>0.9582574839292101</v>
                </pt>
                <pt idx="5">
                  <v>0.9437059119974582</v>
                </pt>
                <pt idx="6">
                  <v>0.9448438903998915</v>
                </pt>
                <pt idx="7">
                  <v>0.9231479928931694</v>
                </pt>
                <pt idx="8">
                  <v>0.8401243399933178</v>
                </pt>
                <pt idx="9">
                  <v>0.8121174955165043</v>
                </pt>
                <pt idx="10">
                  <v>0.7641645549961399</v>
                </pt>
                <pt idx="11">
                  <v>0.7149178860156935</v>
                </pt>
                <pt idx="12">
                  <v>0.7322556890498318</v>
                </pt>
                <pt idx="13">
                  <v>0.6893516256329473</v>
                </pt>
                <pt idx="14">
                  <v>0.7031605609151382</v>
                </pt>
                <pt idx="15">
                  <v>0.7398489841381451</v>
                </pt>
                <pt idx="16">
                  <v>0.7765304812539964</v>
                </pt>
                <pt idx="17">
                  <v>0.7558878186668579</v>
                </pt>
                <pt idx="18">
                  <v>0.7559763510158161</v>
                </pt>
                <pt idx="19">
                  <v>0.729338491016842</v>
                </pt>
                <pt idx="20">
                  <v>0.7106074357436705</v>
                </pt>
                <pt idx="21">
                  <v>0.685107242951048</v>
                </pt>
                <pt idx="22">
                  <v>0.6568094600932878</v>
                </pt>
                <pt idx="23">
                  <v>0.6645233498704897</v>
                </pt>
                <pt idx="24">
                  <v>0.650447209306256</v>
                </pt>
                <pt idx="25">
                  <v>0.6358252761055985</v>
                </pt>
                <pt idx="26">
                  <v>0.6302259627250492</v>
                </pt>
                <pt idx="27">
                  <v>0.648683509740445</v>
                </pt>
                <pt idx="28">
                  <v>0.6303106430877953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3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Produktivitets</a:t>
            </a:r>
            <a:r>
              <a:rPr lang="da-DK" baseline="0"/>
              <a:t>udvikling Mtot</a:t>
            </a:r>
            <a:endParaRPr lang="da-D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(2)'!$A$23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(2)'!$B$23:$AD$23</f>
              <numCache>
                <formatCode>General</formatCode>
                <ptCount val="29"/>
                <pt idx="0">
                  <v>1</v>
                </pt>
                <pt idx="1">
                  <v>1.037328182070824</v>
                </pt>
                <pt idx="2">
                  <v>1.062314256742287</v>
                </pt>
                <pt idx="3">
                  <v>1.054509824703301</v>
                </pt>
                <pt idx="4">
                  <v>1.043442545544595</v>
                </pt>
                <pt idx="5">
                  <v>1.027635250189096</v>
                </pt>
                <pt idx="6">
                  <v>1.080317661615712</v>
                </pt>
                <pt idx="7">
                  <v>1.105614479004395</v>
                </pt>
                <pt idx="8">
                  <v>1.074423610787537</v>
                </pt>
                <pt idx="9">
                  <v>1.106294613747544</v>
                </pt>
                <pt idx="10">
                  <v>1.113914957577876</v>
                </pt>
                <pt idx="11">
                  <v>1.106090217310462</v>
                </pt>
                <pt idx="12">
                  <v>1.116391073729847</v>
                </pt>
                <pt idx="13">
                  <v>1.165421996851497</v>
                </pt>
                <pt idx="14">
                  <v>1.06265265767225</v>
                </pt>
                <pt idx="15">
                  <v>1.049851998131211</v>
                </pt>
                <pt idx="16">
                  <v>1.127602307096636</v>
                </pt>
                <pt idx="17">
                  <v>1.088695833189618</v>
                </pt>
                <pt idx="18">
                  <v>1.131335794849476</v>
                </pt>
                <pt idx="19">
                  <v>1.098592869158743</v>
                </pt>
                <pt idx="20">
                  <v>1.168615516125571</v>
                </pt>
                <pt idx="21">
                  <v>1.097013306621666</v>
                </pt>
                <pt idx="22">
                  <v>1.060371915581741</v>
                </pt>
                <pt idx="23">
                  <v>1.101229429370099</v>
                </pt>
                <pt idx="24">
                  <v>1.093880628668082</v>
                </pt>
                <pt idx="25">
                  <v>1.13327572148763</v>
                </pt>
                <pt idx="26">
                  <v>1.123331129772272</v>
                </pt>
                <pt idx="27">
                  <v>1.148495071456742</v>
                </pt>
                <pt idx="28">
                  <v>1.117895403156472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(2)'!$A$24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(2)'!$B$24:$AD$24</f>
              <numCache>
                <formatCode>General</formatCode>
                <ptCount val="29"/>
                <pt idx="0">
                  <v>1</v>
                </pt>
                <pt idx="1">
                  <v>1.016710747313451</v>
                </pt>
                <pt idx="2">
                  <v>1.01348895281355</v>
                </pt>
                <pt idx="3">
                  <v>1.012742544115352</v>
                </pt>
                <pt idx="4">
                  <v>1.042323598527346</v>
                </pt>
                <pt idx="5">
                  <v>1.082889335593839</v>
                </pt>
                <pt idx="6">
                  <v>1.030493462326494</v>
                </pt>
                <pt idx="7">
                  <v>1.075895510274703</v>
                </pt>
                <pt idx="8">
                  <v>0.9980250262860342</v>
                </pt>
                <pt idx="9">
                  <v>1.017356180362012</v>
                </pt>
                <pt idx="10">
                  <v>1.050334704980581</v>
                </pt>
                <pt idx="11">
                  <v>1.017082486250369</v>
                </pt>
                <pt idx="12">
                  <v>1.030872115764832</v>
                </pt>
                <pt idx="13">
                  <v>0.9838822154036303</v>
                </pt>
                <pt idx="14">
                  <v>0.9958570848119248</v>
                </pt>
                <pt idx="15">
                  <v>1.003289617709509</v>
                </pt>
                <pt idx="16">
                  <v>1.010051858886938</v>
                </pt>
                <pt idx="17">
                  <v>1.020654764186282</v>
                </pt>
                <pt idx="18">
                  <v>1.073481102914743</v>
                </pt>
                <pt idx="19">
                  <v>1.043922989538885</v>
                </pt>
                <pt idx="20">
                  <v>1.029633401498645</v>
                </pt>
                <pt idx="21">
                  <v>1.041371403557972</v>
                </pt>
                <pt idx="22">
                  <v>1.0620214077036</v>
                </pt>
                <pt idx="23">
                  <v>1.065153993529331</v>
                </pt>
                <pt idx="24">
                  <v>1.041847758546746</v>
                </pt>
                <pt idx="25">
                  <v>1.108426034095867</v>
                </pt>
                <pt idx="26">
                  <v>1.15965472115443</v>
                </pt>
                <pt idx="27">
                  <v>1.115268239181439</v>
                </pt>
                <pt idx="28">
                  <v>1.078852119793817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(2)'!$A$25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(2)'!$B$25:$AD$25</f>
              <numCache>
                <formatCode>General</formatCode>
                <ptCount val="29"/>
                <pt idx="0">
                  <v>1</v>
                </pt>
                <pt idx="1">
                  <v>1.030047991543262</v>
                </pt>
                <pt idx="2">
                  <v>1.043536997104475</v>
                </pt>
                <pt idx="3">
                  <v>1.062693660954248</v>
                </pt>
                <pt idx="4">
                  <v>1.028706346597252</v>
                </pt>
                <pt idx="5">
                  <v>1.018213855899529</v>
                </pt>
                <pt idx="6">
                  <v>1.074260668985837</v>
                </pt>
                <pt idx="7">
                  <v>1.046828740709011</v>
                </pt>
                <pt idx="8">
                  <v>1.056520068174335</v>
                </pt>
                <pt idx="9">
                  <v>1.028729851086048</v>
                </pt>
                <pt idx="10">
                  <v>1.006413077281546</v>
                </pt>
                <pt idx="11">
                  <v>0.9856944690913821</v>
                </pt>
                <pt idx="12">
                  <v>0.9626618127999413</v>
                </pt>
                <pt idx="13">
                  <v>0.980832703491081</v>
                </pt>
                <pt idx="14">
                  <v>0.99796735248811</v>
                </pt>
                <pt idx="15">
                  <v>0.94876785658018</v>
                </pt>
                <pt idx="16">
                  <v>1.00291861850619</v>
                </pt>
                <pt idx="17">
                  <v>1.000543314140785</v>
                </pt>
                <pt idx="18">
                  <v>0.9978291475738211</v>
                </pt>
                <pt idx="19">
                  <v>0.9977192221361938</v>
                </pt>
                <pt idx="20">
                  <v>1.018906889814276</v>
                </pt>
                <pt idx="21">
                  <v>0.9810837751999144</v>
                </pt>
                <pt idx="22">
                  <v>0.9388515279532942</v>
                </pt>
                <pt idx="23">
                  <v>1.001583187686469</v>
                </pt>
                <pt idx="24">
                  <v>0.9553780516159271</v>
                </pt>
                <pt idx="25">
                  <v>0.9668317108624023</v>
                </pt>
                <pt idx="26">
                  <v>0.9140744015405772</v>
                </pt>
                <pt idx="27">
                  <v>0.9789456723190321</v>
                </pt>
                <pt idx="28">
                  <v>1.06744725766916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(2)'!$A$26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(2)'!$B$26:$AD$26</f>
              <numCache>
                <formatCode>General</formatCode>
                <ptCount val="29"/>
                <pt idx="0">
                  <v>1</v>
                </pt>
                <pt idx="1">
                  <v>0.9560469906025874</v>
                </pt>
                <pt idx="2">
                  <v>0.9500134034830796</v>
                </pt>
                <pt idx="3">
                  <v>0.9740255953764293</v>
                </pt>
                <pt idx="4">
                  <v>0.9682220323740803</v>
                </pt>
                <pt idx="5">
                  <v>0.9670424575701126</v>
                </pt>
                <pt idx="6">
                  <v>0.9791777836565388</v>
                </pt>
                <pt idx="7">
                  <v>0.9912510031796332</v>
                </pt>
                <pt idx="8">
                  <v>0.9319429343636676</v>
                </pt>
                <pt idx="9">
                  <v>0.8719101395700535</v>
                </pt>
                <pt idx="10">
                  <v>0.8883824374180959</v>
                </pt>
                <pt idx="11">
                  <v>0.9189979133574753</v>
                </pt>
                <pt idx="12">
                  <v>0.8973475041683443</v>
                </pt>
                <pt idx="13">
                  <v>0.9175367706661797</v>
                </pt>
                <pt idx="14">
                  <v>0.9255297737735108</v>
                </pt>
                <pt idx="15">
                  <v>0.9548215755998136</v>
                </pt>
                <pt idx="16">
                  <v>0.9688756871062563</v>
                </pt>
                <pt idx="17">
                  <v>0.9673375564985698</v>
                </pt>
                <pt idx="18">
                  <v>0.9476735923096222</v>
                </pt>
                <pt idx="19">
                  <v>0.9803006610547147</v>
                </pt>
                <pt idx="20">
                  <v>0.9650256318098572</v>
                </pt>
                <pt idx="21">
                  <v>0.9123287688866968</v>
                </pt>
                <pt idx="22">
                  <v>0.9610200434957408</v>
                </pt>
                <pt idx="23">
                  <v>0.9563284582991719</v>
                </pt>
                <pt idx="24">
                  <v>0.9736340559822468</v>
                </pt>
                <pt idx="25">
                  <v>0.986957941674338</v>
                </pt>
                <pt idx="26">
                  <v>0.9639838764500296</v>
                </pt>
                <pt idx="27">
                  <v>1.026432597514356</v>
                </pt>
                <pt idx="28">
                  <v>1.03088937448533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4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400" b="0" i="0" strike="noStrike" kern="1200" spc="0" baseline="0">
                <a:solidFill>
                  <a:srgbClr val="000000"/>
                </a:solidFill>
              </a:rPr>
              <a:t>CES fordelingsparameter Mtot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'Produktivitetsudvikling (2)'!$A$69</f>
              <strCache>
                <ptCount val="1"/>
                <pt idx="0">
                  <v>Landbrug (010000)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(2)'!$B$69:$AD$69</f>
              <numCache>
                <formatCode>General</formatCode>
                <ptCount val="29"/>
                <pt idx="0">
                  <v>1</v>
                </pt>
                <pt idx="1">
                  <v>0.9640150699498918</v>
                </pt>
                <pt idx="2">
                  <v>0.9413410331765842</v>
                </pt>
                <pt idx="3">
                  <v>0.9483079024715216</v>
                </pt>
                <pt idx="4">
                  <v>0.9583661355097206</v>
                </pt>
                <pt idx="5">
                  <v>0.9731079191921344</v>
                </pt>
                <pt idx="6">
                  <v>0.9256536623722409</v>
                </pt>
                <pt idx="7">
                  <v>0.9044744067574975</v>
                </pt>
                <pt idx="8">
                  <v>0.9307315940935199</v>
                </pt>
                <pt idx="9">
                  <v>0.9039183483073514</v>
                </pt>
                <pt idx="10">
                  <v>0.8977346010097789</v>
                </pt>
                <pt idx="11">
                  <v>0.904085385034479</v>
                </pt>
                <pt idx="12">
                  <v>0.895743457226878</v>
                </pt>
                <pt idx="13">
                  <v>0.8580582850689269</v>
                </pt>
                <pt idx="14">
                  <v>0.9410412638411016</v>
                </pt>
                <pt idx="15">
                  <v>0.9525152133634549</v>
                </pt>
                <pt idx="16">
                  <v>0.8868374902272165</v>
                </pt>
                <pt idx="17">
                  <v>0.9185301987151355</v>
                </pt>
                <pt idx="18">
                  <v>0.8839108640888083</v>
                </pt>
                <pt idx="19">
                  <v>0.9102553166631774</v>
                </pt>
                <pt idx="20">
                  <v>0.8557134371409006</v>
                </pt>
                <pt idx="21">
                  <v>0.9115659709539657</v>
                </pt>
                <pt idx="22">
                  <v>0.9430653389677712</v>
                </pt>
                <pt idx="23">
                  <v>0.9080759861021855</v>
                </pt>
                <pt idx="24">
                  <v>0.9141765324225624</v>
                </pt>
                <pt idx="25">
                  <v>0.8823977969697593</v>
                </pt>
                <pt idx="26">
                  <v>0.8902094613924975</v>
                </pt>
                <pt idx="27">
                  <v>0.8707046506796131</v>
                </pt>
                <pt idx="28">
                  <v>0.894538073219029</v>
                </pt>
              </numCache>
            </numRef>
          </val>
          <smooth val="0"/>
        </ser>
        <ser>
          <idx val="1"/>
          <order val="1"/>
          <tx>
            <strRef>
              <f>'Produktivitetsudvikling (2)'!$A$70</f>
              <strCache>
                <ptCount val="1"/>
                <pt idx="0">
                  <v>Slagterier (100010)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(2)'!$B$70:$AD$70</f>
              <numCache>
                <formatCode>General</formatCode>
                <ptCount val="29"/>
                <pt idx="0">
                  <v>1</v>
                </pt>
                <pt idx="1">
                  <v>0.9835639119999393</v>
                </pt>
                <pt idx="2">
                  <v>0.9866905773604107</v>
                </pt>
                <pt idx="3">
                  <v>0.9874177853103991</v>
                </pt>
                <pt idx="4">
                  <v>0.9593949531727546</v>
                </pt>
                <pt idx="5">
                  <v>0.9234553957922352</v>
                </pt>
                <pt idx="6">
                  <v>0.9704088735724238</v>
                </pt>
                <pt idx="7">
                  <v>0.9294582888859483</v>
                </pt>
                <pt idx="8">
                  <v>1.001978881953807</v>
                </pt>
                <pt idx="9">
                  <v>0.9829399175067315</v>
                </pt>
                <pt idx="10">
                  <v>0.9520774618396405</v>
                </pt>
                <pt idx="11">
                  <v>0.9832044239466283</v>
                </pt>
                <pt idx="12">
                  <v>0.9700524291105426</v>
                </pt>
                <pt idx="13">
                  <v>1.016381823295542</v>
                </pt>
                <pt idx="14">
                  <v>1.004160150338095</v>
                </pt>
                <pt idx="15">
                  <v>0.9967211683930113</v>
                </pt>
                <pt idx="16">
                  <v>0.9900481754491141</v>
                </pt>
                <pt idx="17">
                  <v>0.9797632216974475</v>
                </pt>
                <pt idx="18">
                  <v>0.9315487690326127</v>
                </pt>
                <pt idx="19">
                  <v>0.9579250672903689</v>
                </pt>
                <pt idx="20">
                  <v>0.9712194636891985</v>
                </pt>
                <pt idx="21">
                  <v>0.9602721916343946</v>
                </pt>
                <pt idx="22">
                  <v>0.941600604984311</v>
                </pt>
                <pt idx="23">
                  <v>0.9388313859543937</v>
                </pt>
                <pt idx="24">
                  <v>0.9598331347325448</v>
                </pt>
                <pt idx="25">
                  <v>0.9021801809407073</v>
                </pt>
                <pt idx="26">
                  <v>0.8623256403462105</v>
                </pt>
                <pt idx="27">
                  <v>0.8966452776723544</v>
                </pt>
                <pt idx="28">
                  <v>0.9269110952769997</v>
                </pt>
              </numCache>
            </numRef>
          </val>
          <smooth val="0"/>
        </ser>
        <ser>
          <idx val="2"/>
          <order val="2"/>
          <tx>
            <strRef>
              <f>'Produktivitetsudvikling (2)'!$A$71</f>
              <strCache>
                <ptCount val="1"/>
                <pt idx="0">
                  <v>Mejerier (100030)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(2)'!$B$71:$AD$71</f>
              <numCache>
                <formatCode>General</formatCode>
                <ptCount val="29"/>
                <pt idx="0">
                  <v>1</v>
                </pt>
                <pt idx="1">
                  <v>0.9708285518830608</v>
                </pt>
                <pt idx="2">
                  <v>0.9582793928482866</v>
                </pt>
                <pt idx="3">
                  <v>0.9410049544306573</v>
                </pt>
                <pt idx="4">
                  <v>0.9720947122643828</v>
                </pt>
                <pt idx="5">
                  <v>0.9821119543856152</v>
                </pt>
                <pt idx="6">
                  <v>0.9308727656799133</v>
                </pt>
                <pt idx="7">
                  <v>0.955266091875454</v>
                </pt>
                <pt idx="8">
                  <v>0.9465035545685361</v>
                </pt>
                <pt idx="9">
                  <v>0.9720725017790464</v>
                </pt>
                <pt idx="10">
                  <v>0.9936277882051481</v>
                </pt>
                <pt idx="11">
                  <v>1.01451314921327</v>
                </pt>
                <pt idx="12">
                  <v>1.038786401105347</v>
                </pt>
                <pt idx="13">
                  <v>1.019541861156033</v>
                </pt>
                <pt idx="14">
                  <v>1.002036787583103</v>
                </pt>
                <pt idx="15">
                  <v>1.053998607841212</v>
                </pt>
                <pt idx="16">
                  <v>0.9970898750383776</v>
                </pt>
                <pt idx="17">
                  <v>0.9994569808891771</v>
                </pt>
                <pt idx="18">
                  <v>1.002175575279052</v>
                </pt>
                <pt idx="19">
                  <v>1.002285991703079</v>
                </pt>
                <pt idx="20">
                  <v>0.9814439474271078</v>
                </pt>
                <pt idx="21">
                  <v>1.019280947538074</v>
                </pt>
                <pt idx="22">
                  <v>1.065131141853717</v>
                </pt>
                <pt idx="23">
                  <v>0.9984193148348205</v>
                </pt>
                <pt idx="24">
                  <v>1.046706063959287</v>
                </pt>
                <pt idx="25">
                  <v>1.034306165969682</v>
                </pt>
                <pt idx="26">
                  <v>1.094002849565204</v>
                </pt>
                <pt idx="27">
                  <v>1.021507146184212</v>
                </pt>
                <pt idx="28">
                  <v>0.9368144353881842</v>
                </pt>
              </numCache>
            </numRef>
          </val>
          <smooth val="0"/>
        </ser>
        <ser>
          <idx val="3"/>
          <order val="3"/>
          <tx>
            <strRef>
              <f>'Produktivitetsudvikling (2)'!$A$72</f>
              <strCache>
                <ptCount val="1"/>
                <pt idx="0">
                  <v>Anden fødevareindustri (100040x100050)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'Produktivitetsudvikling (2)'!$B$8:$AD$8</f>
              <numCache>
                <formatCode>General</formatCode>
                <ptCount val="29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  <pt idx="10">
                  <v>2004</v>
                </pt>
                <pt idx="11">
                  <v>2005</v>
                </pt>
                <pt idx="12">
                  <v>2006</v>
                </pt>
                <pt idx="13">
                  <v>2007</v>
                </pt>
                <pt idx="14">
                  <v>2008</v>
                </pt>
                <pt idx="15">
                  <v>2009</v>
                </pt>
                <pt idx="16">
                  <v>2010</v>
                </pt>
                <pt idx="17">
                  <v>2011</v>
                </pt>
                <pt idx="18">
                  <v>2012</v>
                </pt>
                <pt idx="19">
                  <v>2013</v>
                </pt>
                <pt idx="20">
                  <v>2014</v>
                </pt>
                <pt idx="21">
                  <v>2015</v>
                </pt>
                <pt idx="22">
                  <v>2016</v>
                </pt>
                <pt idx="23">
                  <v>2017</v>
                </pt>
                <pt idx="24">
                  <v>2018</v>
                </pt>
                <pt idx="25">
                  <v>2019</v>
                </pt>
                <pt idx="26">
                  <v>2020</v>
                </pt>
                <pt idx="27">
                  <v>2021</v>
                </pt>
                <pt idx="28">
                  <v>2022</v>
                </pt>
              </numCache>
            </numRef>
          </cat>
          <val>
            <numRef>
              <f>'Produktivitetsudvikling (2)'!$B$72:$AD$72</f>
              <numCache>
                <formatCode>General</formatCode>
                <ptCount val="29"/>
                <pt idx="0">
                  <v>1</v>
                </pt>
                <pt idx="1">
                  <v>1.045973691491576</v>
                </pt>
                <pt idx="2">
                  <v>1.052616727652107</v>
                </pt>
                <pt idx="3">
                  <v>1.026667065780271</v>
                </pt>
                <pt idx="4">
                  <v>1.032820950735856</v>
                </pt>
                <pt idx="5">
                  <v>1.034080760541476</v>
                </pt>
                <pt idx="6">
                  <v>1.021265000790464</v>
                </pt>
                <pt idx="7">
                  <v>1.008826217368056</v>
                </pt>
                <pt idx="8">
                  <v>1.073027074005129</v>
                </pt>
                <pt idx="9">
                  <v>1.146907180702255</v>
                </pt>
                <pt idx="10">
                  <v>1.125641343052997</v>
                </pt>
                <pt idx="11">
                  <v>1.088141752516707</v>
                </pt>
                <pt idx="12">
                  <v>1.114395477064143</v>
                </pt>
                <pt idx="13">
                  <v>1.08987457720517</v>
                </pt>
                <pt idx="14">
                  <v>1.080462269650023</v>
                </pt>
                <pt idx="15">
                  <v>1.047316090832788</v>
                </pt>
                <pt idx="16">
                  <v>1.032124155150082</v>
                </pt>
                <pt idx="17">
                  <v>1.033765300728794</v>
                </pt>
                <pt idx="18">
                  <v>1.055215643988613</v>
                </pt>
                <pt idx="19">
                  <v>1.020095201123389</v>
                </pt>
                <pt idx="20">
                  <v>1.036241905952851</v>
                </pt>
                <pt idx="21">
                  <v>1.09609609397749</v>
                </pt>
                <pt idx="22">
                  <v>1.040561023433464</v>
                </pt>
                <pt idx="23">
                  <v>1.045665839306401</v>
                </pt>
                <pt idx="24">
                  <v>1.027079931988568</v>
                </pt>
                <pt idx="25">
                  <v>1.013214401318395</v>
                </pt>
                <pt idx="26">
                  <v>1.037361748914934</v>
                </pt>
                <pt idx="27">
                  <v>0.9742480922971798</v>
                </pt>
                <pt idx="28">
                  <v>0.9700361888968431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97478175"/>
        <axId val="977083599"/>
      </lineChart>
      <catAx>
        <axId val="69747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977083599"/>
        <crosses val="autoZero"/>
        <auto val="1"/>
        <lblAlgn val="ctr"/>
        <lblOffset val="100"/>
        <noMultiLvlLbl val="0"/>
      </catAx>
      <valAx>
        <axId val="977083599"/>
        <scaling>
          <orientation val="minMax"/>
          <min val="0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'Produktivitetsudvikling (2)'!$A$8</f>
              <strCache>
                <ptCount val="1"/>
                <pt idx="0">
                  <v>Indeks 1994=1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6974781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Relationship Type="http://schemas.openxmlformats.org/officeDocument/2006/relationships/chart" Target="/xl/charts/chart13.xml" Id="rId5"/><Relationship Type="http://schemas.openxmlformats.org/officeDocument/2006/relationships/chart" Target="/xl/charts/chart14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/Relationships>
</file>

<file path=xl/drawings/drawing1.xml><?xml version="1.0" encoding="utf-8"?>
<wsDr xmlns="http://schemas.openxmlformats.org/drawingml/2006/spreadsheetDrawing">
  <twoCellAnchor>
    <from>
      <col>32</col>
      <colOff>633325</colOff>
      <row>4</row>
      <rowOff>101657</rowOff>
    </from>
    <to>
      <col>42</col>
      <colOff>437976</colOff>
      <row>23</row>
      <rowOff>119147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43</col>
      <colOff>422736</colOff>
      <row>4</row>
      <rowOff>147378</rowOff>
    </from>
    <to>
      <col>53</col>
      <colOff>245571</colOff>
      <row>23</row>
      <rowOff>149628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33</col>
      <colOff>98713</colOff>
      <row>26</row>
      <rowOff>50569</rowOff>
    </from>
    <to>
      <col>42</col>
      <colOff>597996</colOff>
      <row>45</row>
      <rowOff>94383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43</col>
      <colOff>346536</colOff>
      <row>26</row>
      <rowOff>17145</rowOff>
    </from>
    <to>
      <col>53</col>
      <colOff>173181</colOff>
      <row>45</row>
      <rowOff>56283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33</col>
      <colOff>0</colOff>
      <row>47</row>
      <rowOff>0</rowOff>
    </from>
    <to>
      <col>42</col>
      <colOff>497378</colOff>
      <row>66</row>
      <rowOff>49529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</col>
      <colOff>390525</colOff>
      <row>57</row>
      <rowOff>66675</rowOff>
    </from>
    <to>
      <col>10</col>
      <colOff>661901</colOff>
      <row>76</row>
      <rowOff>112740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12</col>
      <colOff>66675</colOff>
      <row>59</row>
      <rowOff>142875</rowOff>
    </from>
    <to>
      <col>21</col>
      <colOff>557126</colOff>
      <row>79</row>
      <rowOff>7965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22</col>
      <colOff>95250</colOff>
      <row>56</row>
      <rowOff>180974</rowOff>
    </from>
    <to>
      <col>31</col>
      <colOff>595312</colOff>
      <row>80</row>
      <rowOff>95249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422804</colOff>
      <row>14</row>
      <rowOff>8467</rowOff>
    </from>
    <to>
      <col>13</col>
      <colOff>521758</colOff>
      <row>38</row>
      <rowOff>121709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186267</colOff>
      <row>73</row>
      <rowOff>95250</rowOff>
    </from>
    <to>
      <col>14</col>
      <colOff>444500</colOff>
      <row>103</row>
      <rowOff>84666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592667</colOff>
      <row>13</row>
      <rowOff>148167</rowOff>
    </from>
    <to>
      <col>28</col>
      <colOff>204788</colOff>
      <row>38</row>
      <rowOff>81493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211667</colOff>
      <row>74</row>
      <rowOff>127000</rowOff>
    </from>
    <to>
      <col>28</col>
      <colOff>511704</colOff>
      <row>99</row>
      <rowOff>60325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127001</colOff>
      <row>122</row>
      <rowOff>21167</rowOff>
    </from>
    <to>
      <col>13</col>
      <colOff>63500</colOff>
      <row>147</row>
      <rowOff>42333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13</col>
      <colOff>624416</colOff>
      <row>121</row>
      <rowOff>84666</rowOff>
    </from>
    <to>
      <col>27</col>
      <colOff>74082</colOff>
      <row>146</row>
      <rowOff>105833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221721</colOff>
      <row>18</row>
      <rowOff>82551</rowOff>
    </from>
    <to>
      <col>13</col>
      <colOff>320675</colOff>
      <row>43</row>
      <rowOff>15876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186267</colOff>
      <row>73</row>
      <rowOff>95250</rowOff>
    </from>
    <to>
      <col>14</col>
      <colOff>444500</colOff>
      <row>103</row>
      <rowOff>84666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243417</colOff>
      <row>18</row>
      <rowOff>105834</rowOff>
    </from>
    <to>
      <col>27</col>
      <colOff>543455</colOff>
      <row>43</row>
      <rowOff>39159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211667</colOff>
      <row>74</row>
      <rowOff>127000</rowOff>
    </from>
    <to>
      <col>28</col>
      <colOff>511704</colOff>
      <row>99</row>
      <rowOff>60325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DREAM">
  <a:themeElements>
    <a:clrScheme name="DREAM">
      <a:dk1>
        <a:srgbClr val="000000"/>
      </a:dk1>
      <a:lt1>
        <a:srgbClr val="FFFFFF"/>
      </a:lt1>
      <a:dk2>
        <a:srgbClr val="46464C"/>
      </a:dk2>
      <a:lt2>
        <a:srgbClr val="E6E6E8"/>
      </a:lt2>
      <a:accent1>
        <a:srgbClr val="F55252"/>
      </a:accent1>
      <a:accent2>
        <a:srgbClr val="14AFA6"/>
      </a:accent2>
      <a:accent3>
        <a:srgbClr val="FF9B4B"/>
      </a:accent3>
      <a:accent4>
        <a:srgbClr val="5CD272"/>
      </a:accent4>
      <a:accent5>
        <a:srgbClr val="42B4E0"/>
      </a:accent5>
      <a:accent6>
        <a:srgbClr val="BCADDD"/>
      </a:accent6>
      <a:hlink>
        <a:srgbClr val="005FAD"/>
      </a:hlink>
      <a:folHlink>
        <a:srgbClr val="9D3083"/>
      </a:folHlink>
    </a:clrScheme>
    <a:fontScheme name="DRE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EAM" id="{F32D46D0-4337-4C8C-9B09-ED50FCA20D85}" vid="{4DAE4FCA-1430-4AA5-9BA9-BAA441DECA3F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53"/>
  <sheetViews>
    <sheetView topLeftCell="I43" zoomScaleNormal="100" workbookViewId="0">
      <selection activeCell="V85" sqref="V85"/>
    </sheetView>
  </sheetViews>
  <sheetFormatPr baseColWidth="8" defaultRowHeight="14.25"/>
  <cols>
    <col width="9" customWidth="1" style="1" min="1" max="1"/>
    <col width="14.125" bestFit="1" customWidth="1" style="6" min="3" max="3"/>
  </cols>
  <sheetData>
    <row r="1" customFormat="1" s="1"/>
    <row r="2" ht="15" customFormat="1" customHeight="1" s="3">
      <c r="A2" s="1" t="n"/>
      <c r="B2" s="2" t="inlineStr">
        <is>
          <t>Ratioer</t>
        </is>
      </c>
    </row>
    <row r="3" ht="15" customHeight="1" s="6">
      <c r="B3" t="inlineStr">
        <is>
          <t>Kapital-output-ratio (K/Y)</t>
        </is>
      </c>
      <c r="C3" s="4" t="n">
        <v>1993</v>
      </c>
      <c r="D3" s="4" t="n">
        <v>1994</v>
      </c>
      <c r="E3" s="4" t="n">
        <v>1995</v>
      </c>
      <c r="F3" s="4" t="n">
        <v>1996</v>
      </c>
      <c r="G3" s="4" t="n">
        <v>1997</v>
      </c>
      <c r="H3" s="4" t="n">
        <v>1998</v>
      </c>
      <c r="I3" s="4" t="n">
        <v>1999</v>
      </c>
      <c r="J3" s="4" t="n">
        <v>2000</v>
      </c>
      <c r="K3" s="4" t="n">
        <v>2001</v>
      </c>
      <c r="L3" s="4" t="n">
        <v>2002</v>
      </c>
      <c r="M3" s="4" t="n">
        <v>2003</v>
      </c>
      <c r="N3" s="4" t="n">
        <v>2004</v>
      </c>
      <c r="O3" s="4" t="n">
        <v>2005</v>
      </c>
      <c r="P3" s="4" t="n">
        <v>2006</v>
      </c>
      <c r="Q3" s="4" t="n">
        <v>2007</v>
      </c>
      <c r="R3" s="4" t="n">
        <v>2008</v>
      </c>
      <c r="S3" s="4" t="n">
        <v>2009</v>
      </c>
      <c r="T3" s="4" t="n">
        <v>2010</v>
      </c>
      <c r="U3" s="4" t="n">
        <v>2011</v>
      </c>
      <c r="V3" s="4" t="n">
        <v>2012</v>
      </c>
      <c r="W3" s="4" t="n">
        <v>2013</v>
      </c>
      <c r="X3" s="4" t="n">
        <v>2014</v>
      </c>
      <c r="Y3" s="4" t="n">
        <v>2015</v>
      </c>
      <c r="Z3" s="4" t="n">
        <v>2016</v>
      </c>
      <c r="AA3" s="4" t="n">
        <v>2017</v>
      </c>
      <c r="AB3" s="4" t="n">
        <v>2018</v>
      </c>
      <c r="AC3" s="4" t="n">
        <v>2019</v>
      </c>
      <c r="AD3" s="4" t="n">
        <v>2020</v>
      </c>
      <c r="AE3" s="4" t="n">
        <v>2021</v>
      </c>
      <c r="AF3" s="4" t="n">
        <v>2022</v>
      </c>
    </row>
    <row r="4">
      <c r="B4" s="5" t="inlineStr">
        <is>
          <t>Landbrug</t>
        </is>
      </c>
      <c r="C4">
        <f>K!AC2/Y!AB2</f>
        <v/>
      </c>
      <c r="D4">
        <f>K!AD2/Y!AC2</f>
        <v/>
      </c>
      <c r="E4">
        <f>K!AE2/Y!AD2</f>
        <v/>
      </c>
      <c r="F4">
        <f>K!AF2/Y!AE2</f>
        <v/>
      </c>
      <c r="G4">
        <f>K!AG2/Y!AF2</f>
        <v/>
      </c>
      <c r="H4">
        <f>K!AH2/Y!AG2</f>
        <v/>
      </c>
      <c r="I4">
        <f>K!AI2/Y!AH2</f>
        <v/>
      </c>
      <c r="J4">
        <f>K!AJ2/Y!AI2</f>
        <v/>
      </c>
      <c r="K4">
        <f>K!AK2/Y!AJ2</f>
        <v/>
      </c>
      <c r="L4">
        <f>K!AL2/Y!AK2</f>
        <v/>
      </c>
      <c r="M4">
        <f>K!AM2/Y!AL2</f>
        <v/>
      </c>
      <c r="N4">
        <f>K!AN2/Y!AM2</f>
        <v/>
      </c>
      <c r="O4">
        <f>K!AO2/Y!AN2</f>
        <v/>
      </c>
      <c r="P4">
        <f>K!AP2/Y!AO2</f>
        <v/>
      </c>
      <c r="Q4">
        <f>K!AQ2/Y!AP2</f>
        <v/>
      </c>
      <c r="R4">
        <f>K!AR2/Y!AQ2</f>
        <v/>
      </c>
      <c r="S4">
        <f>K!AS2/Y!AR2</f>
        <v/>
      </c>
      <c r="T4">
        <f>K!AT2/Y!AS2</f>
        <v/>
      </c>
      <c r="U4">
        <f>K!AU2/Y!AT2</f>
        <v/>
      </c>
      <c r="V4">
        <f>K!AV2/Y!AU2</f>
        <v/>
      </c>
      <c r="W4">
        <f>K!AW2/Y!AV2</f>
        <v/>
      </c>
      <c r="X4">
        <f>K!AX2/Y!AW2</f>
        <v/>
      </c>
      <c r="Y4">
        <f>K!AY2/Y!AX2</f>
        <v/>
      </c>
      <c r="Z4">
        <f>K!AZ2/Y!AY2</f>
        <v/>
      </c>
      <c r="AA4">
        <f>K!BA2/Y!AZ2</f>
        <v/>
      </c>
      <c r="AB4">
        <f>K!BB2/Y!BA2</f>
        <v/>
      </c>
      <c r="AC4">
        <f>K!BC2/Y!BB2</f>
        <v/>
      </c>
      <c r="AD4">
        <f>K!BD2/Y!BC2</f>
        <v/>
      </c>
      <c r="AE4">
        <f>K!BE2/Y!BD2</f>
        <v/>
      </c>
      <c r="AF4">
        <f>K!BF2/Y!BE2</f>
        <v/>
      </c>
    </row>
    <row r="5">
      <c r="B5" s="5" t="inlineStr">
        <is>
          <t>Slagterier</t>
        </is>
      </c>
      <c r="C5">
        <f>K!AC3/Y!AB3</f>
        <v/>
      </c>
      <c r="D5">
        <f>K!AD3/Y!AC3</f>
        <v/>
      </c>
      <c r="E5">
        <f>K!AE3/Y!AD3</f>
        <v/>
      </c>
      <c r="F5">
        <f>K!AF3/Y!AE3</f>
        <v/>
      </c>
      <c r="G5">
        <f>K!AG3/Y!AF3</f>
        <v/>
      </c>
      <c r="H5">
        <f>K!AH3/Y!AG3</f>
        <v/>
      </c>
      <c r="I5">
        <f>K!AI3/Y!AH3</f>
        <v/>
      </c>
      <c r="J5">
        <f>K!AJ3/Y!AI3</f>
        <v/>
      </c>
      <c r="K5">
        <f>K!AK3/Y!AJ3</f>
        <v/>
      </c>
      <c r="L5">
        <f>K!AL3/Y!AK3</f>
        <v/>
      </c>
      <c r="M5">
        <f>K!AM3/Y!AL3</f>
        <v/>
      </c>
      <c r="N5">
        <f>K!AN3/Y!AM3</f>
        <v/>
      </c>
      <c r="O5">
        <f>K!AO3/Y!AN3</f>
        <v/>
      </c>
      <c r="P5">
        <f>K!AP3/Y!AO3</f>
        <v/>
      </c>
      <c r="Q5">
        <f>K!AQ3/Y!AP3</f>
        <v/>
      </c>
      <c r="R5">
        <f>K!AR3/Y!AQ3</f>
        <v/>
      </c>
      <c r="S5">
        <f>K!AS3/Y!AR3</f>
        <v/>
      </c>
      <c r="T5">
        <f>K!AT3/Y!AS3</f>
        <v/>
      </c>
      <c r="U5">
        <f>K!AU3/Y!AT3</f>
        <v/>
      </c>
      <c r="V5">
        <f>K!AV3/Y!AU3</f>
        <v/>
      </c>
      <c r="W5">
        <f>K!AW3/Y!AV3</f>
        <v/>
      </c>
      <c r="X5">
        <f>K!AX3/Y!AW3</f>
        <v/>
      </c>
      <c r="Y5">
        <f>K!AY3/Y!AX3</f>
        <v/>
      </c>
      <c r="Z5">
        <f>K!AZ3/Y!AY3</f>
        <v/>
      </c>
      <c r="AA5">
        <f>K!BA3/Y!AZ3</f>
        <v/>
      </c>
      <c r="AB5">
        <f>K!BB3/Y!BA3</f>
        <v/>
      </c>
      <c r="AC5">
        <f>K!BC3/Y!BB3</f>
        <v/>
      </c>
      <c r="AD5">
        <f>K!BD3/Y!BC3</f>
        <v/>
      </c>
      <c r="AE5">
        <f>K!BE3/Y!BD3</f>
        <v/>
      </c>
      <c r="AF5">
        <f>K!BF3/Y!BE3</f>
        <v/>
      </c>
    </row>
    <row r="6">
      <c r="B6" s="4" t="inlineStr">
        <is>
          <t>Mejerier</t>
        </is>
      </c>
      <c r="C6">
        <f>K!AC4/Y!AB4</f>
        <v/>
      </c>
      <c r="D6">
        <f>K!AD4/Y!AC4</f>
        <v/>
      </c>
      <c r="E6">
        <f>K!AE4/Y!AD4</f>
        <v/>
      </c>
      <c r="F6">
        <f>K!AF4/Y!AE4</f>
        <v/>
      </c>
      <c r="G6">
        <f>K!AG4/Y!AF4</f>
        <v/>
      </c>
      <c r="H6">
        <f>K!AH4/Y!AG4</f>
        <v/>
      </c>
      <c r="I6">
        <f>K!AI4/Y!AH4</f>
        <v/>
      </c>
      <c r="J6">
        <f>K!AJ4/Y!AI4</f>
        <v/>
      </c>
      <c r="K6">
        <f>K!AK4/Y!AJ4</f>
        <v/>
      </c>
      <c r="L6">
        <f>K!AL4/Y!AK4</f>
        <v/>
      </c>
      <c r="M6">
        <f>K!AM4/Y!AL4</f>
        <v/>
      </c>
      <c r="N6">
        <f>K!AN4/Y!AM4</f>
        <v/>
      </c>
      <c r="O6">
        <f>K!AO4/Y!AN4</f>
        <v/>
      </c>
      <c r="P6">
        <f>K!AP4/Y!AO4</f>
        <v/>
      </c>
      <c r="Q6">
        <f>K!AQ4/Y!AP4</f>
        <v/>
      </c>
      <c r="R6">
        <f>K!AR4/Y!AQ4</f>
        <v/>
      </c>
      <c r="S6">
        <f>K!AS4/Y!AR4</f>
        <v/>
      </c>
      <c r="T6">
        <f>K!AT4/Y!AS4</f>
        <v/>
      </c>
      <c r="U6">
        <f>K!AU4/Y!AT4</f>
        <v/>
      </c>
      <c r="V6">
        <f>K!AV4/Y!AU4</f>
        <v/>
      </c>
      <c r="W6">
        <f>K!AW4/Y!AV4</f>
        <v/>
      </c>
      <c r="X6">
        <f>K!AX4/Y!AW4</f>
        <v/>
      </c>
      <c r="Y6">
        <f>K!AY4/Y!AX4</f>
        <v/>
      </c>
      <c r="Z6">
        <f>K!AZ4/Y!AY4</f>
        <v/>
      </c>
      <c r="AA6">
        <f>K!BA4/Y!AZ4</f>
        <v/>
      </c>
      <c r="AB6">
        <f>K!BB4/Y!BA4</f>
        <v/>
      </c>
      <c r="AC6">
        <f>K!BC4/Y!BB4</f>
        <v/>
      </c>
      <c r="AD6">
        <f>K!BD4/Y!BC4</f>
        <v/>
      </c>
      <c r="AE6">
        <f>K!BE4/Y!BD4</f>
        <v/>
      </c>
      <c r="AF6">
        <f>K!BF4/Y!BE4</f>
        <v/>
      </c>
    </row>
    <row r="7" customFormat="1" s="1">
      <c r="B7" s="4" t="inlineStr">
        <is>
          <t>Anden fødevareindustri</t>
        </is>
      </c>
      <c r="C7">
        <f>K!AC5/Y!AB5</f>
        <v/>
      </c>
      <c r="D7">
        <f>K!AD5/Y!AC5</f>
        <v/>
      </c>
      <c r="E7">
        <f>K!AE5/Y!AD5</f>
        <v/>
      </c>
      <c r="F7">
        <f>K!AF5/Y!AE5</f>
        <v/>
      </c>
      <c r="G7">
        <f>K!AG5/Y!AF5</f>
        <v/>
      </c>
      <c r="H7">
        <f>K!AH5/Y!AG5</f>
        <v/>
      </c>
      <c r="I7">
        <f>K!AI5/Y!AH5</f>
        <v/>
      </c>
      <c r="J7">
        <f>K!AJ5/Y!AI5</f>
        <v/>
      </c>
      <c r="K7">
        <f>K!AK5/Y!AJ5</f>
        <v/>
      </c>
      <c r="L7">
        <f>K!AL5/Y!AK5</f>
        <v/>
      </c>
      <c r="M7">
        <f>K!AM5/Y!AL5</f>
        <v/>
      </c>
      <c r="N7">
        <f>K!AN5/Y!AM5</f>
        <v/>
      </c>
      <c r="O7">
        <f>K!AO5/Y!AN5</f>
        <v/>
      </c>
      <c r="P7">
        <f>K!AP5/Y!AO5</f>
        <v/>
      </c>
      <c r="Q7">
        <f>K!AQ5/Y!AP5</f>
        <v/>
      </c>
      <c r="R7">
        <f>K!AR5/Y!AQ5</f>
        <v/>
      </c>
      <c r="S7">
        <f>K!AS5/Y!AR5</f>
        <v/>
      </c>
      <c r="T7">
        <f>K!AT5/Y!AS5</f>
        <v/>
      </c>
      <c r="U7">
        <f>K!AU5/Y!AT5</f>
        <v/>
      </c>
      <c r="V7">
        <f>K!AV5/Y!AU5</f>
        <v/>
      </c>
      <c r="W7">
        <f>K!AW5/Y!AV5</f>
        <v/>
      </c>
      <c r="X7">
        <f>K!AX5/Y!AW5</f>
        <v/>
      </c>
      <c r="Y7">
        <f>K!AY5/Y!AX5</f>
        <v/>
      </c>
      <c r="Z7">
        <f>K!AZ5/Y!AY5</f>
        <v/>
      </c>
      <c r="AA7">
        <f>K!BA5/Y!AZ5</f>
        <v/>
      </c>
      <c r="AB7">
        <f>K!BB5/Y!BA5</f>
        <v/>
      </c>
      <c r="AC7">
        <f>K!BC5/Y!BB5</f>
        <v/>
      </c>
      <c r="AD7">
        <f>K!BD5/Y!BC5</f>
        <v/>
      </c>
      <c r="AE7">
        <f>K!BE5/Y!BD5</f>
        <v/>
      </c>
      <c r="AF7">
        <f>K!BF5/Y!BE5</f>
        <v/>
      </c>
    </row>
    <row r="8" ht="15" customHeight="1" s="6">
      <c r="B8" s="4" t="inlineStr">
        <is>
          <t>Resten af økonomien</t>
        </is>
      </c>
      <c r="C8">
        <f>K!AC6/Y!AB6</f>
        <v/>
      </c>
      <c r="D8">
        <f>K!AD6/Y!AC6</f>
        <v/>
      </c>
      <c r="E8">
        <f>K!AE6/Y!AD6</f>
        <v/>
      </c>
      <c r="F8">
        <f>K!AF6/Y!AE6</f>
        <v/>
      </c>
      <c r="G8">
        <f>K!AG6/Y!AF6</f>
        <v/>
      </c>
      <c r="H8">
        <f>K!AH6/Y!AG6</f>
        <v/>
      </c>
      <c r="I8">
        <f>K!AI6/Y!AH6</f>
        <v/>
      </c>
      <c r="J8">
        <f>K!AJ6/Y!AI6</f>
        <v/>
      </c>
      <c r="K8">
        <f>K!AK6/Y!AJ6</f>
        <v/>
      </c>
      <c r="L8">
        <f>K!AL6/Y!AK6</f>
        <v/>
      </c>
      <c r="M8">
        <f>K!AM6/Y!AL6</f>
        <v/>
      </c>
      <c r="N8">
        <f>K!AN6/Y!AM6</f>
        <v/>
      </c>
      <c r="O8">
        <f>K!AO6/Y!AN6</f>
        <v/>
      </c>
      <c r="P8">
        <f>K!AP6/Y!AO6</f>
        <v/>
      </c>
      <c r="Q8">
        <f>K!AQ6/Y!AP6</f>
        <v/>
      </c>
      <c r="R8">
        <f>K!AR6/Y!AQ6</f>
        <v/>
      </c>
      <c r="S8">
        <f>K!AS6/Y!AR6</f>
        <v/>
      </c>
      <c r="T8">
        <f>K!AT6/Y!AS6</f>
        <v/>
      </c>
      <c r="U8">
        <f>K!AU6/Y!AT6</f>
        <v/>
      </c>
      <c r="V8">
        <f>K!AV6/Y!AU6</f>
        <v/>
      </c>
      <c r="W8">
        <f>K!AW6/Y!AV6</f>
        <v/>
      </c>
      <c r="X8">
        <f>K!AX6/Y!AW6</f>
        <v/>
      </c>
      <c r="Y8">
        <f>K!AY6/Y!AX6</f>
        <v/>
      </c>
      <c r="Z8">
        <f>K!AZ6/Y!AY6</f>
        <v/>
      </c>
      <c r="AA8">
        <f>K!BA6/Y!AZ6</f>
        <v/>
      </c>
      <c r="AB8">
        <f>K!BB6/Y!BA6</f>
        <v/>
      </c>
      <c r="AC8">
        <f>K!BC6/Y!BB6</f>
        <v/>
      </c>
      <c r="AD8">
        <f>K!BD6/Y!BC6</f>
        <v/>
      </c>
      <c r="AE8">
        <f>K!BE6/Y!BD6</f>
        <v/>
      </c>
      <c r="AF8">
        <f>K!BF6/Y!BE6</f>
        <v/>
      </c>
    </row>
    <row r="9" customFormat="1" s="1"/>
    <row r="10">
      <c r="B10" t="inlineStr">
        <is>
          <t>Arbejdskraft-output-ratio (L/Y)</t>
        </is>
      </c>
      <c r="C10" s="4" t="n">
        <v>1993</v>
      </c>
      <c r="D10" s="4" t="n">
        <v>1994</v>
      </c>
      <c r="E10" s="4" t="n">
        <v>1995</v>
      </c>
      <c r="F10" s="4" t="n">
        <v>1996</v>
      </c>
      <c r="G10" s="4" t="n">
        <v>1997</v>
      </c>
      <c r="H10" s="4" t="n">
        <v>1998</v>
      </c>
      <c r="I10" s="4" t="n">
        <v>1999</v>
      </c>
      <c r="J10" s="4" t="n">
        <v>2000</v>
      </c>
      <c r="K10" s="4" t="n">
        <v>2001</v>
      </c>
      <c r="L10" s="4" t="n">
        <v>2002</v>
      </c>
      <c r="M10" s="4" t="n">
        <v>2003</v>
      </c>
      <c r="N10" s="4" t="n">
        <v>2004</v>
      </c>
      <c r="O10" s="4" t="n">
        <v>2005</v>
      </c>
      <c r="P10" s="4" t="n">
        <v>2006</v>
      </c>
      <c r="Q10" s="4" t="n">
        <v>2007</v>
      </c>
      <c r="R10" s="4" t="n">
        <v>2008</v>
      </c>
      <c r="S10" s="4" t="n">
        <v>2009</v>
      </c>
      <c r="T10" s="4" t="n">
        <v>2010</v>
      </c>
      <c r="U10" s="4" t="n">
        <v>2011</v>
      </c>
      <c r="V10" s="4" t="n">
        <v>2012</v>
      </c>
      <c r="W10" s="4" t="n">
        <v>2013</v>
      </c>
      <c r="X10" s="4" t="n">
        <v>2014</v>
      </c>
      <c r="Y10" s="4" t="n">
        <v>2015</v>
      </c>
      <c r="Z10" s="4" t="n">
        <v>2016</v>
      </c>
      <c r="AA10" s="4" t="n">
        <v>2017</v>
      </c>
      <c r="AB10" s="4" t="n">
        <v>2018</v>
      </c>
      <c r="AC10" s="4" t="n">
        <v>2019</v>
      </c>
      <c r="AD10" s="4" t="n">
        <v>2020</v>
      </c>
      <c r="AE10" s="4" t="n">
        <v>2021</v>
      </c>
      <c r="AF10" s="4" t="n">
        <v>2022</v>
      </c>
    </row>
    <row r="11">
      <c r="B11" s="5" t="inlineStr">
        <is>
          <t>Landbrug</t>
        </is>
      </c>
      <c r="C11">
        <f>L!AC2/Y!AB2</f>
        <v/>
      </c>
      <c r="D11">
        <f>L!AD2/Y!AC2</f>
        <v/>
      </c>
      <c r="E11">
        <f>L!AE2/Y!AD2</f>
        <v/>
      </c>
      <c r="F11">
        <f>L!AF2/Y!AE2</f>
        <v/>
      </c>
      <c r="G11">
        <f>L!AG2/Y!AF2</f>
        <v/>
      </c>
      <c r="H11">
        <f>L!AH2/Y!AG2</f>
        <v/>
      </c>
      <c r="I11">
        <f>L!AI2/Y!AH2</f>
        <v/>
      </c>
      <c r="J11">
        <f>L!AJ2/Y!AI2</f>
        <v/>
      </c>
      <c r="K11">
        <f>L!AK2/Y!AJ2</f>
        <v/>
      </c>
      <c r="L11">
        <f>L!AL2/Y!AK2</f>
        <v/>
      </c>
      <c r="M11">
        <f>L!AM2/Y!AL2</f>
        <v/>
      </c>
      <c r="N11">
        <f>L!AN2/Y!AM2</f>
        <v/>
      </c>
      <c r="O11">
        <f>L!AO2/Y!AN2</f>
        <v/>
      </c>
      <c r="P11">
        <f>L!AP2/Y!AO2</f>
        <v/>
      </c>
      <c r="Q11">
        <f>L!AQ2/Y!AP2</f>
        <v/>
      </c>
      <c r="R11">
        <f>L!AR2/Y!AQ2</f>
        <v/>
      </c>
      <c r="S11">
        <f>L!AS2/Y!AR2</f>
        <v/>
      </c>
      <c r="T11">
        <f>L!AT2/Y!AS2</f>
        <v/>
      </c>
      <c r="U11">
        <f>L!AU2/Y!AT2</f>
        <v/>
      </c>
      <c r="V11">
        <f>L!AV2/Y!AU2</f>
        <v/>
      </c>
      <c r="W11">
        <f>L!AW2/Y!AV2</f>
        <v/>
      </c>
      <c r="X11">
        <f>L!AX2/Y!AW2</f>
        <v/>
      </c>
      <c r="Y11">
        <f>L!AY2/Y!AX2</f>
        <v/>
      </c>
      <c r="Z11">
        <f>L!AZ2/Y!AY2</f>
        <v/>
      </c>
      <c r="AA11">
        <f>L!BA2/Y!AZ2</f>
        <v/>
      </c>
      <c r="AB11">
        <f>L!BB2/Y!BA2</f>
        <v/>
      </c>
      <c r="AC11">
        <f>L!BC2/Y!BB2</f>
        <v/>
      </c>
      <c r="AD11">
        <f>L!BD2/Y!BC2</f>
        <v/>
      </c>
      <c r="AE11">
        <f>L!BE2/Y!BD2</f>
        <v/>
      </c>
      <c r="AF11">
        <f>L!BF2/Y!BE2</f>
        <v/>
      </c>
    </row>
    <row r="12" customFormat="1" s="1">
      <c r="B12" s="5" t="inlineStr">
        <is>
          <t>Slagterier</t>
        </is>
      </c>
      <c r="C12">
        <f>L!AC3/Y!AB3</f>
        <v/>
      </c>
      <c r="D12">
        <f>L!AD3/Y!AC3</f>
        <v/>
      </c>
      <c r="E12">
        <f>L!AE3/Y!AD3</f>
        <v/>
      </c>
      <c r="F12">
        <f>L!AF3/Y!AE3</f>
        <v/>
      </c>
      <c r="G12">
        <f>L!AG3/Y!AF3</f>
        <v/>
      </c>
      <c r="H12">
        <f>L!AH3/Y!AG3</f>
        <v/>
      </c>
      <c r="I12">
        <f>L!AI3/Y!AH3</f>
        <v/>
      </c>
      <c r="J12">
        <f>L!AJ3/Y!AI3</f>
        <v/>
      </c>
      <c r="K12">
        <f>L!AK3/Y!AJ3</f>
        <v/>
      </c>
      <c r="L12">
        <f>L!AL3/Y!AK3</f>
        <v/>
      </c>
      <c r="M12">
        <f>L!AM3/Y!AL3</f>
        <v/>
      </c>
      <c r="N12">
        <f>L!AN3/Y!AM3</f>
        <v/>
      </c>
      <c r="O12">
        <f>L!AO3/Y!AN3</f>
        <v/>
      </c>
      <c r="P12">
        <f>L!AP3/Y!AO3</f>
        <v/>
      </c>
      <c r="Q12">
        <f>L!AQ3/Y!AP3</f>
        <v/>
      </c>
      <c r="R12">
        <f>L!AR3/Y!AQ3</f>
        <v/>
      </c>
      <c r="S12">
        <f>L!AS3/Y!AR3</f>
        <v/>
      </c>
      <c r="T12">
        <f>L!AT3/Y!AS3</f>
        <v/>
      </c>
      <c r="U12">
        <f>L!AU3/Y!AT3</f>
        <v/>
      </c>
      <c r="V12">
        <f>L!AV3/Y!AU3</f>
        <v/>
      </c>
      <c r="W12">
        <f>L!AW3/Y!AV3</f>
        <v/>
      </c>
      <c r="X12">
        <f>L!AX3/Y!AW3</f>
        <v/>
      </c>
      <c r="Y12">
        <f>L!AY3/Y!AX3</f>
        <v/>
      </c>
      <c r="Z12">
        <f>L!AZ3/Y!AY3</f>
        <v/>
      </c>
      <c r="AA12">
        <f>L!BA3/Y!AZ3</f>
        <v/>
      </c>
      <c r="AB12">
        <f>L!BB3/Y!BA3</f>
        <v/>
      </c>
      <c r="AC12">
        <f>L!BC3/Y!BB3</f>
        <v/>
      </c>
      <c r="AD12">
        <f>L!BD3/Y!BC3</f>
        <v/>
      </c>
      <c r="AE12">
        <f>L!BE3/Y!BD3</f>
        <v/>
      </c>
      <c r="AF12">
        <f>L!BF3/Y!BE3</f>
        <v/>
      </c>
    </row>
    <row r="13" ht="15" customHeight="1" s="6">
      <c r="B13" s="4" t="inlineStr">
        <is>
          <t>Mejerier</t>
        </is>
      </c>
      <c r="C13">
        <f>L!AC4/Y!AB4</f>
        <v/>
      </c>
      <c r="D13">
        <f>L!AD4/Y!AC4</f>
        <v/>
      </c>
      <c r="E13">
        <f>L!AE4/Y!AD4</f>
        <v/>
      </c>
      <c r="F13">
        <f>L!AF4/Y!AE4</f>
        <v/>
      </c>
      <c r="G13">
        <f>L!AG4/Y!AF4</f>
        <v/>
      </c>
      <c r="H13">
        <f>L!AH4/Y!AG4</f>
        <v/>
      </c>
      <c r="I13">
        <f>L!AI4/Y!AH4</f>
        <v/>
      </c>
      <c r="J13">
        <f>L!AJ4/Y!AI4</f>
        <v/>
      </c>
      <c r="K13">
        <f>L!AK4/Y!AJ4</f>
        <v/>
      </c>
      <c r="L13">
        <f>L!AL4/Y!AK4</f>
        <v/>
      </c>
      <c r="M13">
        <f>L!AM4/Y!AL4</f>
        <v/>
      </c>
      <c r="N13">
        <f>L!AN4/Y!AM4</f>
        <v/>
      </c>
      <c r="O13">
        <f>L!AO4/Y!AN4</f>
        <v/>
      </c>
      <c r="P13">
        <f>L!AP4/Y!AO4</f>
        <v/>
      </c>
      <c r="Q13">
        <f>L!AQ4/Y!AP4</f>
        <v/>
      </c>
      <c r="R13">
        <f>L!AR4/Y!AQ4</f>
        <v/>
      </c>
      <c r="S13">
        <f>L!AS4/Y!AR4</f>
        <v/>
      </c>
      <c r="T13">
        <f>L!AT4/Y!AS4</f>
        <v/>
      </c>
      <c r="U13">
        <f>L!AU4/Y!AT4</f>
        <v/>
      </c>
      <c r="V13">
        <f>L!AV4/Y!AU4</f>
        <v/>
      </c>
      <c r="W13">
        <f>L!AW4/Y!AV4</f>
        <v/>
      </c>
      <c r="X13">
        <f>L!AX4/Y!AW4</f>
        <v/>
      </c>
      <c r="Y13">
        <f>L!AY4/Y!AX4</f>
        <v/>
      </c>
      <c r="Z13">
        <f>L!AZ4/Y!AY4</f>
        <v/>
      </c>
      <c r="AA13">
        <f>L!BA4/Y!AZ4</f>
        <v/>
      </c>
      <c r="AB13">
        <f>L!BB4/Y!BA4</f>
        <v/>
      </c>
      <c r="AC13">
        <f>L!BC4/Y!BB4</f>
        <v/>
      </c>
      <c r="AD13">
        <f>L!BD4/Y!BC4</f>
        <v/>
      </c>
      <c r="AE13">
        <f>L!BE4/Y!BD4</f>
        <v/>
      </c>
      <c r="AF13">
        <f>L!BF4/Y!BE4</f>
        <v/>
      </c>
    </row>
    <row r="14">
      <c r="B14" s="4" t="inlineStr">
        <is>
          <t>Anden fødevareindustri</t>
        </is>
      </c>
      <c r="C14">
        <f>L!AC5/Y!AB5</f>
        <v/>
      </c>
      <c r="D14">
        <f>L!AD5/Y!AC5</f>
        <v/>
      </c>
      <c r="E14">
        <f>L!AE5/Y!AD5</f>
        <v/>
      </c>
      <c r="F14">
        <f>L!AF5/Y!AE5</f>
        <v/>
      </c>
      <c r="G14">
        <f>L!AG5/Y!AF5</f>
        <v/>
      </c>
      <c r="H14">
        <f>L!AH5/Y!AG5</f>
        <v/>
      </c>
      <c r="I14">
        <f>L!AI5/Y!AH5</f>
        <v/>
      </c>
      <c r="J14">
        <f>L!AJ5/Y!AI5</f>
        <v/>
      </c>
      <c r="K14">
        <f>L!AK5/Y!AJ5</f>
        <v/>
      </c>
      <c r="L14">
        <f>L!AL5/Y!AK5</f>
        <v/>
      </c>
      <c r="M14">
        <f>L!AM5/Y!AL5</f>
        <v/>
      </c>
      <c r="N14">
        <f>L!AN5/Y!AM5</f>
        <v/>
      </c>
      <c r="O14">
        <f>L!AO5/Y!AN5</f>
        <v/>
      </c>
      <c r="P14">
        <f>L!AP5/Y!AO5</f>
        <v/>
      </c>
      <c r="Q14">
        <f>L!AQ5/Y!AP5</f>
        <v/>
      </c>
      <c r="R14">
        <f>L!AR5/Y!AQ5</f>
        <v/>
      </c>
      <c r="S14">
        <f>L!AS5/Y!AR5</f>
        <v/>
      </c>
      <c r="T14">
        <f>L!AT5/Y!AS5</f>
        <v/>
      </c>
      <c r="U14">
        <f>L!AU5/Y!AT5</f>
        <v/>
      </c>
      <c r="V14">
        <f>L!AV5/Y!AU5</f>
        <v/>
      </c>
      <c r="W14">
        <f>L!AW5/Y!AV5</f>
        <v/>
      </c>
      <c r="X14">
        <f>L!AX5/Y!AW5</f>
        <v/>
      </c>
      <c r="Y14">
        <f>L!AY5/Y!AX5</f>
        <v/>
      </c>
      <c r="Z14">
        <f>L!AZ5/Y!AY5</f>
        <v/>
      </c>
      <c r="AA14">
        <f>L!BA5/Y!AZ5</f>
        <v/>
      </c>
      <c r="AB14">
        <f>L!BB5/Y!BA5</f>
        <v/>
      </c>
      <c r="AC14">
        <f>L!BC5/Y!BB5</f>
        <v/>
      </c>
      <c r="AD14">
        <f>L!BD5/Y!BC5</f>
        <v/>
      </c>
      <c r="AE14">
        <f>L!BE5/Y!BD5</f>
        <v/>
      </c>
      <c r="AF14">
        <f>L!BF5/Y!BE5</f>
        <v/>
      </c>
    </row>
    <row r="15">
      <c r="B15" s="4" t="inlineStr">
        <is>
          <t>Resten af økonomien</t>
        </is>
      </c>
      <c r="C15">
        <f>L!AC6/Y!AB6</f>
        <v/>
      </c>
      <c r="D15">
        <f>L!AD6/Y!AC6</f>
        <v/>
      </c>
      <c r="E15">
        <f>L!AE6/Y!AD6</f>
        <v/>
      </c>
      <c r="F15">
        <f>L!AF6/Y!AE6</f>
        <v/>
      </c>
      <c r="G15">
        <f>L!AG6/Y!AF6</f>
        <v/>
      </c>
      <c r="H15">
        <f>L!AH6/Y!AG6</f>
        <v/>
      </c>
      <c r="I15">
        <f>L!AI6/Y!AH6</f>
        <v/>
      </c>
      <c r="J15">
        <f>L!AJ6/Y!AI6</f>
        <v/>
      </c>
      <c r="K15">
        <f>L!AK6/Y!AJ6</f>
        <v/>
      </c>
      <c r="L15">
        <f>L!AL6/Y!AK6</f>
        <v/>
      </c>
      <c r="M15">
        <f>L!AM6/Y!AL6</f>
        <v/>
      </c>
      <c r="N15">
        <f>L!AN6/Y!AM6</f>
        <v/>
      </c>
      <c r="O15">
        <f>L!AO6/Y!AN6</f>
        <v/>
      </c>
      <c r="P15">
        <f>L!AP6/Y!AO6</f>
        <v/>
      </c>
      <c r="Q15">
        <f>L!AQ6/Y!AP6</f>
        <v/>
      </c>
      <c r="R15">
        <f>L!AR6/Y!AQ6</f>
        <v/>
      </c>
      <c r="S15">
        <f>L!AS6/Y!AR6</f>
        <v/>
      </c>
      <c r="T15">
        <f>L!AT6/Y!AS6</f>
        <v/>
      </c>
      <c r="U15">
        <f>L!AU6/Y!AT6</f>
        <v/>
      </c>
      <c r="V15">
        <f>L!AV6/Y!AU6</f>
        <v/>
      </c>
      <c r="W15">
        <f>L!AW6/Y!AV6</f>
        <v/>
      </c>
      <c r="X15">
        <f>L!AX6/Y!AW6</f>
        <v/>
      </c>
      <c r="Y15">
        <f>L!AY6/Y!AX6</f>
        <v/>
      </c>
      <c r="Z15">
        <f>L!AZ6/Y!AY6</f>
        <v/>
      </c>
      <c r="AA15">
        <f>L!BA6/Y!AZ6</f>
        <v/>
      </c>
      <c r="AB15">
        <f>L!BB6/Y!BA6</f>
        <v/>
      </c>
      <c r="AC15">
        <f>L!BC6/Y!BB6</f>
        <v/>
      </c>
      <c r="AD15">
        <f>L!BD6/Y!BC6</f>
        <v/>
      </c>
      <c r="AE15">
        <f>L!BE6/Y!BD6</f>
        <v/>
      </c>
      <c r="AF15">
        <f>L!BF6/Y!BE6</f>
        <v/>
      </c>
    </row>
    <row r="16" customFormat="1" s="1"/>
    <row r="17" customFormat="1" s="1">
      <c r="B17" t="inlineStr">
        <is>
          <t>Materiale-output-ratio (Mtot/Y)</t>
        </is>
      </c>
      <c r="C17" s="4" t="n">
        <v>1993</v>
      </c>
      <c r="D17" s="4" t="n">
        <v>1994</v>
      </c>
      <c r="E17" s="4" t="n">
        <v>1995</v>
      </c>
      <c r="F17" s="4" t="n">
        <v>1996</v>
      </c>
      <c r="G17" s="4" t="n">
        <v>1997</v>
      </c>
      <c r="H17" s="4" t="n">
        <v>1998</v>
      </c>
      <c r="I17" s="4" t="n">
        <v>1999</v>
      </c>
      <c r="J17" s="4" t="n">
        <v>2000</v>
      </c>
      <c r="K17" s="4" t="n">
        <v>2001</v>
      </c>
      <c r="L17" s="4" t="n">
        <v>2002</v>
      </c>
      <c r="M17" s="4" t="n">
        <v>2003</v>
      </c>
      <c r="N17" s="4" t="n">
        <v>2004</v>
      </c>
      <c r="O17" s="4" t="n">
        <v>2005</v>
      </c>
      <c r="P17" s="4" t="n">
        <v>2006</v>
      </c>
      <c r="Q17" s="4" t="n">
        <v>2007</v>
      </c>
      <c r="R17" s="4" t="n">
        <v>2008</v>
      </c>
      <c r="S17" s="4" t="n">
        <v>2009</v>
      </c>
      <c r="T17" s="4" t="n">
        <v>2010</v>
      </c>
      <c r="U17" s="4" t="n">
        <v>2011</v>
      </c>
      <c r="V17" s="4" t="n">
        <v>2012</v>
      </c>
      <c r="W17" s="4" t="n">
        <v>2013</v>
      </c>
      <c r="X17" s="4" t="n">
        <v>2014</v>
      </c>
      <c r="Y17" s="4" t="n">
        <v>2015</v>
      </c>
      <c r="Z17" s="4" t="n">
        <v>2016</v>
      </c>
      <c r="AA17" s="4" t="n">
        <v>2017</v>
      </c>
      <c r="AB17" s="4" t="n">
        <v>2018</v>
      </c>
      <c r="AC17" s="4" t="n">
        <v>2019</v>
      </c>
      <c r="AD17" s="4" t="n">
        <v>2020</v>
      </c>
      <c r="AE17" s="4" t="n">
        <v>2021</v>
      </c>
      <c r="AF17" s="4" t="n">
        <v>2022</v>
      </c>
    </row>
    <row r="18" ht="15" customHeight="1" s="6">
      <c r="B18" s="5" t="inlineStr">
        <is>
          <t>Landbrug</t>
        </is>
      </c>
      <c r="C18">
        <f>Mtot!AB2/Y!AB2</f>
        <v/>
      </c>
      <c r="D18">
        <f>Mtot!AC2/Y!AC2</f>
        <v/>
      </c>
      <c r="E18">
        <f>Mtot!AD2/Y!AD2</f>
        <v/>
      </c>
      <c r="F18">
        <f>Mtot!AE2/Y!AE2</f>
        <v/>
      </c>
      <c r="G18">
        <f>Mtot!AF2/Y!AF2</f>
        <v/>
      </c>
      <c r="H18">
        <f>Mtot!AG2/Y!AG2</f>
        <v/>
      </c>
      <c r="I18">
        <f>Mtot!AH2/Y!AH2</f>
        <v/>
      </c>
      <c r="J18">
        <f>Mtot!AI2/Y!AI2</f>
        <v/>
      </c>
      <c r="K18">
        <f>Mtot!AJ2/Y!AJ2</f>
        <v/>
      </c>
      <c r="L18">
        <f>Mtot!AK2/Y!AK2</f>
        <v/>
      </c>
      <c r="M18">
        <f>Mtot!AL2/Y!AL2</f>
        <v/>
      </c>
      <c r="N18">
        <f>Mtot!AM2/Y!AM2</f>
        <v/>
      </c>
      <c r="O18">
        <f>Mtot!AN2/Y!AN2</f>
        <v/>
      </c>
      <c r="P18">
        <f>Mtot!AO2/Y!AO2</f>
        <v/>
      </c>
      <c r="Q18">
        <f>Mtot!AP2/Y!AP2</f>
        <v/>
      </c>
      <c r="R18">
        <f>Mtot!AQ2/Y!AQ2</f>
        <v/>
      </c>
      <c r="S18">
        <f>Mtot!AR2/Y!AR2</f>
        <v/>
      </c>
      <c r="T18">
        <f>Mtot!AS2/Y!AS2</f>
        <v/>
      </c>
      <c r="U18">
        <f>Mtot!AT2/Y!AT2</f>
        <v/>
      </c>
      <c r="V18">
        <f>Mtot!AU2/Y!AU2</f>
        <v/>
      </c>
      <c r="W18">
        <f>Mtot!AV2/Y!AV2</f>
        <v/>
      </c>
      <c r="X18">
        <f>Mtot!AW2/Y!AW2</f>
        <v/>
      </c>
      <c r="Y18">
        <f>Mtot!AX2/Y!AX2</f>
        <v/>
      </c>
      <c r="Z18">
        <f>Mtot!AY2/Y!AY2</f>
        <v/>
      </c>
      <c r="AA18">
        <f>Mtot!AZ2/Y!AZ2</f>
        <v/>
      </c>
      <c r="AB18">
        <f>Mtot!BA2/Y!BA2</f>
        <v/>
      </c>
      <c r="AC18">
        <f>Mtot!BB2/Y!BB2</f>
        <v/>
      </c>
      <c r="AD18">
        <f>Mtot!BC2/Y!BC2</f>
        <v/>
      </c>
      <c r="AE18">
        <f>Mtot!BD2/Y!BD2</f>
        <v/>
      </c>
      <c r="AF18">
        <f>Mtot!BE2/Y!BE2</f>
        <v/>
      </c>
    </row>
    <row r="19">
      <c r="B19" s="5" t="inlineStr">
        <is>
          <t>Slagterier</t>
        </is>
      </c>
      <c r="C19">
        <f>Mtot!AB3/Y!AB3</f>
        <v/>
      </c>
      <c r="D19">
        <f>Mtot!AC3/Y!AC3</f>
        <v/>
      </c>
      <c r="E19">
        <f>Mtot!AD3/Y!AD3</f>
        <v/>
      </c>
      <c r="F19">
        <f>Mtot!AE3/Y!AE3</f>
        <v/>
      </c>
      <c r="G19">
        <f>Mtot!AF3/Y!AF3</f>
        <v/>
      </c>
      <c r="H19">
        <f>Mtot!AG3/Y!AG3</f>
        <v/>
      </c>
      <c r="I19">
        <f>Mtot!AH3/Y!AH3</f>
        <v/>
      </c>
      <c r="J19">
        <f>Mtot!AI3/Y!AI3</f>
        <v/>
      </c>
      <c r="K19">
        <f>Mtot!AJ3/Y!AJ3</f>
        <v/>
      </c>
      <c r="L19">
        <f>Mtot!AK3/Y!AK3</f>
        <v/>
      </c>
      <c r="M19">
        <f>Mtot!AL3/Y!AL3</f>
        <v/>
      </c>
      <c r="N19">
        <f>Mtot!AM3/Y!AM3</f>
        <v/>
      </c>
      <c r="O19">
        <f>Mtot!AN3/Y!AN3</f>
        <v/>
      </c>
      <c r="P19">
        <f>Mtot!AO3/Y!AO3</f>
        <v/>
      </c>
      <c r="Q19">
        <f>Mtot!AP3/Y!AP3</f>
        <v/>
      </c>
      <c r="R19">
        <f>Mtot!AQ3/Y!AQ3</f>
        <v/>
      </c>
      <c r="S19">
        <f>Mtot!AR3/Y!AR3</f>
        <v/>
      </c>
      <c r="T19">
        <f>Mtot!AS3/Y!AS3</f>
        <v/>
      </c>
      <c r="U19">
        <f>Mtot!AT3/Y!AT3</f>
        <v/>
      </c>
      <c r="V19">
        <f>Mtot!AU3/Y!AU3</f>
        <v/>
      </c>
      <c r="W19">
        <f>Mtot!AV3/Y!AV3</f>
        <v/>
      </c>
      <c r="X19">
        <f>Mtot!AW3/Y!AW3</f>
        <v/>
      </c>
      <c r="Y19">
        <f>Mtot!AX3/Y!AX3</f>
        <v/>
      </c>
      <c r="Z19">
        <f>Mtot!AY3/Y!AY3</f>
        <v/>
      </c>
      <c r="AA19">
        <f>Mtot!AZ3/Y!AZ3</f>
        <v/>
      </c>
      <c r="AB19">
        <f>Mtot!BA3/Y!BA3</f>
        <v/>
      </c>
      <c r="AC19">
        <f>Mtot!BB3/Y!BB3</f>
        <v/>
      </c>
      <c r="AD19">
        <f>Mtot!BC3/Y!BC3</f>
        <v/>
      </c>
      <c r="AE19">
        <f>Mtot!BD3/Y!BD3</f>
        <v/>
      </c>
      <c r="AF19">
        <f>Mtot!BE3/Y!BE3</f>
        <v/>
      </c>
    </row>
    <row r="20">
      <c r="B20" s="4" t="inlineStr">
        <is>
          <t>Mejerier</t>
        </is>
      </c>
      <c r="C20">
        <f>Mtot!AB4/Y!AB4</f>
        <v/>
      </c>
      <c r="D20">
        <f>Mtot!AC4/Y!AC4</f>
        <v/>
      </c>
      <c r="E20">
        <f>Mtot!AD4/Y!AD4</f>
        <v/>
      </c>
      <c r="F20">
        <f>Mtot!AE4/Y!AE4</f>
        <v/>
      </c>
      <c r="G20">
        <f>Mtot!AF4/Y!AF4</f>
        <v/>
      </c>
      <c r="H20">
        <f>Mtot!AG4/Y!AG4</f>
        <v/>
      </c>
      <c r="I20">
        <f>Mtot!AH4/Y!AH4</f>
        <v/>
      </c>
      <c r="J20">
        <f>Mtot!AI4/Y!AI4</f>
        <v/>
      </c>
      <c r="K20">
        <f>Mtot!AJ4/Y!AJ4</f>
        <v/>
      </c>
      <c r="L20">
        <f>Mtot!AK4/Y!AK4</f>
        <v/>
      </c>
      <c r="M20">
        <f>Mtot!AL4/Y!AL4</f>
        <v/>
      </c>
      <c r="N20">
        <f>Mtot!AM4/Y!AM4</f>
        <v/>
      </c>
      <c r="O20">
        <f>Mtot!AN4/Y!AN4</f>
        <v/>
      </c>
      <c r="P20">
        <f>Mtot!AO4/Y!AO4</f>
        <v/>
      </c>
      <c r="Q20">
        <f>Mtot!AP4/Y!AP4</f>
        <v/>
      </c>
      <c r="R20">
        <f>Mtot!AQ4/Y!AQ4</f>
        <v/>
      </c>
      <c r="S20">
        <f>Mtot!AR4/Y!AR4</f>
        <v/>
      </c>
      <c r="T20">
        <f>Mtot!AS4/Y!AS4</f>
        <v/>
      </c>
      <c r="U20">
        <f>Mtot!AT4/Y!AT4</f>
        <v/>
      </c>
      <c r="V20">
        <f>Mtot!AU4/Y!AU4</f>
        <v/>
      </c>
      <c r="W20">
        <f>Mtot!AV4/Y!AV4</f>
        <v/>
      </c>
      <c r="X20">
        <f>Mtot!AW4/Y!AW4</f>
        <v/>
      </c>
      <c r="Y20">
        <f>Mtot!AX4/Y!AX4</f>
        <v/>
      </c>
      <c r="Z20">
        <f>Mtot!AY4/Y!AY4</f>
        <v/>
      </c>
      <c r="AA20">
        <f>Mtot!AZ4/Y!AZ4</f>
        <v/>
      </c>
      <c r="AB20">
        <f>Mtot!BA4/Y!BA4</f>
        <v/>
      </c>
      <c r="AC20">
        <f>Mtot!BB4/Y!BB4</f>
        <v/>
      </c>
      <c r="AD20">
        <f>Mtot!BC4/Y!BC4</f>
        <v/>
      </c>
      <c r="AE20">
        <f>Mtot!BD4/Y!BD4</f>
        <v/>
      </c>
      <c r="AF20">
        <f>Mtot!BE4/Y!BE4</f>
        <v/>
      </c>
    </row>
    <row r="21">
      <c r="B21" s="4" t="inlineStr">
        <is>
          <t>Anden fødevareindustri</t>
        </is>
      </c>
      <c r="C21">
        <f>Mtot!AB5/Y!AB5</f>
        <v/>
      </c>
      <c r="D21">
        <f>Mtot!AC5/Y!AC5</f>
        <v/>
      </c>
      <c r="E21">
        <f>Mtot!AD5/Y!AD5</f>
        <v/>
      </c>
      <c r="F21">
        <f>Mtot!AE5/Y!AE5</f>
        <v/>
      </c>
      <c r="G21">
        <f>Mtot!AF5/Y!AF5</f>
        <v/>
      </c>
      <c r="H21">
        <f>Mtot!AG5/Y!AG5</f>
        <v/>
      </c>
      <c r="I21">
        <f>Mtot!AH5/Y!AH5</f>
        <v/>
      </c>
      <c r="J21">
        <f>Mtot!AI5/Y!AI5</f>
        <v/>
      </c>
      <c r="K21">
        <f>Mtot!AJ5/Y!AJ5</f>
        <v/>
      </c>
      <c r="L21">
        <f>Mtot!AK5/Y!AK5</f>
        <v/>
      </c>
      <c r="M21">
        <f>Mtot!AL5/Y!AL5</f>
        <v/>
      </c>
      <c r="N21">
        <f>Mtot!AM5/Y!AM5</f>
        <v/>
      </c>
      <c r="O21">
        <f>Mtot!AN5/Y!AN5</f>
        <v/>
      </c>
      <c r="P21">
        <f>Mtot!AO5/Y!AO5</f>
        <v/>
      </c>
      <c r="Q21">
        <f>Mtot!AP5/Y!AP5</f>
        <v/>
      </c>
      <c r="R21">
        <f>Mtot!AQ5/Y!AQ5</f>
        <v/>
      </c>
      <c r="S21">
        <f>Mtot!AR5/Y!AR5</f>
        <v/>
      </c>
      <c r="T21">
        <f>Mtot!AS5/Y!AS5</f>
        <v/>
      </c>
      <c r="U21">
        <f>Mtot!AT5/Y!AT5</f>
        <v/>
      </c>
      <c r="V21">
        <f>Mtot!AU5/Y!AU5</f>
        <v/>
      </c>
      <c r="W21">
        <f>Mtot!AV5/Y!AV5</f>
        <v/>
      </c>
      <c r="X21">
        <f>Mtot!AW5/Y!AW5</f>
        <v/>
      </c>
      <c r="Y21">
        <f>Mtot!AX5/Y!AX5</f>
        <v/>
      </c>
      <c r="Z21">
        <f>Mtot!AY5/Y!AY5</f>
        <v/>
      </c>
      <c r="AA21">
        <f>Mtot!AZ5/Y!AZ5</f>
        <v/>
      </c>
      <c r="AB21">
        <f>Mtot!BA5/Y!BA5</f>
        <v/>
      </c>
      <c r="AC21">
        <f>Mtot!BB5/Y!BB5</f>
        <v/>
      </c>
      <c r="AD21">
        <f>Mtot!BC5/Y!BC5</f>
        <v/>
      </c>
      <c r="AE21">
        <f>Mtot!BD5/Y!BD5</f>
        <v/>
      </c>
      <c r="AF21">
        <f>Mtot!BE5/Y!BE5</f>
        <v/>
      </c>
    </row>
    <row r="22">
      <c r="B22" s="4" t="inlineStr">
        <is>
          <t>Resten af økonomien</t>
        </is>
      </c>
      <c r="C22">
        <f>Mtot!AB6/Y!AB6</f>
        <v/>
      </c>
      <c r="D22">
        <f>Mtot!AC6/Y!AC6</f>
        <v/>
      </c>
      <c r="E22">
        <f>Mtot!AD6/Y!AD6</f>
        <v/>
      </c>
      <c r="F22">
        <f>Mtot!AE6/Y!AE6</f>
        <v/>
      </c>
      <c r="G22">
        <f>Mtot!AF6/Y!AF6</f>
        <v/>
      </c>
      <c r="H22">
        <f>Mtot!AG6/Y!AG6</f>
        <v/>
      </c>
      <c r="I22">
        <f>Mtot!AH6/Y!AH6</f>
        <v/>
      </c>
      <c r="J22">
        <f>Mtot!AI6/Y!AI6</f>
        <v/>
      </c>
      <c r="K22">
        <f>Mtot!AJ6/Y!AJ6</f>
        <v/>
      </c>
      <c r="L22">
        <f>Mtot!AK6/Y!AK6</f>
        <v/>
      </c>
      <c r="M22">
        <f>Mtot!AL6/Y!AL6</f>
        <v/>
      </c>
      <c r="N22">
        <f>Mtot!AM6/Y!AM6</f>
        <v/>
      </c>
      <c r="O22">
        <f>Mtot!AN6/Y!AN6</f>
        <v/>
      </c>
      <c r="P22">
        <f>Mtot!AO6/Y!AO6</f>
        <v/>
      </c>
      <c r="Q22">
        <f>Mtot!AP6/Y!AP6</f>
        <v/>
      </c>
      <c r="R22">
        <f>Mtot!AQ6/Y!AQ6</f>
        <v/>
      </c>
      <c r="S22">
        <f>Mtot!AR6/Y!AR6</f>
        <v/>
      </c>
      <c r="T22">
        <f>Mtot!AS6/Y!AS6</f>
        <v/>
      </c>
      <c r="U22">
        <f>Mtot!AT6/Y!AT6</f>
        <v/>
      </c>
      <c r="V22">
        <f>Mtot!AU6/Y!AU6</f>
        <v/>
      </c>
      <c r="W22">
        <f>Mtot!AV6/Y!AV6</f>
        <v/>
      </c>
      <c r="X22">
        <f>Mtot!AW6/Y!AW6</f>
        <v/>
      </c>
      <c r="Y22">
        <f>Mtot!AX6/Y!AX6</f>
        <v/>
      </c>
      <c r="Z22">
        <f>Mtot!AY6/Y!AY6</f>
        <v/>
      </c>
      <c r="AA22">
        <f>Mtot!AZ6/Y!AZ6</f>
        <v/>
      </c>
      <c r="AB22">
        <f>Mtot!BA6/Y!BA6</f>
        <v/>
      </c>
      <c r="AC22">
        <f>Mtot!BB6/Y!BB6</f>
        <v/>
      </c>
      <c r="AD22">
        <f>Mtot!BC6/Y!BC6</f>
        <v/>
      </c>
      <c r="AE22">
        <f>Mtot!BD6/Y!BD6</f>
        <v/>
      </c>
      <c r="AF22">
        <f>Mtot!BE6/Y!BE6</f>
        <v/>
      </c>
    </row>
    <row r="23" customFormat="1" s="1"/>
    <row r="24">
      <c r="B24" t="inlineStr">
        <is>
          <t>Kapital pr arbejdstime (K/L)</t>
        </is>
      </c>
      <c r="C24" s="4" t="n">
        <v>1993</v>
      </c>
      <c r="D24" s="4" t="n">
        <v>1994</v>
      </c>
      <c r="E24" s="4" t="n">
        <v>1995</v>
      </c>
      <c r="F24" s="4" t="n">
        <v>1996</v>
      </c>
      <c r="G24" s="4" t="n">
        <v>1997</v>
      </c>
      <c r="H24" s="4" t="n">
        <v>1998</v>
      </c>
      <c r="I24" s="4" t="n">
        <v>1999</v>
      </c>
      <c r="J24" s="4" t="n">
        <v>2000</v>
      </c>
      <c r="K24" s="4" t="n">
        <v>2001</v>
      </c>
      <c r="L24" s="4" t="n">
        <v>2002</v>
      </c>
      <c r="M24" s="4" t="n">
        <v>2003</v>
      </c>
      <c r="N24" s="4" t="n">
        <v>2004</v>
      </c>
      <c r="O24" s="4" t="n">
        <v>2005</v>
      </c>
      <c r="P24" s="4" t="n">
        <v>2006</v>
      </c>
      <c r="Q24" s="4" t="n">
        <v>2007</v>
      </c>
      <c r="R24" s="4" t="n">
        <v>2008</v>
      </c>
      <c r="S24" s="4" t="n">
        <v>2009</v>
      </c>
      <c r="T24" s="4" t="n">
        <v>2010</v>
      </c>
      <c r="U24" s="4" t="n">
        <v>2011</v>
      </c>
      <c r="V24" s="4" t="n">
        <v>2012</v>
      </c>
      <c r="W24" s="4" t="n">
        <v>2013</v>
      </c>
      <c r="X24" s="4" t="n">
        <v>2014</v>
      </c>
      <c r="Y24" s="4" t="n">
        <v>2015</v>
      </c>
      <c r="Z24" s="4" t="n">
        <v>2016</v>
      </c>
      <c r="AA24" s="4" t="n">
        <v>2017</v>
      </c>
      <c r="AB24" s="4" t="n">
        <v>2018</v>
      </c>
      <c r="AC24" s="4" t="n">
        <v>2019</v>
      </c>
      <c r="AD24" s="4" t="n">
        <v>2020</v>
      </c>
      <c r="AE24" s="4" t="n">
        <v>2021</v>
      </c>
      <c r="AF24" s="4" t="n">
        <v>2022</v>
      </c>
    </row>
    <row r="25">
      <c r="B25" s="5" t="inlineStr">
        <is>
          <t>Landbrug</t>
        </is>
      </c>
      <c r="C25">
        <f>K!AC2/L!AC2</f>
        <v/>
      </c>
      <c r="D25">
        <f>K!AD2/L!AD2</f>
        <v/>
      </c>
      <c r="E25">
        <f>K!AE2/L!AE2</f>
        <v/>
      </c>
      <c r="F25">
        <f>K!AF2/L!AF2</f>
        <v/>
      </c>
      <c r="G25">
        <f>K!AG2/L!AG2</f>
        <v/>
      </c>
      <c r="H25">
        <f>K!AH2/L!AH2</f>
        <v/>
      </c>
      <c r="I25">
        <f>K!AI2/L!AI2</f>
        <v/>
      </c>
      <c r="J25">
        <f>K!AJ2/L!AJ2</f>
        <v/>
      </c>
      <c r="K25">
        <f>K!AK2/L!AK2</f>
        <v/>
      </c>
      <c r="L25">
        <f>K!AL2/L!AL2</f>
        <v/>
      </c>
      <c r="M25">
        <f>K!AM2/L!AM2</f>
        <v/>
      </c>
      <c r="N25">
        <f>K!AN2/L!AN2</f>
        <v/>
      </c>
      <c r="O25">
        <f>K!AO2/L!AO2</f>
        <v/>
      </c>
      <c r="P25">
        <f>K!AP2/L!AP2</f>
        <v/>
      </c>
      <c r="Q25">
        <f>K!AQ2/L!AQ2</f>
        <v/>
      </c>
      <c r="R25">
        <f>K!AR2/L!AR2</f>
        <v/>
      </c>
      <c r="S25">
        <f>K!AS2/L!AS2</f>
        <v/>
      </c>
      <c r="T25">
        <f>K!AT2/L!AT2</f>
        <v/>
      </c>
      <c r="U25">
        <f>K!AU2/L!AU2</f>
        <v/>
      </c>
      <c r="V25">
        <f>K!AV2/L!AV2</f>
        <v/>
      </c>
      <c r="W25">
        <f>K!AW2/L!AW2</f>
        <v/>
      </c>
      <c r="X25">
        <f>K!AX2/L!AX2</f>
        <v/>
      </c>
      <c r="Y25">
        <f>K!AY2/L!AY2</f>
        <v/>
      </c>
      <c r="Z25">
        <f>K!AZ2/L!AZ2</f>
        <v/>
      </c>
      <c r="AA25">
        <f>K!BA2/L!BA2</f>
        <v/>
      </c>
      <c r="AB25">
        <f>K!BB2/L!BB2</f>
        <v/>
      </c>
      <c r="AC25">
        <f>K!BC2/L!BC2</f>
        <v/>
      </c>
      <c r="AD25">
        <f>K!BD2/L!BD2</f>
        <v/>
      </c>
      <c r="AE25">
        <f>K!BE2/L!BE2</f>
        <v/>
      </c>
      <c r="AF25">
        <f>K!BF2/L!BF2</f>
        <v/>
      </c>
    </row>
    <row r="26">
      <c r="B26" s="5" t="inlineStr">
        <is>
          <t>Slagterier</t>
        </is>
      </c>
      <c r="C26">
        <f>K!AC3/L!AC3</f>
        <v/>
      </c>
      <c r="D26">
        <f>K!AD3/L!AD3</f>
        <v/>
      </c>
      <c r="E26">
        <f>K!AE3/L!AE3</f>
        <v/>
      </c>
      <c r="F26">
        <f>K!AF3/L!AF3</f>
        <v/>
      </c>
      <c r="G26">
        <f>K!AG3/L!AG3</f>
        <v/>
      </c>
      <c r="H26">
        <f>K!AH3/L!AH3</f>
        <v/>
      </c>
      <c r="I26">
        <f>K!AI3/L!AI3</f>
        <v/>
      </c>
      <c r="J26">
        <f>K!AJ3/L!AJ3</f>
        <v/>
      </c>
      <c r="K26">
        <f>K!AK3/L!AK3</f>
        <v/>
      </c>
      <c r="L26">
        <f>K!AL3/L!AL3</f>
        <v/>
      </c>
      <c r="M26">
        <f>K!AM3/L!AM3</f>
        <v/>
      </c>
      <c r="N26">
        <f>K!AN3/L!AN3</f>
        <v/>
      </c>
      <c r="O26">
        <f>K!AO3/L!AO3</f>
        <v/>
      </c>
      <c r="P26">
        <f>K!AP3/L!AP3</f>
        <v/>
      </c>
      <c r="Q26">
        <f>K!AQ3/L!AQ3</f>
        <v/>
      </c>
      <c r="R26">
        <f>K!AR3/L!AR3</f>
        <v/>
      </c>
      <c r="S26">
        <f>K!AS3/L!AS3</f>
        <v/>
      </c>
      <c r="T26">
        <f>K!AT3/L!AT3</f>
        <v/>
      </c>
      <c r="U26">
        <f>K!AU3/L!AU3</f>
        <v/>
      </c>
      <c r="V26">
        <f>K!AV3/L!AV3</f>
        <v/>
      </c>
      <c r="W26">
        <f>K!AW3/L!AW3</f>
        <v/>
      </c>
      <c r="X26">
        <f>K!AX3/L!AX3</f>
        <v/>
      </c>
      <c r="Y26">
        <f>K!AY3/L!AY3</f>
        <v/>
      </c>
      <c r="Z26">
        <f>K!AZ3/L!AZ3</f>
        <v/>
      </c>
      <c r="AA26">
        <f>K!BA3/L!BA3</f>
        <v/>
      </c>
      <c r="AB26">
        <f>K!BB3/L!BB3</f>
        <v/>
      </c>
      <c r="AC26">
        <f>K!BC3/L!BC3</f>
        <v/>
      </c>
      <c r="AD26">
        <f>K!BD3/L!BD3</f>
        <v/>
      </c>
      <c r="AE26">
        <f>K!BE3/L!BE3</f>
        <v/>
      </c>
      <c r="AF26">
        <f>K!BF3/L!BF3</f>
        <v/>
      </c>
    </row>
    <row r="27">
      <c r="B27" s="4" t="inlineStr">
        <is>
          <t>Mejerier</t>
        </is>
      </c>
      <c r="C27">
        <f>K!AC4/L!AC4</f>
        <v/>
      </c>
      <c r="D27">
        <f>K!AD4/L!AD4</f>
        <v/>
      </c>
      <c r="E27">
        <f>K!AE4/L!AE4</f>
        <v/>
      </c>
      <c r="F27">
        <f>K!AF4/L!AF4</f>
        <v/>
      </c>
      <c r="G27">
        <f>K!AG4/L!AG4</f>
        <v/>
      </c>
      <c r="H27">
        <f>K!AH4/L!AH4</f>
        <v/>
      </c>
      <c r="I27">
        <f>K!AI4/L!AI4</f>
        <v/>
      </c>
      <c r="J27">
        <f>K!AJ4/L!AJ4</f>
        <v/>
      </c>
      <c r="K27">
        <f>K!AK4/L!AK4</f>
        <v/>
      </c>
      <c r="L27">
        <f>K!AL4/L!AL4</f>
        <v/>
      </c>
      <c r="M27">
        <f>K!AM4/L!AM4</f>
        <v/>
      </c>
      <c r="N27">
        <f>K!AN4/L!AN4</f>
        <v/>
      </c>
      <c r="O27">
        <f>K!AO4/L!AO4</f>
        <v/>
      </c>
      <c r="P27">
        <f>K!AP4/L!AP4</f>
        <v/>
      </c>
      <c r="Q27">
        <f>K!AQ4/L!AQ4</f>
        <v/>
      </c>
      <c r="R27">
        <f>K!AR4/L!AR4</f>
        <v/>
      </c>
      <c r="S27">
        <f>K!AS4/L!AS4</f>
        <v/>
      </c>
      <c r="T27">
        <f>K!AT4/L!AT4</f>
        <v/>
      </c>
      <c r="U27">
        <f>K!AU4/L!AU4</f>
        <v/>
      </c>
      <c r="V27">
        <f>K!AV4/L!AV4</f>
        <v/>
      </c>
      <c r="W27">
        <f>K!AW4/L!AW4</f>
        <v/>
      </c>
      <c r="X27">
        <f>K!AX4/L!AX4</f>
        <v/>
      </c>
      <c r="Y27">
        <f>K!AY4/L!AY4</f>
        <v/>
      </c>
      <c r="Z27">
        <f>K!AZ4/L!AZ4</f>
        <v/>
      </c>
      <c r="AA27">
        <f>K!BA4/L!BA4</f>
        <v/>
      </c>
      <c r="AB27">
        <f>K!BB4/L!BB4</f>
        <v/>
      </c>
      <c r="AC27">
        <f>K!BC4/L!BC4</f>
        <v/>
      </c>
      <c r="AD27">
        <f>K!BD4/L!BD4</f>
        <v/>
      </c>
      <c r="AE27">
        <f>K!BE4/L!BE4</f>
        <v/>
      </c>
      <c r="AF27">
        <f>K!BF4/L!BF4</f>
        <v/>
      </c>
    </row>
    <row r="28">
      <c r="B28" s="4" t="inlineStr">
        <is>
          <t>Anden fødevareindustri</t>
        </is>
      </c>
      <c r="C28">
        <f>K!AC5/L!AC5</f>
        <v/>
      </c>
      <c r="D28">
        <f>K!AD5/L!AD5</f>
        <v/>
      </c>
      <c r="E28">
        <f>K!AE5/L!AE5</f>
        <v/>
      </c>
      <c r="F28">
        <f>K!AF5/L!AF5</f>
        <v/>
      </c>
      <c r="G28">
        <f>K!AG5/L!AG5</f>
        <v/>
      </c>
      <c r="H28">
        <f>K!AH5/L!AH5</f>
        <v/>
      </c>
      <c r="I28">
        <f>K!AI5/L!AI5</f>
        <v/>
      </c>
      <c r="J28">
        <f>K!AJ5/L!AJ5</f>
        <v/>
      </c>
      <c r="K28">
        <f>K!AK5/L!AK5</f>
        <v/>
      </c>
      <c r="L28">
        <f>K!AL5/L!AL5</f>
        <v/>
      </c>
      <c r="M28">
        <f>K!AM5/L!AM5</f>
        <v/>
      </c>
      <c r="N28">
        <f>K!AN5/L!AN5</f>
        <v/>
      </c>
      <c r="O28">
        <f>K!AO5/L!AO5</f>
        <v/>
      </c>
      <c r="P28">
        <f>K!AP5/L!AP5</f>
        <v/>
      </c>
      <c r="Q28">
        <f>K!AQ5/L!AQ5</f>
        <v/>
      </c>
      <c r="R28">
        <f>K!AR5/L!AR5</f>
        <v/>
      </c>
      <c r="S28">
        <f>K!AS5/L!AS5</f>
        <v/>
      </c>
      <c r="T28">
        <f>K!AT5/L!AT5</f>
        <v/>
      </c>
      <c r="U28">
        <f>K!AU5/L!AU5</f>
        <v/>
      </c>
      <c r="V28">
        <f>K!AV5/L!AV5</f>
        <v/>
      </c>
      <c r="W28">
        <f>K!AW5/L!AW5</f>
        <v/>
      </c>
      <c r="X28">
        <f>K!AX5/L!AX5</f>
        <v/>
      </c>
      <c r="Y28">
        <f>K!AY5/L!AY5</f>
        <v/>
      </c>
      <c r="Z28">
        <f>K!AZ5/L!AZ5</f>
        <v/>
      </c>
      <c r="AA28">
        <f>K!BA5/L!BA5</f>
        <v/>
      </c>
      <c r="AB28">
        <f>K!BB5/L!BB5</f>
        <v/>
      </c>
      <c r="AC28">
        <f>K!BC5/L!BC5</f>
        <v/>
      </c>
      <c r="AD28">
        <f>K!BD5/L!BD5</f>
        <v/>
      </c>
      <c r="AE28">
        <f>K!BE5/L!BE5</f>
        <v/>
      </c>
      <c r="AF28">
        <f>K!BF5/L!BF5</f>
        <v/>
      </c>
    </row>
    <row r="29">
      <c r="B29" s="4" t="inlineStr">
        <is>
          <t>Resten af økonomien</t>
        </is>
      </c>
      <c r="C29">
        <f>K!AC6/L!AC6</f>
        <v/>
      </c>
      <c r="D29">
        <f>K!AD6/L!AD6</f>
        <v/>
      </c>
      <c r="E29">
        <f>K!AE6/L!AE6</f>
        <v/>
      </c>
      <c r="F29">
        <f>K!AF6/L!AF6</f>
        <v/>
      </c>
      <c r="G29">
        <f>K!AG6/L!AG6</f>
        <v/>
      </c>
      <c r="H29">
        <f>K!AH6/L!AH6</f>
        <v/>
      </c>
      <c r="I29">
        <f>K!AI6/L!AI6</f>
        <v/>
      </c>
      <c r="J29">
        <f>K!AJ6/L!AJ6</f>
        <v/>
      </c>
      <c r="K29">
        <f>K!AK6/L!AK6</f>
        <v/>
      </c>
      <c r="L29">
        <f>K!AL6/L!AL6</f>
        <v/>
      </c>
      <c r="M29">
        <f>K!AM6/L!AM6</f>
        <v/>
      </c>
      <c r="N29">
        <f>K!AN6/L!AN6</f>
        <v/>
      </c>
      <c r="O29">
        <f>K!AO6/L!AO6</f>
        <v/>
      </c>
      <c r="P29">
        <f>K!AP6/L!AP6</f>
        <v/>
      </c>
      <c r="Q29">
        <f>K!AQ6/L!AQ6</f>
        <v/>
      </c>
      <c r="R29">
        <f>K!AR6/L!AR6</f>
        <v/>
      </c>
      <c r="S29">
        <f>K!AS6/L!AS6</f>
        <v/>
      </c>
      <c r="T29">
        <f>K!AT6/L!AT6</f>
        <v/>
      </c>
      <c r="U29">
        <f>K!AU6/L!AU6</f>
        <v/>
      </c>
      <c r="V29">
        <f>K!AV6/L!AV6</f>
        <v/>
      </c>
      <c r="W29">
        <f>K!AW6/L!AW6</f>
        <v/>
      </c>
      <c r="X29">
        <f>K!AX6/L!AX6</f>
        <v/>
      </c>
      <c r="Y29">
        <f>K!AY6/L!AY6</f>
        <v/>
      </c>
      <c r="Z29">
        <f>K!AZ6/L!AZ6</f>
        <v/>
      </c>
      <c r="AA29">
        <f>K!BA6/L!BA6</f>
        <v/>
      </c>
      <c r="AB29">
        <f>K!BB6/L!BB6</f>
        <v/>
      </c>
      <c r="AC29">
        <f>K!BC6/L!BC6</f>
        <v/>
      </c>
      <c r="AD29">
        <f>K!BD6/L!BD6</f>
        <v/>
      </c>
      <c r="AE29">
        <f>K!BE6/L!BE6</f>
        <v/>
      </c>
      <c r="AF29">
        <f>K!BF6/L!BF6</f>
        <v/>
      </c>
    </row>
    <row r="30" customFormat="1" s="1"/>
    <row r="31">
      <c r="B31" t="inlineStr">
        <is>
          <t>Produktionsværdi (mio.kr.)</t>
        </is>
      </c>
      <c r="C31" s="4" t="n">
        <v>1993</v>
      </c>
      <c r="D31" s="4" t="n">
        <v>1994</v>
      </c>
      <c r="E31" s="4" t="n">
        <v>1995</v>
      </c>
      <c r="F31" s="4" t="n">
        <v>1996</v>
      </c>
      <c r="G31" s="4" t="n">
        <v>1997</v>
      </c>
      <c r="H31" s="4" t="n">
        <v>1998</v>
      </c>
      <c r="I31" s="4" t="n">
        <v>1999</v>
      </c>
      <c r="J31" s="4" t="n">
        <v>2000</v>
      </c>
      <c r="K31" s="4" t="n">
        <v>2001</v>
      </c>
      <c r="L31" s="4" t="n">
        <v>2002</v>
      </c>
      <c r="M31" s="4" t="n">
        <v>2003</v>
      </c>
      <c r="N31" s="4" t="n">
        <v>2004</v>
      </c>
      <c r="O31" s="4" t="n">
        <v>2005</v>
      </c>
      <c r="P31" s="4" t="n">
        <v>2006</v>
      </c>
      <c r="Q31" s="4" t="n">
        <v>2007</v>
      </c>
      <c r="R31" s="4" t="n">
        <v>2008</v>
      </c>
      <c r="S31" s="4" t="n">
        <v>2009</v>
      </c>
      <c r="T31" s="4" t="n">
        <v>2010</v>
      </c>
      <c r="U31" s="4" t="n">
        <v>2011</v>
      </c>
      <c r="V31" s="4" t="n">
        <v>2012</v>
      </c>
      <c r="W31" s="4" t="n">
        <v>2013</v>
      </c>
      <c r="X31" s="4" t="n">
        <v>2014</v>
      </c>
      <c r="Y31" s="4" t="n">
        <v>2015</v>
      </c>
      <c r="Z31" s="4" t="n">
        <v>2016</v>
      </c>
      <c r="AA31" s="4" t="n">
        <v>2017</v>
      </c>
      <c r="AB31" s="4" t="n">
        <v>2018</v>
      </c>
      <c r="AC31" s="4" t="n">
        <v>2019</v>
      </c>
      <c r="AD31" s="4" t="n">
        <v>2020</v>
      </c>
      <c r="AE31" s="4" t="n">
        <v>2021</v>
      </c>
      <c r="AF31" s="4" t="n">
        <v>2022</v>
      </c>
    </row>
    <row r="32">
      <c r="B32" s="5" t="inlineStr">
        <is>
          <t>Landbrug</t>
        </is>
      </c>
      <c r="C32">
        <f>Y!AB2*P!AB2</f>
        <v/>
      </c>
      <c r="D32">
        <f>Y!AC2*P!AC2</f>
        <v/>
      </c>
      <c r="E32">
        <f>Y!AD2*P!AD2</f>
        <v/>
      </c>
      <c r="F32">
        <f>Y!AE2*P!AE2</f>
        <v/>
      </c>
      <c r="G32">
        <f>Y!AF2*P!AF2</f>
        <v/>
      </c>
      <c r="H32">
        <f>Y!AG2*P!AG2</f>
        <v/>
      </c>
      <c r="I32">
        <f>Y!AH2*P!AH2</f>
        <v/>
      </c>
      <c r="J32">
        <f>Y!AI2*P!AI2</f>
        <v/>
      </c>
      <c r="K32">
        <f>Y!AJ2*P!AJ2</f>
        <v/>
      </c>
      <c r="L32">
        <f>Y!AK2*P!AK2</f>
        <v/>
      </c>
      <c r="M32">
        <f>Y!AL2*P!AL2</f>
        <v/>
      </c>
      <c r="N32">
        <f>Y!AM2*P!AM2</f>
        <v/>
      </c>
      <c r="O32">
        <f>Y!AN2*P!AN2</f>
        <v/>
      </c>
      <c r="P32">
        <f>Y!AO2*P!AO2</f>
        <v/>
      </c>
      <c r="Q32">
        <f>Y!AP2*P!AP2</f>
        <v/>
      </c>
      <c r="R32">
        <f>Y!AQ2*P!AQ2</f>
        <v/>
      </c>
      <c r="S32">
        <f>Y!AR2*P!AR2</f>
        <v/>
      </c>
      <c r="T32">
        <f>Y!AS2*P!AS2</f>
        <v/>
      </c>
      <c r="U32">
        <f>Y!AT2*P!AT2</f>
        <v/>
      </c>
      <c r="V32">
        <f>Y!AU2*P!AU2</f>
        <v/>
      </c>
      <c r="W32">
        <f>Y!AV2*P!AV2</f>
        <v/>
      </c>
      <c r="X32">
        <f>Y!AW2*P!AW2</f>
        <v/>
      </c>
      <c r="Y32">
        <f>Y!AX2*P!AX2</f>
        <v/>
      </c>
      <c r="Z32">
        <f>Y!AY2*P!AY2</f>
        <v/>
      </c>
      <c r="AA32">
        <f>Y!AZ2*P!AZ2</f>
        <v/>
      </c>
      <c r="AB32">
        <f>Y!BA2*P!BA2</f>
        <v/>
      </c>
      <c r="AC32">
        <f>Y!BB2*P!BB2</f>
        <v/>
      </c>
      <c r="AD32">
        <f>Y!BC2*P!BC2</f>
        <v/>
      </c>
      <c r="AE32">
        <f>Y!BD2*P!BD2</f>
        <v/>
      </c>
      <c r="AF32">
        <f>Y!BE2*P!BE2</f>
        <v/>
      </c>
    </row>
    <row r="33">
      <c r="B33" s="5" t="inlineStr">
        <is>
          <t>Slagterier</t>
        </is>
      </c>
      <c r="C33">
        <f>Y!AB3*P!AB3</f>
        <v/>
      </c>
      <c r="D33">
        <f>Y!AC3*P!AC3</f>
        <v/>
      </c>
      <c r="E33">
        <f>Y!AD3*P!AD3</f>
        <v/>
      </c>
      <c r="F33">
        <f>Y!AE3*P!AE3</f>
        <v/>
      </c>
      <c r="G33">
        <f>Y!AF3*P!AF3</f>
        <v/>
      </c>
      <c r="H33">
        <f>Y!AG3*P!AG3</f>
        <v/>
      </c>
      <c r="I33">
        <f>Y!AH3*P!AH3</f>
        <v/>
      </c>
      <c r="J33">
        <f>Y!AI3*P!AI3</f>
        <v/>
      </c>
      <c r="K33">
        <f>Y!AJ3*P!AJ3</f>
        <v/>
      </c>
      <c r="L33">
        <f>Y!AK3*P!AK3</f>
        <v/>
      </c>
      <c r="M33">
        <f>Y!AL3*P!AL3</f>
        <v/>
      </c>
      <c r="N33">
        <f>Y!AM3*P!AM3</f>
        <v/>
      </c>
      <c r="O33">
        <f>Y!AN3*P!AN3</f>
        <v/>
      </c>
      <c r="P33">
        <f>Y!AO3*P!AO3</f>
        <v/>
      </c>
      <c r="Q33">
        <f>Y!AP3*P!AP3</f>
        <v/>
      </c>
      <c r="R33">
        <f>Y!AQ3*P!AQ3</f>
        <v/>
      </c>
      <c r="S33">
        <f>Y!AR3*P!AR3</f>
        <v/>
      </c>
      <c r="T33">
        <f>Y!AS3*P!AS3</f>
        <v/>
      </c>
      <c r="U33">
        <f>Y!AT3*P!AT3</f>
        <v/>
      </c>
      <c r="V33">
        <f>Y!AU3*P!AU3</f>
        <v/>
      </c>
      <c r="W33">
        <f>Y!AV3*P!AV3</f>
        <v/>
      </c>
      <c r="X33">
        <f>Y!AW3*P!AW3</f>
        <v/>
      </c>
      <c r="Y33">
        <f>Y!AX3*P!AX3</f>
        <v/>
      </c>
      <c r="Z33">
        <f>Y!AY3*P!AY3</f>
        <v/>
      </c>
      <c r="AA33">
        <f>Y!AZ3*P!AZ3</f>
        <v/>
      </c>
      <c r="AB33">
        <f>Y!BA3*P!BA3</f>
        <v/>
      </c>
      <c r="AC33">
        <f>Y!BB3*P!BB3</f>
        <v/>
      </c>
      <c r="AD33">
        <f>Y!BC3*P!BC3</f>
        <v/>
      </c>
      <c r="AE33">
        <f>Y!BD3*P!BD3</f>
        <v/>
      </c>
      <c r="AF33">
        <f>Y!BE3*P!BE3</f>
        <v/>
      </c>
    </row>
    <row r="34">
      <c r="B34" s="4" t="inlineStr">
        <is>
          <t>Mejerier</t>
        </is>
      </c>
      <c r="C34">
        <f>Y!AB4*P!AB4</f>
        <v/>
      </c>
      <c r="D34">
        <f>Y!AC4*P!AC4</f>
        <v/>
      </c>
      <c r="E34">
        <f>Y!AD4*P!AD4</f>
        <v/>
      </c>
      <c r="F34">
        <f>Y!AE4*P!AE4</f>
        <v/>
      </c>
      <c r="G34">
        <f>Y!AF4*P!AF4</f>
        <v/>
      </c>
      <c r="H34">
        <f>Y!AG4*P!AG4</f>
        <v/>
      </c>
      <c r="I34">
        <f>Y!AH4*P!AH4</f>
        <v/>
      </c>
      <c r="J34">
        <f>Y!AI4*P!AI4</f>
        <v/>
      </c>
      <c r="K34">
        <f>Y!AJ4*P!AJ4</f>
        <v/>
      </c>
      <c r="L34">
        <f>Y!AK4*P!AK4</f>
        <v/>
      </c>
      <c r="M34">
        <f>Y!AL4*P!AL4</f>
        <v/>
      </c>
      <c r="N34">
        <f>Y!AM4*P!AM4</f>
        <v/>
      </c>
      <c r="O34">
        <f>Y!AN4*P!AN4</f>
        <v/>
      </c>
      <c r="P34">
        <f>Y!AO4*P!AO4</f>
        <v/>
      </c>
      <c r="Q34">
        <f>Y!AP4*P!AP4</f>
        <v/>
      </c>
      <c r="R34">
        <f>Y!AQ4*P!AQ4</f>
        <v/>
      </c>
      <c r="S34">
        <f>Y!AR4*P!AR4</f>
        <v/>
      </c>
      <c r="T34">
        <f>Y!AS4*P!AS4</f>
        <v/>
      </c>
      <c r="U34">
        <f>Y!AT4*P!AT4</f>
        <v/>
      </c>
      <c r="V34">
        <f>Y!AU4*P!AU4</f>
        <v/>
      </c>
      <c r="W34">
        <f>Y!AV4*P!AV4</f>
        <v/>
      </c>
      <c r="X34">
        <f>Y!AW4*P!AW4</f>
        <v/>
      </c>
      <c r="Y34">
        <f>Y!AX4*P!AX4</f>
        <v/>
      </c>
      <c r="Z34">
        <f>Y!AY4*P!AY4</f>
        <v/>
      </c>
      <c r="AA34">
        <f>Y!AZ4*P!AZ4</f>
        <v/>
      </c>
      <c r="AB34">
        <f>Y!BA4*P!BA4</f>
        <v/>
      </c>
      <c r="AC34">
        <f>Y!BB4*P!BB4</f>
        <v/>
      </c>
      <c r="AD34">
        <f>Y!BC4*P!BC4</f>
        <v/>
      </c>
      <c r="AE34">
        <f>Y!BD4*P!BD4</f>
        <v/>
      </c>
      <c r="AF34">
        <f>Y!BE4*P!BE4</f>
        <v/>
      </c>
    </row>
    <row r="35">
      <c r="B35" s="4" t="inlineStr">
        <is>
          <t>Anden fødevareindustri</t>
        </is>
      </c>
      <c r="C35">
        <f>Y!AB5*P!AB5</f>
        <v/>
      </c>
      <c r="D35">
        <f>Y!AC5*P!AC5</f>
        <v/>
      </c>
      <c r="E35">
        <f>Y!AD5*P!AD5</f>
        <v/>
      </c>
      <c r="F35">
        <f>Y!AE5*P!AE5</f>
        <v/>
      </c>
      <c r="G35">
        <f>Y!AF5*P!AF5</f>
        <v/>
      </c>
      <c r="H35">
        <f>Y!AG5*P!AG5</f>
        <v/>
      </c>
      <c r="I35">
        <f>Y!AH5*P!AH5</f>
        <v/>
      </c>
      <c r="J35">
        <f>Y!AI5*P!AI5</f>
        <v/>
      </c>
      <c r="K35">
        <f>Y!AJ5*P!AJ5</f>
        <v/>
      </c>
      <c r="L35">
        <f>Y!AK5*P!AK5</f>
        <v/>
      </c>
      <c r="M35">
        <f>Y!AL5*P!AL5</f>
        <v/>
      </c>
      <c r="N35">
        <f>Y!AM5*P!AM5</f>
        <v/>
      </c>
      <c r="O35">
        <f>Y!AN5*P!AN5</f>
        <v/>
      </c>
      <c r="P35">
        <f>Y!AO5*P!AO5</f>
        <v/>
      </c>
      <c r="Q35">
        <f>Y!AP5*P!AP5</f>
        <v/>
      </c>
      <c r="R35">
        <f>Y!AQ5*P!AQ5</f>
        <v/>
      </c>
      <c r="S35">
        <f>Y!AR5*P!AR5</f>
        <v/>
      </c>
      <c r="T35">
        <f>Y!AS5*P!AS5</f>
        <v/>
      </c>
      <c r="U35">
        <f>Y!AT5*P!AT5</f>
        <v/>
      </c>
      <c r="V35">
        <f>Y!AU5*P!AU5</f>
        <v/>
      </c>
      <c r="W35">
        <f>Y!AV5*P!AV5</f>
        <v/>
      </c>
      <c r="X35">
        <f>Y!AW5*P!AW5</f>
        <v/>
      </c>
      <c r="Y35">
        <f>Y!AX5*P!AX5</f>
        <v/>
      </c>
      <c r="Z35">
        <f>Y!AY5*P!AY5</f>
        <v/>
      </c>
      <c r="AA35">
        <f>Y!AZ5*P!AZ5</f>
        <v/>
      </c>
      <c r="AB35">
        <f>Y!BA5*P!BA5</f>
        <v/>
      </c>
      <c r="AC35">
        <f>Y!BB5*P!BB5</f>
        <v/>
      </c>
      <c r="AD35">
        <f>Y!BC5*P!BC5</f>
        <v/>
      </c>
      <c r="AE35">
        <f>Y!BD5*P!BD5</f>
        <v/>
      </c>
      <c r="AF35">
        <f>Y!BE5*P!BE5</f>
        <v/>
      </c>
    </row>
    <row r="36">
      <c r="B36" s="4" t="inlineStr">
        <is>
          <t>Resten af økonomien</t>
        </is>
      </c>
      <c r="C36">
        <f>Y!AB6*P!AB6</f>
        <v/>
      </c>
      <c r="D36">
        <f>Y!AC6*P!AC6</f>
        <v/>
      </c>
      <c r="E36">
        <f>Y!AD6*P!AD6</f>
        <v/>
      </c>
      <c r="F36">
        <f>Y!AE6*P!AE6</f>
        <v/>
      </c>
      <c r="G36">
        <f>Y!AF6*P!AF6</f>
        <v/>
      </c>
      <c r="H36">
        <f>Y!AG6*P!AG6</f>
        <v/>
      </c>
      <c r="I36">
        <f>Y!AH6*P!AH6</f>
        <v/>
      </c>
      <c r="J36">
        <f>Y!AI6*P!AI6</f>
        <v/>
      </c>
      <c r="K36">
        <f>Y!AJ6*P!AJ6</f>
        <v/>
      </c>
      <c r="L36">
        <f>Y!AK6*P!AK6</f>
        <v/>
      </c>
      <c r="M36">
        <f>Y!AL6*P!AL6</f>
        <v/>
      </c>
      <c r="N36">
        <f>Y!AM6*P!AM6</f>
        <v/>
      </c>
      <c r="O36">
        <f>Y!AN6*P!AN6</f>
        <v/>
      </c>
      <c r="P36">
        <f>Y!AO6*P!AO6</f>
        <v/>
      </c>
      <c r="Q36">
        <f>Y!AP6*P!AP6</f>
        <v/>
      </c>
      <c r="R36">
        <f>Y!AQ6*P!AQ6</f>
        <v/>
      </c>
      <c r="S36">
        <f>Y!AR6*P!AR6</f>
        <v/>
      </c>
      <c r="T36">
        <f>Y!AS6*P!AS6</f>
        <v/>
      </c>
      <c r="U36">
        <f>Y!AT6*P!AT6</f>
        <v/>
      </c>
      <c r="V36">
        <f>Y!AU6*P!AU6</f>
        <v/>
      </c>
      <c r="W36">
        <f>Y!AV6*P!AV6</f>
        <v/>
      </c>
      <c r="X36">
        <f>Y!AW6*P!AW6</f>
        <v/>
      </c>
      <c r="Y36">
        <f>Y!AX6*P!AX6</f>
        <v/>
      </c>
      <c r="Z36">
        <f>Y!AY6*P!AY6</f>
        <v/>
      </c>
      <c r="AA36">
        <f>Y!AZ6*P!AZ6</f>
        <v/>
      </c>
      <c r="AB36">
        <f>Y!BA6*P!BA6</f>
        <v/>
      </c>
      <c r="AC36">
        <f>Y!BB6*P!BB6</f>
        <v/>
      </c>
      <c r="AD36">
        <f>Y!BC6*P!BC6</f>
        <v/>
      </c>
      <c r="AE36">
        <f>Y!BD6*P!BD6</f>
        <v/>
      </c>
      <c r="AF36">
        <f>Y!BE6*P!BE6</f>
        <v/>
      </c>
    </row>
    <row r="37" customFormat="1" s="1"/>
    <row r="38">
      <c r="B38" t="inlineStr">
        <is>
          <t>Alt Kapital-output-ratio (K/Y)</t>
        </is>
      </c>
      <c r="C38" s="4" t="n">
        <v>1993</v>
      </c>
      <c r="D38" s="4" t="n">
        <v>1994</v>
      </c>
      <c r="E38" s="4" t="n">
        <v>1995</v>
      </c>
      <c r="F38" s="4" t="n">
        <v>1996</v>
      </c>
      <c r="G38" s="4" t="n">
        <v>1997</v>
      </c>
      <c r="H38" s="4" t="n">
        <v>1998</v>
      </c>
      <c r="I38" s="4" t="n">
        <v>1999</v>
      </c>
      <c r="J38" s="4" t="n">
        <v>2000</v>
      </c>
      <c r="K38" s="4" t="n">
        <v>2001</v>
      </c>
      <c r="L38" s="4" t="n">
        <v>2002</v>
      </c>
      <c r="M38" s="4" t="n">
        <v>2003</v>
      </c>
      <c r="N38" s="4" t="n">
        <v>2004</v>
      </c>
      <c r="O38" s="4" t="n">
        <v>2005</v>
      </c>
      <c r="P38" s="4" t="n">
        <v>2006</v>
      </c>
      <c r="Q38" s="4" t="n">
        <v>2007</v>
      </c>
      <c r="R38" s="4" t="n">
        <v>2008</v>
      </c>
      <c r="S38" s="4" t="n">
        <v>2009</v>
      </c>
      <c r="T38" s="4" t="n">
        <v>2010</v>
      </c>
      <c r="U38" s="4" t="n">
        <v>2011</v>
      </c>
      <c r="V38" s="4" t="n">
        <v>2012</v>
      </c>
      <c r="W38" s="4" t="n">
        <v>2013</v>
      </c>
      <c r="X38" s="4" t="n">
        <v>2014</v>
      </c>
      <c r="Y38" s="4" t="n">
        <v>2015</v>
      </c>
      <c r="Z38" s="4" t="n">
        <v>2016</v>
      </c>
      <c r="AA38" s="4" t="n">
        <v>2017</v>
      </c>
      <c r="AB38" s="4" t="n">
        <v>2018</v>
      </c>
      <c r="AC38" s="4" t="n">
        <v>2019</v>
      </c>
      <c r="AD38" s="4" t="n">
        <v>2020</v>
      </c>
      <c r="AE38" s="4" t="n">
        <v>2021</v>
      </c>
      <c r="AF38" s="4" t="n">
        <v>2022</v>
      </c>
    </row>
    <row r="39">
      <c r="B39" s="5" t="inlineStr">
        <is>
          <t>Landbrug</t>
        </is>
      </c>
      <c r="C39">
        <f>K_BVT!AC2/Y!AB2</f>
        <v/>
      </c>
      <c r="D39">
        <f>K_BVT!AD2/Y!AC2</f>
        <v/>
      </c>
      <c r="E39">
        <f>K_BVT!AE2/Y!AD2</f>
        <v/>
      </c>
      <c r="F39">
        <f>K_BVT!AF2/Y!AE2</f>
        <v/>
      </c>
      <c r="G39">
        <f>K_BVT!AG2/Y!AF2</f>
        <v/>
      </c>
      <c r="H39">
        <f>K_BVT!AH2/Y!AG2</f>
        <v/>
      </c>
      <c r="I39">
        <f>K_BVT!AI2/Y!AH2</f>
        <v/>
      </c>
      <c r="J39">
        <f>K_BVT!AJ2/Y!AI2</f>
        <v/>
      </c>
      <c r="K39">
        <f>K_BVT!AK2/Y!AJ2</f>
        <v/>
      </c>
      <c r="L39">
        <f>K_BVT!AL2/Y!AK2</f>
        <v/>
      </c>
      <c r="M39">
        <f>K_BVT!AM2/Y!AL2</f>
        <v/>
      </c>
      <c r="N39">
        <f>K_BVT!AN2/Y!AM2</f>
        <v/>
      </c>
      <c r="O39">
        <f>K_BVT!AO2/Y!AN2</f>
        <v/>
      </c>
      <c r="P39">
        <f>K_BVT!AP2/Y!AO2</f>
        <v/>
      </c>
      <c r="Q39">
        <f>K_BVT!AQ2/Y!AP2</f>
        <v/>
      </c>
      <c r="R39">
        <f>K_BVT!AR2/Y!AQ2</f>
        <v/>
      </c>
      <c r="S39">
        <f>K_BVT!AS2/Y!AR2</f>
        <v/>
      </c>
      <c r="T39">
        <f>K_BVT!AT2/Y!AS2</f>
        <v/>
      </c>
      <c r="U39">
        <f>K_BVT!AU2/Y!AT2</f>
        <v/>
      </c>
      <c r="V39">
        <f>K_BVT!AV2/Y!AU2</f>
        <v/>
      </c>
      <c r="W39">
        <f>K_BVT!AW2/Y!AV2</f>
        <v/>
      </c>
      <c r="X39">
        <f>K_BVT!AX2/Y!AW2</f>
        <v/>
      </c>
      <c r="Y39">
        <f>K_BVT!AY2/Y!AX2</f>
        <v/>
      </c>
      <c r="Z39">
        <f>K_BVT!AZ2/Y!AY2</f>
        <v/>
      </c>
      <c r="AA39">
        <f>K_BVT!BA2/Y!AZ2</f>
        <v/>
      </c>
      <c r="AB39">
        <f>K_BVT!BB2/Y!BA2</f>
        <v/>
      </c>
      <c r="AC39">
        <f>K_BVT!BC2/Y!BB2</f>
        <v/>
      </c>
      <c r="AD39">
        <f>K_BVT!BD2/Y!BC2</f>
        <v/>
      </c>
      <c r="AE39">
        <f>K_BVT!BE2/Y!BD2</f>
        <v/>
      </c>
      <c r="AF39">
        <f>K_BVT!BF2/Y!BE2</f>
        <v/>
      </c>
    </row>
    <row r="40">
      <c r="B40" s="5" t="inlineStr">
        <is>
          <t>Ny Slagterier</t>
        </is>
      </c>
      <c r="C40">
        <f>K_BVT!AC3/Y!AB3</f>
        <v/>
      </c>
      <c r="D40">
        <f>K_BVT!AD3/Y!AC3</f>
        <v/>
      </c>
      <c r="E40">
        <f>K_BVT!AE3/Y!AD3</f>
        <v/>
      </c>
      <c r="F40">
        <f>K_BVT!AF3/Y!AE3</f>
        <v/>
      </c>
      <c r="G40">
        <f>K_BVT!AG3/Y!AF3</f>
        <v/>
      </c>
      <c r="H40">
        <f>K_BVT!AH3/Y!AG3</f>
        <v/>
      </c>
      <c r="I40">
        <f>K_BVT!AI3/Y!AH3</f>
        <v/>
      </c>
      <c r="J40">
        <f>K_BVT!AJ3/Y!AI3</f>
        <v/>
      </c>
      <c r="K40">
        <f>K_BVT!AK3/Y!AJ3</f>
        <v/>
      </c>
      <c r="L40">
        <f>K_BVT!AL3/Y!AK3</f>
        <v/>
      </c>
      <c r="M40">
        <f>K_BVT!AM3/Y!AL3</f>
        <v/>
      </c>
      <c r="N40">
        <f>K_BVT!AN3/Y!AM3</f>
        <v/>
      </c>
      <c r="O40">
        <f>K_BVT!AO3/Y!AN3</f>
        <v/>
      </c>
      <c r="P40">
        <f>K_BVT!AP3/Y!AO3</f>
        <v/>
      </c>
      <c r="Q40">
        <f>K_BVT!AQ3/Y!AP3</f>
        <v/>
      </c>
      <c r="R40">
        <f>K_BVT!AR3/Y!AQ3</f>
        <v/>
      </c>
      <c r="S40">
        <f>K_BVT!AS3/Y!AR3</f>
        <v/>
      </c>
      <c r="T40">
        <f>K_BVT!AT3/Y!AS3</f>
        <v/>
      </c>
      <c r="U40">
        <f>K_BVT!AU3/Y!AT3</f>
        <v/>
      </c>
      <c r="V40">
        <f>K_BVT!AV3/Y!AU3</f>
        <v/>
      </c>
      <c r="W40">
        <f>K_BVT!AW3/Y!AV3</f>
        <v/>
      </c>
      <c r="X40">
        <f>K_BVT!AX3/Y!AW3</f>
        <v/>
      </c>
      <c r="Y40">
        <f>K_BVT!AY3/Y!AX3</f>
        <v/>
      </c>
      <c r="Z40">
        <f>K_BVT!AZ3/Y!AY3</f>
        <v/>
      </c>
      <c r="AA40">
        <f>K_BVT!BA3/Y!AZ3</f>
        <v/>
      </c>
      <c r="AB40">
        <f>K_BVT!BB3/Y!BA3</f>
        <v/>
      </c>
      <c r="AC40">
        <f>K_BVT!BC3/Y!BB3</f>
        <v/>
      </c>
      <c r="AD40">
        <f>K_BVT!BD3/Y!BC3</f>
        <v/>
      </c>
      <c r="AE40">
        <f>K_BVT!BE3/Y!BD3</f>
        <v/>
      </c>
      <c r="AF40">
        <f>K_BVT!BF3/Y!BE3</f>
        <v/>
      </c>
    </row>
    <row r="41">
      <c r="B41" s="4" t="inlineStr">
        <is>
          <t>Ny Mejerier</t>
        </is>
      </c>
      <c r="C41">
        <f>K_BVT!AC4/Y!AB4</f>
        <v/>
      </c>
      <c r="D41">
        <f>K_BVT!AD4/Y!AC4</f>
        <v/>
      </c>
      <c r="E41">
        <f>K_BVT!AE4/Y!AD4</f>
        <v/>
      </c>
      <c r="F41">
        <f>K_BVT!AF4/Y!AE4</f>
        <v/>
      </c>
      <c r="G41">
        <f>K_BVT!AG4/Y!AF4</f>
        <v/>
      </c>
      <c r="H41">
        <f>K_BVT!AH4/Y!AG4</f>
        <v/>
      </c>
      <c r="I41">
        <f>K_BVT!AI4/Y!AH4</f>
        <v/>
      </c>
      <c r="J41">
        <f>K_BVT!AJ4/Y!AI4</f>
        <v/>
      </c>
      <c r="K41">
        <f>K_BVT!AK4/Y!AJ4</f>
        <v/>
      </c>
      <c r="L41">
        <f>K_BVT!AL4/Y!AK4</f>
        <v/>
      </c>
      <c r="M41">
        <f>K_BVT!AM4/Y!AL4</f>
        <v/>
      </c>
      <c r="N41">
        <f>K_BVT!AN4/Y!AM4</f>
        <v/>
      </c>
      <c r="O41">
        <f>K_BVT!AO4/Y!AN4</f>
        <v/>
      </c>
      <c r="P41">
        <f>K_BVT!AP4/Y!AO4</f>
        <v/>
      </c>
      <c r="Q41">
        <f>K_BVT!AQ4/Y!AP4</f>
        <v/>
      </c>
      <c r="R41">
        <f>K_BVT!AR4/Y!AQ4</f>
        <v/>
      </c>
      <c r="S41">
        <f>K_BVT!AS4/Y!AR4</f>
        <v/>
      </c>
      <c r="T41">
        <f>K_BVT!AT4/Y!AS4</f>
        <v/>
      </c>
      <c r="U41">
        <f>K_BVT!AU4/Y!AT4</f>
        <v/>
      </c>
      <c r="V41">
        <f>K_BVT!AV4/Y!AU4</f>
        <v/>
      </c>
      <c r="W41">
        <f>K_BVT!AW4/Y!AV4</f>
        <v/>
      </c>
      <c r="X41">
        <f>K_BVT!AX4/Y!AW4</f>
        <v/>
      </c>
      <c r="Y41">
        <f>K_BVT!AY4/Y!AX4</f>
        <v/>
      </c>
      <c r="Z41">
        <f>K_BVT!AZ4/Y!AY4</f>
        <v/>
      </c>
      <c r="AA41">
        <f>K_BVT!BA4/Y!AZ4</f>
        <v/>
      </c>
      <c r="AB41">
        <f>K_BVT!BB4/Y!BA4</f>
        <v/>
      </c>
      <c r="AC41">
        <f>K_BVT!BC4/Y!BB4</f>
        <v/>
      </c>
      <c r="AD41">
        <f>K_BVT!BD4/Y!BC4</f>
        <v/>
      </c>
      <c r="AE41">
        <f>K_BVT!BE4/Y!BD4</f>
        <v/>
      </c>
      <c r="AF41">
        <f>K_BVT!BF4/Y!BE4</f>
        <v/>
      </c>
    </row>
    <row r="42">
      <c r="B42" s="4" t="inlineStr">
        <is>
          <t>Ny Anden fødevareindustri</t>
        </is>
      </c>
      <c r="C42">
        <f>K_BVT!AC5/Y!AB5</f>
        <v/>
      </c>
      <c r="D42">
        <f>K_BVT!AD5/Y!AC5</f>
        <v/>
      </c>
      <c r="E42">
        <f>K_BVT!AE5/Y!AD5</f>
        <v/>
      </c>
      <c r="F42">
        <f>K_BVT!AF5/Y!AE5</f>
        <v/>
      </c>
      <c r="G42">
        <f>K_BVT!AG5/Y!AF5</f>
        <v/>
      </c>
      <c r="H42">
        <f>K_BVT!AH5/Y!AG5</f>
        <v/>
      </c>
      <c r="I42">
        <f>K_BVT!AI5/Y!AH5</f>
        <v/>
      </c>
      <c r="J42">
        <f>K_BVT!AJ5/Y!AI5</f>
        <v/>
      </c>
      <c r="K42">
        <f>K_BVT!AK5/Y!AJ5</f>
        <v/>
      </c>
      <c r="L42">
        <f>K_BVT!AL5/Y!AK5</f>
        <v/>
      </c>
      <c r="M42">
        <f>K_BVT!AM5/Y!AL5</f>
        <v/>
      </c>
      <c r="N42">
        <f>K_BVT!AN5/Y!AM5</f>
        <v/>
      </c>
      <c r="O42">
        <f>K_BVT!AO5/Y!AN5</f>
        <v/>
      </c>
      <c r="P42">
        <f>K_BVT!AP5/Y!AO5</f>
        <v/>
      </c>
      <c r="Q42">
        <f>K_BVT!AQ5/Y!AP5</f>
        <v/>
      </c>
      <c r="R42">
        <f>K_BVT!AR5/Y!AQ5</f>
        <v/>
      </c>
      <c r="S42">
        <f>K_BVT!AS5/Y!AR5</f>
        <v/>
      </c>
      <c r="T42">
        <f>K_BVT!AT5/Y!AS5</f>
        <v/>
      </c>
      <c r="U42">
        <f>K_BVT!AU5/Y!AT5</f>
        <v/>
      </c>
      <c r="V42">
        <f>K_BVT!AV5/Y!AU5</f>
        <v/>
      </c>
      <c r="W42">
        <f>K_BVT!AW5/Y!AV5</f>
        <v/>
      </c>
      <c r="X42">
        <f>K_BVT!AX5/Y!AW5</f>
        <v/>
      </c>
      <c r="Y42">
        <f>K_BVT!AY5/Y!AX5</f>
        <v/>
      </c>
      <c r="Z42">
        <f>K_BVT!AZ5/Y!AY5</f>
        <v/>
      </c>
      <c r="AA42">
        <f>K_BVT!BA5/Y!AZ5</f>
        <v/>
      </c>
      <c r="AB42">
        <f>K_BVT!BB5/Y!BA5</f>
        <v/>
      </c>
      <c r="AC42">
        <f>K_BVT!BC5/Y!BB5</f>
        <v/>
      </c>
      <c r="AD42">
        <f>K_BVT!BD5/Y!BC5</f>
        <v/>
      </c>
      <c r="AE42">
        <f>K_BVT!BE5/Y!BD5</f>
        <v/>
      </c>
      <c r="AF42">
        <f>K_BVT!BF5/Y!BE5</f>
        <v/>
      </c>
    </row>
    <row r="43">
      <c r="B43" s="4" t="inlineStr">
        <is>
          <t>Resten af økonomien</t>
        </is>
      </c>
      <c r="C43">
        <f>K_BVT!AC6/Y!AB6</f>
        <v/>
      </c>
      <c r="D43">
        <f>K_BVT!AD6/Y!AC6</f>
        <v/>
      </c>
      <c r="E43">
        <f>K_BVT!AE6/Y!AD6</f>
        <v/>
      </c>
      <c r="F43">
        <f>K_BVT!AF6/Y!AE6</f>
        <v/>
      </c>
      <c r="G43">
        <f>K_BVT!AG6/Y!AF6</f>
        <v/>
      </c>
      <c r="H43">
        <f>K_BVT!AH6/Y!AG6</f>
        <v/>
      </c>
      <c r="I43">
        <f>K_BVT!AI6/Y!AH6</f>
        <v/>
      </c>
      <c r="J43">
        <f>K_BVT!AJ6/Y!AI6</f>
        <v/>
      </c>
      <c r="K43">
        <f>K_BVT!AK6/Y!AJ6</f>
        <v/>
      </c>
      <c r="L43">
        <f>K_BVT!AL6/Y!AK6</f>
        <v/>
      </c>
      <c r="M43">
        <f>K_BVT!AM6/Y!AL6</f>
        <v/>
      </c>
      <c r="N43">
        <f>K_BVT!AN6/Y!AM6</f>
        <v/>
      </c>
      <c r="O43">
        <f>K_BVT!AO6/Y!AN6</f>
        <v/>
      </c>
      <c r="P43">
        <f>K_BVT!AP6/Y!AO6</f>
        <v/>
      </c>
      <c r="Q43">
        <f>K_BVT!AQ6/Y!AP6</f>
        <v/>
      </c>
      <c r="R43">
        <f>K_BVT!AR6/Y!AQ6</f>
        <v/>
      </c>
      <c r="S43">
        <f>K_BVT!AS6/Y!AR6</f>
        <v/>
      </c>
      <c r="T43">
        <f>K_BVT!AT6/Y!AS6</f>
        <v/>
      </c>
      <c r="U43">
        <f>K_BVT!AU6/Y!AT6</f>
        <v/>
      </c>
      <c r="V43">
        <f>K_BVT!AV6/Y!AU6</f>
        <v/>
      </c>
      <c r="W43">
        <f>K_BVT!AW6/Y!AV6</f>
        <v/>
      </c>
      <c r="X43">
        <f>K_BVT!AX6/Y!AW6</f>
        <v/>
      </c>
      <c r="Y43">
        <f>K_BVT!AY6/Y!AX6</f>
        <v/>
      </c>
      <c r="Z43">
        <f>K_BVT!AZ6/Y!AY6</f>
        <v/>
      </c>
      <c r="AA43">
        <f>K_BVT!BA6/Y!AZ6</f>
        <v/>
      </c>
      <c r="AB43">
        <f>K_BVT!BB6/Y!BA6</f>
        <v/>
      </c>
      <c r="AC43">
        <f>K_BVT!BC6/Y!BB6</f>
        <v/>
      </c>
      <c r="AD43">
        <f>K_BVT!BD6/Y!BC6</f>
        <v/>
      </c>
      <c r="AE43">
        <f>K_BVT!BE6/Y!BD6</f>
        <v/>
      </c>
      <c r="AF43">
        <f>K_BVT!BF6/Y!BE6</f>
        <v/>
      </c>
    </row>
    <row r="45">
      <c r="B45" t="inlineStr">
        <is>
          <t xml:space="preserve">Kapital-BVT-ratio </t>
        </is>
      </c>
      <c r="C45" s="4" t="n">
        <v>1993</v>
      </c>
      <c r="D45" s="4" t="n">
        <v>1994</v>
      </c>
      <c r="E45" s="4" t="n">
        <v>1995</v>
      </c>
      <c r="F45" s="4" t="n">
        <v>1996</v>
      </c>
      <c r="G45" s="4" t="n">
        <v>1997</v>
      </c>
      <c r="H45" s="4" t="n">
        <v>1998</v>
      </c>
      <c r="I45" s="4" t="n">
        <v>1999</v>
      </c>
      <c r="J45" s="4" t="n">
        <v>2000</v>
      </c>
      <c r="K45" s="4" t="n">
        <v>2001</v>
      </c>
      <c r="L45" s="4" t="n">
        <v>2002</v>
      </c>
      <c r="M45" s="4" t="n">
        <v>2003</v>
      </c>
      <c r="N45" s="4" t="n">
        <v>2004</v>
      </c>
      <c r="O45" s="4" t="n">
        <v>2005</v>
      </c>
      <c r="P45" s="4" t="n">
        <v>2006</v>
      </c>
      <c r="Q45" s="4" t="n">
        <v>2007</v>
      </c>
      <c r="R45" s="4" t="n">
        <v>2008</v>
      </c>
      <c r="S45" s="4" t="n">
        <v>2009</v>
      </c>
      <c r="T45" s="4" t="n">
        <v>2010</v>
      </c>
      <c r="U45" s="4" t="n">
        <v>2011</v>
      </c>
      <c r="V45" s="4" t="n">
        <v>2012</v>
      </c>
      <c r="W45" s="4" t="n">
        <v>2013</v>
      </c>
      <c r="X45" s="4" t="n">
        <v>2014</v>
      </c>
      <c r="Y45" s="4" t="n">
        <v>2015</v>
      </c>
      <c r="Z45" s="4" t="n">
        <v>2016</v>
      </c>
      <c r="AA45" s="4" t="n">
        <v>2017</v>
      </c>
      <c r="AB45" s="4" t="n">
        <v>2018</v>
      </c>
      <c r="AC45" s="4" t="n">
        <v>2019</v>
      </c>
      <c r="AD45" s="4" t="n">
        <v>2020</v>
      </c>
      <c r="AE45" s="4" t="n">
        <v>2021</v>
      </c>
      <c r="AF45" s="4" t="n">
        <v>2022</v>
      </c>
    </row>
    <row r="46">
      <c r="B46" s="5" t="inlineStr">
        <is>
          <t>Landbrug</t>
        </is>
      </c>
    </row>
    <row r="47">
      <c r="B47" s="5" t="inlineStr">
        <is>
          <t>Ny Slagterier</t>
        </is>
      </c>
      <c r="C47">
        <f>K_BVT!AC3/BVT!AB3</f>
        <v/>
      </c>
      <c r="D47">
        <f>K_BVT!AD3/BVT!AC3</f>
        <v/>
      </c>
      <c r="E47">
        <f>K_BVT!AE3/BVT!AD3</f>
        <v/>
      </c>
      <c r="F47">
        <f>K_BVT!AF3/BVT!AE3</f>
        <v/>
      </c>
      <c r="G47">
        <f>K_BVT!AG3/BVT!AF3</f>
        <v/>
      </c>
      <c r="H47">
        <f>K_BVT!AH3/BVT!AG3</f>
        <v/>
      </c>
      <c r="I47">
        <f>K_BVT!AI3/BVT!AH3</f>
        <v/>
      </c>
      <c r="J47">
        <f>K_BVT!AJ3/BVT!AI3</f>
        <v/>
      </c>
      <c r="K47">
        <f>K_BVT!AK3/BVT!AJ3</f>
        <v/>
      </c>
      <c r="L47">
        <f>K_BVT!AL3/BVT!AK3</f>
        <v/>
      </c>
      <c r="M47">
        <f>K_BVT!AM3/BVT!AL3</f>
        <v/>
      </c>
      <c r="N47">
        <f>K_BVT!AN3/BVT!AM3</f>
        <v/>
      </c>
      <c r="O47">
        <f>K_BVT!AO3/BVT!AN3</f>
        <v/>
      </c>
      <c r="P47">
        <f>K_BVT!AP3/BVT!AO3</f>
        <v/>
      </c>
      <c r="Q47">
        <f>K_BVT!AQ3/BVT!AP3</f>
        <v/>
      </c>
      <c r="R47">
        <f>K_BVT!AR3/BVT!AQ3</f>
        <v/>
      </c>
      <c r="S47">
        <f>K_BVT!AS3/BVT!AR3</f>
        <v/>
      </c>
      <c r="T47">
        <f>K_BVT!AT3/BVT!AS3</f>
        <v/>
      </c>
      <c r="U47">
        <f>K_BVT!AU3/BVT!AT3</f>
        <v/>
      </c>
      <c r="V47">
        <f>K_BVT!AV3/BVT!AU3</f>
        <v/>
      </c>
      <c r="W47">
        <f>K_BVT!AW3/BVT!AV3</f>
        <v/>
      </c>
      <c r="X47">
        <f>K_BVT!AX3/BVT!AW3</f>
        <v/>
      </c>
      <c r="Y47">
        <f>K_BVT!AY3/BVT!AX3</f>
        <v/>
      </c>
      <c r="Z47">
        <f>K_BVT!AZ3/BVT!AY3</f>
        <v/>
      </c>
      <c r="AA47">
        <f>K_BVT!BA3/BVT!AZ3</f>
        <v/>
      </c>
      <c r="AB47">
        <f>K_BVT!BB3/BVT!BA3</f>
        <v/>
      </c>
      <c r="AC47">
        <f>K_BVT!BC3/BVT!BB3</f>
        <v/>
      </c>
      <c r="AD47">
        <f>K_BVT!BD3/BVT!BC3</f>
        <v/>
      </c>
      <c r="AE47">
        <f>K_BVT!BE3/BVT!BD3</f>
        <v/>
      </c>
      <c r="AF47">
        <f>K_BVT!BF3/BVT!BE3</f>
        <v/>
      </c>
    </row>
    <row r="48">
      <c r="B48" s="4" t="inlineStr">
        <is>
          <t>Ny Mejerier</t>
        </is>
      </c>
      <c r="C48">
        <f>K_BVT!AC4/BVT!AB4</f>
        <v/>
      </c>
      <c r="D48">
        <f>K_BVT!AD4/BVT!AC4</f>
        <v/>
      </c>
      <c r="E48">
        <f>K_BVT!AE4/BVT!AD4</f>
        <v/>
      </c>
      <c r="F48">
        <f>K_BVT!AF4/BVT!AE4</f>
        <v/>
      </c>
      <c r="G48">
        <f>K_BVT!AG4/BVT!AF4</f>
        <v/>
      </c>
      <c r="H48">
        <f>K_BVT!AH4/BVT!AG4</f>
        <v/>
      </c>
      <c r="I48">
        <f>K_BVT!AI4/BVT!AH4</f>
        <v/>
      </c>
      <c r="J48">
        <f>K_BVT!AJ4/BVT!AI4</f>
        <v/>
      </c>
      <c r="K48">
        <f>K_BVT!AK4/BVT!AJ4</f>
        <v/>
      </c>
      <c r="L48">
        <f>K_BVT!AL4/BVT!AK4</f>
        <v/>
      </c>
      <c r="M48">
        <f>K_BVT!AM4/BVT!AL4</f>
        <v/>
      </c>
      <c r="N48">
        <f>K_BVT!AN4/BVT!AM4</f>
        <v/>
      </c>
      <c r="O48">
        <f>K_BVT!AO4/BVT!AN4</f>
        <v/>
      </c>
      <c r="P48">
        <f>K_BVT!AP4/BVT!AO4</f>
        <v/>
      </c>
      <c r="Q48">
        <f>K_BVT!AQ4/BVT!AP4</f>
        <v/>
      </c>
      <c r="R48">
        <f>K_BVT!AR4/BVT!AQ4</f>
        <v/>
      </c>
      <c r="S48">
        <f>K_BVT!AS4/BVT!AR4</f>
        <v/>
      </c>
      <c r="T48">
        <f>K_BVT!AT4/BVT!AS4</f>
        <v/>
      </c>
      <c r="U48">
        <f>K_BVT!AU4/BVT!AT4</f>
        <v/>
      </c>
      <c r="V48">
        <f>K_BVT!AV4/BVT!AU4</f>
        <v/>
      </c>
      <c r="W48">
        <f>K_BVT!AW4/BVT!AV4</f>
        <v/>
      </c>
      <c r="X48">
        <f>K_BVT!AX4/BVT!AW4</f>
        <v/>
      </c>
      <c r="Y48">
        <f>K_BVT!AY4/BVT!AX4</f>
        <v/>
      </c>
      <c r="Z48">
        <f>K_BVT!AZ4/BVT!AY4</f>
        <v/>
      </c>
      <c r="AA48">
        <f>K_BVT!BA4/BVT!AZ4</f>
        <v/>
      </c>
      <c r="AB48">
        <f>K_BVT!BB4/BVT!BA4</f>
        <v/>
      </c>
      <c r="AC48">
        <f>K_BVT!BC4/BVT!BB4</f>
        <v/>
      </c>
      <c r="AD48">
        <f>K_BVT!BD4/BVT!BC4</f>
        <v/>
      </c>
      <c r="AE48">
        <f>K_BVT!BE4/BVT!BD4</f>
        <v/>
      </c>
      <c r="AF48">
        <f>K_BVT!BF4/BVT!BE4</f>
        <v/>
      </c>
    </row>
    <row r="49">
      <c r="B49" s="4" t="inlineStr">
        <is>
          <t>Ny Anden fødevareindustri</t>
        </is>
      </c>
    </row>
    <row r="50">
      <c r="B50" s="4" t="inlineStr">
        <is>
          <t>Resten af økonomien</t>
        </is>
      </c>
    </row>
    <row r="52">
      <c r="B52" t="inlineStr">
        <is>
          <t>Jord-output-ratio (J/Y)</t>
        </is>
      </c>
      <c r="C52" s="4" t="n">
        <v>1993</v>
      </c>
      <c r="D52" s="4" t="n">
        <v>1994</v>
      </c>
      <c r="E52" s="4" t="n">
        <v>1995</v>
      </c>
      <c r="F52" s="4" t="n">
        <v>1996</v>
      </c>
      <c r="G52" s="4" t="n">
        <v>1997</v>
      </c>
      <c r="H52" s="4" t="n">
        <v>1998</v>
      </c>
      <c r="I52" s="4" t="n">
        <v>1999</v>
      </c>
      <c r="J52" s="4" t="n">
        <v>2000</v>
      </c>
      <c r="K52" s="4" t="n">
        <v>2001</v>
      </c>
      <c r="L52" s="4" t="n">
        <v>2002</v>
      </c>
      <c r="M52" s="4" t="n">
        <v>2003</v>
      </c>
      <c r="N52" s="4" t="n">
        <v>2004</v>
      </c>
      <c r="O52" s="4" t="n">
        <v>2005</v>
      </c>
      <c r="P52" s="4" t="n">
        <v>2006</v>
      </c>
      <c r="Q52" s="4" t="n">
        <v>2007</v>
      </c>
      <c r="R52" s="4" t="n">
        <v>2008</v>
      </c>
      <c r="S52" s="4" t="n">
        <v>2009</v>
      </c>
      <c r="T52" s="4" t="n">
        <v>2010</v>
      </c>
      <c r="U52" s="4" t="n">
        <v>2011</v>
      </c>
      <c r="V52" s="4" t="n">
        <v>2012</v>
      </c>
      <c r="W52" s="4" t="n">
        <v>2013</v>
      </c>
      <c r="X52" s="4" t="n">
        <v>2014</v>
      </c>
      <c r="Y52" s="4" t="n">
        <v>2015</v>
      </c>
      <c r="Z52" s="4" t="n">
        <v>2016</v>
      </c>
      <c r="AA52" s="4" t="n">
        <v>2017</v>
      </c>
      <c r="AB52" s="4" t="n">
        <v>2018</v>
      </c>
      <c r="AC52" s="4" t="n">
        <v>2019</v>
      </c>
      <c r="AD52" s="4" t="n">
        <v>2020</v>
      </c>
      <c r="AE52" s="4" t="n">
        <v>2021</v>
      </c>
      <c r="AF52" s="4" t="n">
        <v>2022</v>
      </c>
    </row>
    <row r="53">
      <c r="B53" s="5" t="inlineStr">
        <is>
          <t>Landbrug</t>
        </is>
      </c>
      <c r="C53">
        <f>J!M2/Y!AB2</f>
        <v/>
      </c>
      <c r="D53">
        <f>J!N2/Y!AC2</f>
        <v/>
      </c>
      <c r="E53">
        <f>J!O2/Y!AD2</f>
        <v/>
      </c>
      <c r="F53">
        <f>J!P2/Y!AE2</f>
        <v/>
      </c>
      <c r="G53">
        <f>J!Q2/Y!AF2</f>
        <v/>
      </c>
      <c r="H53">
        <f>J!R2/Y!AG2</f>
        <v/>
      </c>
      <c r="I53">
        <f>J!S2/Y!AH2</f>
        <v/>
      </c>
      <c r="J53">
        <f>J!T2/Y!AI2</f>
        <v/>
      </c>
      <c r="K53">
        <f>J!U2/Y!AJ2</f>
        <v/>
      </c>
      <c r="L53">
        <f>J!V2/Y!AK2</f>
        <v/>
      </c>
      <c r="M53">
        <f>J!W2/Y!AL2</f>
        <v/>
      </c>
      <c r="N53">
        <f>J!X2/Y!AM2</f>
        <v/>
      </c>
      <c r="O53">
        <f>J!Y2/Y!AN2</f>
        <v/>
      </c>
      <c r="P53">
        <f>J!Z2/Y!AO2</f>
        <v/>
      </c>
      <c r="Q53">
        <f>J!AA2/Y!AP2</f>
        <v/>
      </c>
      <c r="R53">
        <f>J!AB2/Y!AQ2</f>
        <v/>
      </c>
      <c r="S53">
        <f>J!AC2/Y!AR2</f>
        <v/>
      </c>
      <c r="T53">
        <f>J!AD2/Y!AS2</f>
        <v/>
      </c>
      <c r="U53">
        <f>J!AE2/Y!AT2</f>
        <v/>
      </c>
      <c r="V53">
        <f>J!AF2/Y!AU2</f>
        <v/>
      </c>
      <c r="W53">
        <f>J!AG2/Y!AV2</f>
        <v/>
      </c>
      <c r="X53">
        <f>J!AH2/Y!AW2</f>
        <v/>
      </c>
      <c r="Y53">
        <f>J!AI2/Y!AX2</f>
        <v/>
      </c>
      <c r="Z53">
        <f>J!AJ2/Y!AY2</f>
        <v/>
      </c>
      <c r="AA53">
        <f>J!AK2/Y!AZ2</f>
        <v/>
      </c>
      <c r="AB53">
        <f>J!AL2/Y!BA2</f>
        <v/>
      </c>
      <c r="AC53">
        <f>J!AM2/Y!BB2</f>
        <v/>
      </c>
      <c r="AD53">
        <f>J!AN2/Y!BC2</f>
        <v/>
      </c>
      <c r="AE53">
        <f>J!AO2/Y!BD2</f>
        <v/>
      </c>
      <c r="AF53">
        <f>J!AP2/Y!BE2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9"/>
  <sheetViews>
    <sheetView topLeftCell="A118" zoomScale="90" zoomScaleNormal="90" workbookViewId="0">
      <selection activeCell="B149" sqref="B149"/>
    </sheetView>
  </sheetViews>
  <sheetFormatPr baseColWidth="8" defaultRowHeight="14.25"/>
  <cols>
    <col width="11.625" bestFit="1" customWidth="1" style="6" min="2" max="2"/>
  </cols>
  <sheetData>
    <row r="1">
      <c r="A1">
        <f>theta_KL_L!A1</f>
        <v/>
      </c>
      <c r="B1">
        <f>theta_KL_L!AD1</f>
        <v/>
      </c>
      <c r="C1">
        <f>theta_KL_L!AE1</f>
        <v/>
      </c>
      <c r="D1">
        <f>theta_KL_L!AF1</f>
        <v/>
      </c>
      <c r="E1">
        <f>theta_KL_L!AG1</f>
        <v/>
      </c>
      <c r="F1">
        <f>theta_KL_L!AH1</f>
        <v/>
      </c>
      <c r="G1">
        <f>theta_KL_L!AI1</f>
        <v/>
      </c>
      <c r="H1">
        <f>theta_KL_L!AJ1</f>
        <v/>
      </c>
      <c r="I1">
        <f>theta_KL_L!AK1</f>
        <v/>
      </c>
      <c r="J1">
        <f>theta_KL_L!AL1</f>
        <v/>
      </c>
      <c r="K1">
        <f>theta_KL_L!AM1</f>
        <v/>
      </c>
      <c r="L1">
        <f>theta_KL_L!AN1</f>
        <v/>
      </c>
      <c r="M1">
        <f>theta_KL_L!AO1</f>
        <v/>
      </c>
      <c r="N1">
        <f>theta_KL_L!AP1</f>
        <v/>
      </c>
      <c r="O1">
        <f>theta_KL_L!AQ1</f>
        <v/>
      </c>
      <c r="P1">
        <f>theta_KL_L!AR1</f>
        <v/>
      </c>
      <c r="Q1">
        <f>theta_KL_L!AS1</f>
        <v/>
      </c>
      <c r="R1">
        <f>theta_KL_L!AT1</f>
        <v/>
      </c>
      <c r="S1">
        <f>theta_KL_L!AU1</f>
        <v/>
      </c>
      <c r="T1">
        <f>theta_KL_L!AV1</f>
        <v/>
      </c>
      <c r="U1">
        <f>theta_KL_L!AW1</f>
        <v/>
      </c>
      <c r="V1">
        <f>theta_KL_L!AX1</f>
        <v/>
      </c>
      <c r="W1">
        <f>theta_KL_L!AY1</f>
        <v/>
      </c>
      <c r="X1">
        <f>theta_KL_L!AZ1</f>
        <v/>
      </c>
      <c r="Y1">
        <f>theta_KL_L!BA1</f>
        <v/>
      </c>
      <c r="Z1">
        <f>theta_KL_L!BB1</f>
        <v/>
      </c>
      <c r="AA1">
        <f>theta_KL_L!BC1</f>
        <v/>
      </c>
      <c r="AB1">
        <f>theta_KL_L!BD1</f>
        <v/>
      </c>
      <c r="AC1">
        <f>theta_KL_L!BE1</f>
        <v/>
      </c>
      <c r="AD1">
        <f>theta_KL_L!BF1</f>
        <v/>
      </c>
    </row>
    <row r="2">
      <c r="A2">
        <f>theta_KL_L!A2</f>
        <v/>
      </c>
      <c r="B2">
        <f>theta_KL_L!AD2</f>
        <v/>
      </c>
      <c r="C2">
        <f>theta_KL_L!AE2</f>
        <v/>
      </c>
      <c r="D2">
        <f>theta_KL_L!AF2</f>
        <v/>
      </c>
      <c r="E2">
        <f>theta_KL_L!AG2</f>
        <v/>
      </c>
      <c r="F2">
        <f>theta_KL_L!AH2</f>
        <v/>
      </c>
      <c r="G2">
        <f>theta_KL_L!AI2</f>
        <v/>
      </c>
      <c r="H2">
        <f>theta_KL_L!AJ2</f>
        <v/>
      </c>
      <c r="I2">
        <f>theta_KL_L!AK2</f>
        <v/>
      </c>
      <c r="J2">
        <f>theta_KL_L!AL2</f>
        <v/>
      </c>
      <c r="K2">
        <f>theta_KL_L!AM2</f>
        <v/>
      </c>
      <c r="L2">
        <f>theta_KL_L!AN2</f>
        <v/>
      </c>
      <c r="M2">
        <f>theta_KL_L!AO2</f>
        <v/>
      </c>
      <c r="N2">
        <f>theta_KL_L!AP2</f>
        <v/>
      </c>
      <c r="O2">
        <f>theta_KL_L!AQ2</f>
        <v/>
      </c>
      <c r="P2">
        <f>theta_KL_L!AR2</f>
        <v/>
      </c>
      <c r="Q2">
        <f>theta_KL_L!AS2</f>
        <v/>
      </c>
      <c r="R2">
        <f>theta_KL_L!AT2</f>
        <v/>
      </c>
      <c r="S2">
        <f>theta_KL_L!AU2</f>
        <v/>
      </c>
      <c r="T2">
        <f>theta_KL_L!AV2</f>
        <v/>
      </c>
      <c r="U2">
        <f>theta_KL_L!AW2</f>
        <v/>
      </c>
      <c r="V2">
        <f>theta_KL_L!AX2</f>
        <v/>
      </c>
      <c r="W2">
        <f>theta_KL_L!AY2</f>
        <v/>
      </c>
      <c r="X2">
        <f>theta_KL_L!AZ2</f>
        <v/>
      </c>
      <c r="Y2">
        <f>theta_KL_L!BA2</f>
        <v/>
      </c>
      <c r="Z2">
        <f>theta_KL_L!BB2</f>
        <v/>
      </c>
      <c r="AA2">
        <f>theta_KL_L!BC2</f>
        <v/>
      </c>
      <c r="AB2">
        <f>theta_KL_L!BD2</f>
        <v/>
      </c>
      <c r="AC2">
        <f>theta_KL_L!BE2</f>
        <v/>
      </c>
      <c r="AD2">
        <f>theta_KL_L!BF2</f>
        <v/>
      </c>
    </row>
    <row r="3">
      <c r="A3">
        <f>theta_KL_L!A3</f>
        <v/>
      </c>
      <c r="B3">
        <f>theta_KL_L!AD3</f>
        <v/>
      </c>
      <c r="C3">
        <f>theta_KL_L!AE3</f>
        <v/>
      </c>
      <c r="D3">
        <f>theta_KL_L!AF3</f>
        <v/>
      </c>
      <c r="E3">
        <f>theta_KL_L!AG3</f>
        <v/>
      </c>
      <c r="F3">
        <f>theta_KL_L!AH3</f>
        <v/>
      </c>
      <c r="G3">
        <f>theta_KL_L!AI3</f>
        <v/>
      </c>
      <c r="H3">
        <f>theta_KL_L!AJ3</f>
        <v/>
      </c>
      <c r="I3">
        <f>theta_KL_L!AK3</f>
        <v/>
      </c>
      <c r="J3">
        <f>theta_KL_L!AL3</f>
        <v/>
      </c>
      <c r="K3">
        <f>theta_KL_L!AM3</f>
        <v/>
      </c>
      <c r="L3">
        <f>theta_KL_L!AN3</f>
        <v/>
      </c>
      <c r="M3">
        <f>theta_KL_L!AO3</f>
        <v/>
      </c>
      <c r="N3">
        <f>theta_KL_L!AP3</f>
        <v/>
      </c>
      <c r="O3">
        <f>theta_KL_L!AQ3</f>
        <v/>
      </c>
      <c r="P3">
        <f>theta_KL_L!AR3</f>
        <v/>
      </c>
      <c r="Q3">
        <f>theta_KL_L!AS3</f>
        <v/>
      </c>
      <c r="R3">
        <f>theta_KL_L!AT3</f>
        <v/>
      </c>
      <c r="S3">
        <f>theta_KL_L!AU3</f>
        <v/>
      </c>
      <c r="T3">
        <f>theta_KL_L!AV3</f>
        <v/>
      </c>
      <c r="U3">
        <f>theta_KL_L!AW3</f>
        <v/>
      </c>
      <c r="V3">
        <f>theta_KL_L!AX3</f>
        <v/>
      </c>
      <c r="W3">
        <f>theta_KL_L!AY3</f>
        <v/>
      </c>
      <c r="X3">
        <f>theta_KL_L!AZ3</f>
        <v/>
      </c>
      <c r="Y3">
        <f>theta_KL_L!BA3</f>
        <v/>
      </c>
      <c r="Z3">
        <f>theta_KL_L!BB3</f>
        <v/>
      </c>
      <c r="AA3">
        <f>theta_KL_L!BC3</f>
        <v/>
      </c>
      <c r="AB3">
        <f>theta_KL_L!BD3</f>
        <v/>
      </c>
      <c r="AC3">
        <f>theta_KL_L!BE3</f>
        <v/>
      </c>
      <c r="AD3">
        <f>theta_KL_L!BF3</f>
        <v/>
      </c>
    </row>
    <row r="4">
      <c r="A4">
        <f>theta_KL_L!A4</f>
        <v/>
      </c>
      <c r="B4">
        <f>theta_KL_L!AD4</f>
        <v/>
      </c>
      <c r="C4">
        <f>theta_KL_L!AE4</f>
        <v/>
      </c>
      <c r="D4">
        <f>theta_KL_L!AF4</f>
        <v/>
      </c>
      <c r="E4">
        <f>theta_KL_L!AG4</f>
        <v/>
      </c>
      <c r="F4">
        <f>theta_KL_L!AH4</f>
        <v/>
      </c>
      <c r="G4">
        <f>theta_KL_L!AI4</f>
        <v/>
      </c>
      <c r="H4">
        <f>theta_KL_L!AJ4</f>
        <v/>
      </c>
      <c r="I4">
        <f>theta_KL_L!AK4</f>
        <v/>
      </c>
      <c r="J4">
        <f>theta_KL_L!AL4</f>
        <v/>
      </c>
      <c r="K4">
        <f>theta_KL_L!AM4</f>
        <v/>
      </c>
      <c r="L4">
        <f>theta_KL_L!AN4</f>
        <v/>
      </c>
      <c r="M4">
        <f>theta_KL_L!AO4</f>
        <v/>
      </c>
      <c r="N4">
        <f>theta_KL_L!AP4</f>
        <v/>
      </c>
      <c r="O4">
        <f>theta_KL_L!AQ4</f>
        <v/>
      </c>
      <c r="P4">
        <f>theta_KL_L!AR4</f>
        <v/>
      </c>
      <c r="Q4">
        <f>theta_KL_L!AS4</f>
        <v/>
      </c>
      <c r="R4">
        <f>theta_KL_L!AT4</f>
        <v/>
      </c>
      <c r="S4">
        <f>theta_KL_L!AU4</f>
        <v/>
      </c>
      <c r="T4">
        <f>theta_KL_L!AV4</f>
        <v/>
      </c>
      <c r="U4">
        <f>theta_KL_L!AW4</f>
        <v/>
      </c>
      <c r="V4">
        <f>theta_KL_L!AX4</f>
        <v/>
      </c>
      <c r="W4">
        <f>theta_KL_L!AY4</f>
        <v/>
      </c>
      <c r="X4">
        <f>theta_KL_L!AZ4</f>
        <v/>
      </c>
      <c r="Y4">
        <f>theta_KL_L!BA4</f>
        <v/>
      </c>
      <c r="Z4">
        <f>theta_KL_L!BB4</f>
        <v/>
      </c>
      <c r="AA4">
        <f>theta_KL_L!BC4</f>
        <v/>
      </c>
      <c r="AB4">
        <f>theta_KL_L!BD4</f>
        <v/>
      </c>
      <c r="AC4">
        <f>theta_KL_L!BE4</f>
        <v/>
      </c>
      <c r="AD4">
        <f>theta_KL_L!BF4</f>
        <v/>
      </c>
    </row>
    <row r="5">
      <c r="A5">
        <f>theta_KL_L!A5</f>
        <v/>
      </c>
      <c r="B5">
        <f>theta_KL_L!AD5</f>
        <v/>
      </c>
      <c r="C5">
        <f>theta_KL_L!AE5</f>
        <v/>
      </c>
      <c r="D5">
        <f>theta_KL_L!AF5</f>
        <v/>
      </c>
      <c r="E5">
        <f>theta_KL_L!AG5</f>
        <v/>
      </c>
      <c r="F5">
        <f>theta_KL_L!AH5</f>
        <v/>
      </c>
      <c r="G5">
        <f>theta_KL_L!AI5</f>
        <v/>
      </c>
      <c r="H5">
        <f>theta_KL_L!AJ5</f>
        <v/>
      </c>
      <c r="I5">
        <f>theta_KL_L!AK5</f>
        <v/>
      </c>
      <c r="J5">
        <f>theta_KL_L!AL5</f>
        <v/>
      </c>
      <c r="K5">
        <f>theta_KL_L!AM5</f>
        <v/>
      </c>
      <c r="L5">
        <f>theta_KL_L!AN5</f>
        <v/>
      </c>
      <c r="M5">
        <f>theta_KL_L!AO5</f>
        <v/>
      </c>
      <c r="N5">
        <f>theta_KL_L!AP5</f>
        <v/>
      </c>
      <c r="O5">
        <f>theta_KL_L!AQ5</f>
        <v/>
      </c>
      <c r="P5">
        <f>theta_KL_L!AR5</f>
        <v/>
      </c>
      <c r="Q5">
        <f>theta_KL_L!AS5</f>
        <v/>
      </c>
      <c r="R5">
        <f>theta_KL_L!AT5</f>
        <v/>
      </c>
      <c r="S5">
        <f>theta_KL_L!AU5</f>
        <v/>
      </c>
      <c r="T5">
        <f>theta_KL_L!AV5</f>
        <v/>
      </c>
      <c r="U5">
        <f>theta_KL_L!AW5</f>
        <v/>
      </c>
      <c r="V5">
        <f>theta_KL_L!AX5</f>
        <v/>
      </c>
      <c r="W5">
        <f>theta_KL_L!AY5</f>
        <v/>
      </c>
      <c r="X5">
        <f>theta_KL_L!AZ5</f>
        <v/>
      </c>
      <c r="Y5">
        <f>theta_KL_L!BA5</f>
        <v/>
      </c>
      <c r="Z5">
        <f>theta_KL_L!BB5</f>
        <v/>
      </c>
      <c r="AA5">
        <f>theta_KL_L!BC5</f>
        <v/>
      </c>
      <c r="AB5">
        <f>theta_KL_L!BD5</f>
        <v/>
      </c>
      <c r="AC5">
        <f>theta_KL_L!BE5</f>
        <v/>
      </c>
      <c r="AD5">
        <f>theta_KL_L!BF5</f>
        <v/>
      </c>
    </row>
    <row r="6">
      <c r="A6">
        <f>theta_KL_L!A6</f>
        <v/>
      </c>
      <c r="B6">
        <f>theta_KL_L!AD6</f>
        <v/>
      </c>
      <c r="C6">
        <f>theta_KL_L!AE6</f>
        <v/>
      </c>
      <c r="D6">
        <f>theta_KL_L!AF6</f>
        <v/>
      </c>
      <c r="E6">
        <f>theta_KL_L!AG6</f>
        <v/>
      </c>
      <c r="F6">
        <f>theta_KL_L!AH6</f>
        <v/>
      </c>
      <c r="G6">
        <f>theta_KL_L!AI6</f>
        <v/>
      </c>
      <c r="H6">
        <f>theta_KL_L!AJ6</f>
        <v/>
      </c>
      <c r="I6">
        <f>theta_KL_L!AK6</f>
        <v/>
      </c>
      <c r="J6">
        <f>theta_KL_L!AL6</f>
        <v/>
      </c>
      <c r="K6">
        <f>theta_KL_L!AM6</f>
        <v/>
      </c>
      <c r="L6">
        <f>theta_KL_L!AN6</f>
        <v/>
      </c>
      <c r="M6">
        <f>theta_KL_L!AO6</f>
        <v/>
      </c>
      <c r="N6">
        <f>theta_KL_L!AP6</f>
        <v/>
      </c>
      <c r="O6">
        <f>theta_KL_L!AQ6</f>
        <v/>
      </c>
      <c r="P6">
        <f>theta_KL_L!AR6</f>
        <v/>
      </c>
      <c r="Q6">
        <f>theta_KL_L!AS6</f>
        <v/>
      </c>
      <c r="R6">
        <f>theta_KL_L!AT6</f>
        <v/>
      </c>
      <c r="S6">
        <f>theta_KL_L!AU6</f>
        <v/>
      </c>
      <c r="T6">
        <f>theta_KL_L!AV6</f>
        <v/>
      </c>
      <c r="U6">
        <f>theta_KL_L!AW6</f>
        <v/>
      </c>
      <c r="V6">
        <f>theta_KL_L!AX6</f>
        <v/>
      </c>
      <c r="W6">
        <f>theta_KL_L!AY6</f>
        <v/>
      </c>
      <c r="X6">
        <f>theta_KL_L!AZ6</f>
        <v/>
      </c>
      <c r="Y6">
        <f>theta_KL_L!BA6</f>
        <v/>
      </c>
      <c r="Z6">
        <f>theta_KL_L!BB6</f>
        <v/>
      </c>
      <c r="AA6">
        <f>theta_KL_L!BC6</f>
        <v/>
      </c>
      <c r="AB6">
        <f>theta_KL_L!BD6</f>
        <v/>
      </c>
      <c r="AC6">
        <f>theta_KL_L!BE6</f>
        <v/>
      </c>
      <c r="AD6">
        <f>theta_KL_L!BF6</f>
        <v/>
      </c>
    </row>
    <row r="8">
      <c r="A8" t="inlineStr">
        <is>
          <t>Indeks 1994=1</t>
        </is>
      </c>
      <c r="B8" t="n">
        <v>1994</v>
      </c>
      <c r="C8" t="n">
        <v>1995</v>
      </c>
      <c r="D8" t="n">
        <v>1996</v>
      </c>
      <c r="E8" t="n">
        <v>1997</v>
      </c>
      <c r="F8" t="n">
        <v>1998</v>
      </c>
      <c r="G8" t="n">
        <v>1999</v>
      </c>
      <c r="H8" t="n">
        <v>2000</v>
      </c>
      <c r="I8" t="n">
        <v>2001</v>
      </c>
      <c r="J8" t="n">
        <v>2002</v>
      </c>
      <c r="K8" t="n">
        <v>2003</v>
      </c>
      <c r="L8" t="n">
        <v>2004</v>
      </c>
      <c r="M8" t="n">
        <v>2005</v>
      </c>
      <c r="N8" t="n">
        <v>2006</v>
      </c>
      <c r="O8" t="n">
        <v>2007</v>
      </c>
      <c r="P8" t="n">
        <v>2008</v>
      </c>
      <c r="Q8" t="n">
        <v>2009</v>
      </c>
      <c r="R8" t="n">
        <v>2010</v>
      </c>
      <c r="S8" t="n">
        <v>2011</v>
      </c>
      <c r="T8" t="n">
        <v>2012</v>
      </c>
      <c r="U8" t="n">
        <v>2013</v>
      </c>
      <c r="V8" t="n">
        <v>2014</v>
      </c>
      <c r="W8" t="n">
        <v>2015</v>
      </c>
      <c r="X8" t="n">
        <v>2016</v>
      </c>
      <c r="Y8" t="n">
        <v>2017</v>
      </c>
      <c r="Z8" t="n">
        <v>2018</v>
      </c>
      <c r="AA8" t="n">
        <v>2019</v>
      </c>
      <c r="AB8" t="n">
        <v>2020</v>
      </c>
      <c r="AC8" t="n">
        <v>2021</v>
      </c>
      <c r="AD8" t="n">
        <v>2022</v>
      </c>
    </row>
    <row r="9">
      <c r="A9" t="inlineStr">
        <is>
          <t>Landbrug (010000)</t>
        </is>
      </c>
      <c r="B9">
        <f>B2/$B2</f>
        <v/>
      </c>
      <c r="C9">
        <f>C2/$B2</f>
        <v/>
      </c>
      <c r="D9">
        <f>D2/$B2</f>
        <v/>
      </c>
      <c r="E9">
        <f>E2/$B2</f>
        <v/>
      </c>
      <c r="F9">
        <f>F2/$B2</f>
        <v/>
      </c>
      <c r="G9">
        <f>G2/$B2</f>
        <v/>
      </c>
      <c r="H9">
        <f>H2/$B2</f>
        <v/>
      </c>
      <c r="I9">
        <f>I2/$B2</f>
        <v/>
      </c>
      <c r="J9">
        <f>J2/$B2</f>
        <v/>
      </c>
      <c r="K9">
        <f>K2/$B2</f>
        <v/>
      </c>
      <c r="L9">
        <f>L2/$B2</f>
        <v/>
      </c>
      <c r="M9">
        <f>M2/$B2</f>
        <v/>
      </c>
      <c r="N9">
        <f>N2/$B2</f>
        <v/>
      </c>
      <c r="O9">
        <f>O2/$B2</f>
        <v/>
      </c>
      <c r="P9">
        <f>P2/$B2</f>
        <v/>
      </c>
      <c r="Q9">
        <f>Q2/$B2</f>
        <v/>
      </c>
      <c r="R9">
        <f>R2/$B2</f>
        <v/>
      </c>
      <c r="S9">
        <f>S2/$B2</f>
        <v/>
      </c>
      <c r="T9">
        <f>T2/$B2</f>
        <v/>
      </c>
      <c r="U9">
        <f>U2/$B2</f>
        <v/>
      </c>
      <c r="V9">
        <f>V2/$B2</f>
        <v/>
      </c>
      <c r="W9">
        <f>W2/$B2</f>
        <v/>
      </c>
      <c r="X9">
        <f>X2/$B2</f>
        <v/>
      </c>
      <c r="Y9">
        <f>Y2/$B2</f>
        <v/>
      </c>
      <c r="Z9">
        <f>Z2/$B2</f>
        <v/>
      </c>
      <c r="AA9">
        <f>AA2/$B2</f>
        <v/>
      </c>
      <c r="AB9">
        <f>AB2/$B2</f>
        <v/>
      </c>
      <c r="AC9">
        <f>AC2/$B2</f>
        <v/>
      </c>
      <c r="AD9">
        <f>AD2/$B2</f>
        <v/>
      </c>
      <c r="AF9">
        <f>(AC9/B9)^(1/28)-1</f>
        <v/>
      </c>
    </row>
    <row r="10">
      <c r="A10" t="inlineStr">
        <is>
          <t>Slagterier (100010)</t>
        </is>
      </c>
      <c r="B10">
        <f>B3/$B3</f>
        <v/>
      </c>
      <c r="C10">
        <f>C3/$B3</f>
        <v/>
      </c>
      <c r="D10">
        <f>D3/$B3</f>
        <v/>
      </c>
      <c r="E10">
        <f>E3/$B3</f>
        <v/>
      </c>
      <c r="F10">
        <f>F3/$B3</f>
        <v/>
      </c>
      <c r="G10">
        <f>G3/$B3</f>
        <v/>
      </c>
      <c r="H10">
        <f>H3/$B3</f>
        <v/>
      </c>
      <c r="I10">
        <f>I3/$B3</f>
        <v/>
      </c>
      <c r="J10">
        <f>J3/$B3</f>
        <v/>
      </c>
      <c r="K10">
        <f>K3/$B3</f>
        <v/>
      </c>
      <c r="L10">
        <f>L3/$B3</f>
        <v/>
      </c>
      <c r="M10">
        <f>M3/$B3</f>
        <v/>
      </c>
      <c r="N10">
        <f>N3/$B3</f>
        <v/>
      </c>
      <c r="O10">
        <f>O3/$B3</f>
        <v/>
      </c>
      <c r="P10">
        <f>P3/$B3</f>
        <v/>
      </c>
      <c r="Q10">
        <f>Q3/$B3</f>
        <v/>
      </c>
      <c r="R10">
        <f>R3/$B3</f>
        <v/>
      </c>
      <c r="S10">
        <f>S3/$B3</f>
        <v/>
      </c>
      <c r="T10">
        <f>T3/$B3</f>
        <v/>
      </c>
      <c r="U10">
        <f>U3/$B3</f>
        <v/>
      </c>
      <c r="V10">
        <f>V3/$B3</f>
        <v/>
      </c>
      <c r="W10">
        <f>W3/$B3</f>
        <v/>
      </c>
      <c r="X10">
        <f>X3/$B3</f>
        <v/>
      </c>
      <c r="Y10">
        <f>Y3/$B3</f>
        <v/>
      </c>
      <c r="Z10">
        <f>Z3/$B3</f>
        <v/>
      </c>
      <c r="AA10">
        <f>AA3/$B3</f>
        <v/>
      </c>
      <c r="AB10">
        <f>AB3/$B3</f>
        <v/>
      </c>
      <c r="AC10">
        <f>AC3/$B3</f>
        <v/>
      </c>
      <c r="AD10">
        <f>AD3/$B3</f>
        <v/>
      </c>
      <c r="AF10">
        <f>(AC10/B10)^(1/28)-1</f>
        <v/>
      </c>
    </row>
    <row r="11">
      <c r="A11" t="inlineStr">
        <is>
          <t>Mejerier (100030)</t>
        </is>
      </c>
      <c r="B11">
        <f>B4/$B4</f>
        <v/>
      </c>
      <c r="C11">
        <f>C4/$B4</f>
        <v/>
      </c>
      <c r="D11">
        <f>D4/$B4</f>
        <v/>
      </c>
      <c r="E11">
        <f>E4/$B4</f>
        <v/>
      </c>
      <c r="F11">
        <f>F4/$B4</f>
        <v/>
      </c>
      <c r="G11">
        <f>G4/$B4</f>
        <v/>
      </c>
      <c r="H11">
        <f>H4/$B4</f>
        <v/>
      </c>
      <c r="I11">
        <f>I4/$B4</f>
        <v/>
      </c>
      <c r="J11">
        <f>J4/$B4</f>
        <v/>
      </c>
      <c r="K11">
        <f>K4/$B4</f>
        <v/>
      </c>
      <c r="L11">
        <f>L4/$B4</f>
        <v/>
      </c>
      <c r="M11">
        <f>M4/$B4</f>
        <v/>
      </c>
      <c r="N11">
        <f>N4/$B4</f>
        <v/>
      </c>
      <c r="O11">
        <f>O4/$B4</f>
        <v/>
      </c>
      <c r="P11">
        <f>P4/$B4</f>
        <v/>
      </c>
      <c r="Q11">
        <f>Q4/$B4</f>
        <v/>
      </c>
      <c r="R11">
        <f>R4/$B4</f>
        <v/>
      </c>
      <c r="S11">
        <f>S4/$B4</f>
        <v/>
      </c>
      <c r="T11">
        <f>T4/$B4</f>
        <v/>
      </c>
      <c r="U11">
        <f>U4/$B4</f>
        <v/>
      </c>
      <c r="V11">
        <f>V4/$B4</f>
        <v/>
      </c>
      <c r="W11">
        <f>W4/$B4</f>
        <v/>
      </c>
      <c r="X11">
        <f>X4/$B4</f>
        <v/>
      </c>
      <c r="Y11">
        <f>Y4/$B4</f>
        <v/>
      </c>
      <c r="Z11">
        <f>Z4/$B4</f>
        <v/>
      </c>
      <c r="AA11">
        <f>AA4/$B4</f>
        <v/>
      </c>
      <c r="AB11">
        <f>AB4/$B4</f>
        <v/>
      </c>
      <c r="AC11">
        <f>AC4/$B4</f>
        <v/>
      </c>
      <c r="AD11">
        <f>AD4/$B4</f>
        <v/>
      </c>
      <c r="AF11">
        <f>(AC11/B11)^(1/28)-1</f>
        <v/>
      </c>
    </row>
    <row r="12">
      <c r="A12" t="inlineStr">
        <is>
          <t>Anden fødevareindustri (100040x100050)</t>
        </is>
      </c>
      <c r="B12">
        <f>B5/$B5</f>
        <v/>
      </c>
      <c r="C12">
        <f>C5/$B5</f>
        <v/>
      </c>
      <c r="D12">
        <f>D5/$B5</f>
        <v/>
      </c>
      <c r="E12">
        <f>E5/$B5</f>
        <v/>
      </c>
      <c r="F12">
        <f>F5/$B5</f>
        <v/>
      </c>
      <c r="G12">
        <f>G5/$B5</f>
        <v/>
      </c>
      <c r="H12">
        <f>H5/$B5</f>
        <v/>
      </c>
      <c r="I12">
        <f>I5/$B5</f>
        <v/>
      </c>
      <c r="J12">
        <f>J5/$B5</f>
        <v/>
      </c>
      <c r="K12">
        <f>K5/$B5</f>
        <v/>
      </c>
      <c r="L12">
        <f>L5/$B5</f>
        <v/>
      </c>
      <c r="M12">
        <f>M5/$B5</f>
        <v/>
      </c>
      <c r="N12">
        <f>N5/$B5</f>
        <v/>
      </c>
      <c r="O12">
        <f>O5/$B5</f>
        <v/>
      </c>
      <c r="P12">
        <f>P5/$B5</f>
        <v/>
      </c>
      <c r="Q12">
        <f>Q5/$B5</f>
        <v/>
      </c>
      <c r="R12">
        <f>R5/$B5</f>
        <v/>
      </c>
      <c r="S12">
        <f>S5/$B5</f>
        <v/>
      </c>
      <c r="T12">
        <f>T5/$B5</f>
        <v/>
      </c>
      <c r="U12">
        <f>U5/$B5</f>
        <v/>
      </c>
      <c r="V12">
        <f>V5/$B5</f>
        <v/>
      </c>
      <c r="W12">
        <f>W5/$B5</f>
        <v/>
      </c>
      <c r="X12">
        <f>X5/$B5</f>
        <v/>
      </c>
      <c r="Y12">
        <f>Y5/$B5</f>
        <v/>
      </c>
      <c r="Z12">
        <f>Z5/$B5</f>
        <v/>
      </c>
      <c r="AA12">
        <f>AA5/$B5</f>
        <v/>
      </c>
      <c r="AB12">
        <f>AB5/$B5</f>
        <v/>
      </c>
      <c r="AC12">
        <f>AC5/$B5</f>
        <v/>
      </c>
      <c r="AD12">
        <f>AD5/$B5</f>
        <v/>
      </c>
      <c r="AF12">
        <f>(AC12/B12)^(1/28)-1</f>
        <v/>
      </c>
    </row>
    <row r="13">
      <c r="A13" t="inlineStr">
        <is>
          <t>REST</t>
        </is>
      </c>
      <c r="B13">
        <f>B6/$B6</f>
        <v/>
      </c>
      <c r="C13">
        <f>C6/$B6</f>
        <v/>
      </c>
      <c r="D13">
        <f>D6/$B6</f>
        <v/>
      </c>
      <c r="E13">
        <f>E6/$B6</f>
        <v/>
      </c>
      <c r="F13">
        <f>F6/$B6</f>
        <v/>
      </c>
      <c r="G13">
        <f>G6/$B6</f>
        <v/>
      </c>
      <c r="H13">
        <f>H6/$B6</f>
        <v/>
      </c>
      <c r="I13">
        <f>I6/$B6</f>
        <v/>
      </c>
      <c r="J13">
        <f>J6/$B6</f>
        <v/>
      </c>
      <c r="K13">
        <f>K6/$B6</f>
        <v/>
      </c>
      <c r="L13">
        <f>L6/$B6</f>
        <v/>
      </c>
      <c r="M13">
        <f>M6/$B6</f>
        <v/>
      </c>
      <c r="N13">
        <f>N6/$B6</f>
        <v/>
      </c>
      <c r="O13">
        <f>O6/$B6</f>
        <v/>
      </c>
      <c r="P13">
        <f>P6/$B6</f>
        <v/>
      </c>
      <c r="Q13">
        <f>Q6/$B6</f>
        <v/>
      </c>
      <c r="R13">
        <f>R6/$B6</f>
        <v/>
      </c>
      <c r="S13">
        <f>S6/$B6</f>
        <v/>
      </c>
      <c r="T13">
        <f>T6/$B6</f>
        <v/>
      </c>
      <c r="U13">
        <f>U6/$B6</f>
        <v/>
      </c>
      <c r="V13">
        <f>V6/$B6</f>
        <v/>
      </c>
      <c r="W13">
        <f>W6/$B6</f>
        <v/>
      </c>
      <c r="X13">
        <f>X6/$B6</f>
        <v/>
      </c>
      <c r="Y13">
        <f>Y6/$B6</f>
        <v/>
      </c>
      <c r="Z13">
        <f>Z6/$B6</f>
        <v/>
      </c>
      <c r="AA13">
        <f>AA6/$B6</f>
        <v/>
      </c>
      <c r="AB13">
        <f>AB6/$B6</f>
        <v/>
      </c>
      <c r="AC13">
        <f>AC6/$B6</f>
        <v/>
      </c>
      <c r="AD13">
        <f>AD6/$B6</f>
        <v/>
      </c>
      <c r="AF13">
        <f>(AC13/B13)^(1/28)-1</f>
        <v/>
      </c>
    </row>
    <row r="15">
      <c r="A15">
        <f>theta_KL_K!A1</f>
        <v/>
      </c>
      <c r="B15">
        <f>theta_KL_K!AD1</f>
        <v/>
      </c>
      <c r="C15">
        <f>theta_KL_K!AE1</f>
        <v/>
      </c>
      <c r="D15">
        <f>theta_KL_K!AF1</f>
        <v/>
      </c>
      <c r="E15">
        <f>theta_KL_K!AG1</f>
        <v/>
      </c>
      <c r="F15">
        <f>theta_KL_K!AH1</f>
        <v/>
      </c>
      <c r="G15">
        <f>theta_KL_K!AI1</f>
        <v/>
      </c>
      <c r="H15">
        <f>theta_KL_K!AJ1</f>
        <v/>
      </c>
      <c r="I15">
        <f>theta_KL_K!AK1</f>
        <v/>
      </c>
      <c r="J15">
        <f>theta_KL_K!AL1</f>
        <v/>
      </c>
      <c r="K15">
        <f>theta_KL_K!AM1</f>
        <v/>
      </c>
      <c r="L15">
        <f>theta_KL_K!AN1</f>
        <v/>
      </c>
      <c r="M15">
        <f>theta_KL_K!AO1</f>
        <v/>
      </c>
      <c r="N15">
        <f>theta_KL_K!AP1</f>
        <v/>
      </c>
      <c r="O15">
        <f>theta_KL_K!AQ1</f>
        <v/>
      </c>
      <c r="P15">
        <f>theta_KL_K!AR1</f>
        <v/>
      </c>
      <c r="Q15">
        <f>theta_KL_K!AS1</f>
        <v/>
      </c>
      <c r="R15">
        <f>theta_KL_K!AT1</f>
        <v/>
      </c>
      <c r="S15">
        <f>theta_KL_K!AU1</f>
        <v/>
      </c>
      <c r="T15">
        <f>theta_KL_K!AV1</f>
        <v/>
      </c>
      <c r="U15">
        <f>theta_KL_K!AW1</f>
        <v/>
      </c>
      <c r="V15">
        <f>theta_KL_K!AX1</f>
        <v/>
      </c>
      <c r="W15">
        <f>theta_KL_K!AY1</f>
        <v/>
      </c>
      <c r="X15">
        <f>theta_KL_K!AZ1</f>
        <v/>
      </c>
      <c r="Y15">
        <f>theta_KL_K!BA1</f>
        <v/>
      </c>
      <c r="Z15">
        <f>theta_KL_K!BB1</f>
        <v/>
      </c>
      <c r="AA15">
        <f>theta_KL_K!BC1</f>
        <v/>
      </c>
      <c r="AB15">
        <f>theta_KL_K!BD1</f>
        <v/>
      </c>
      <c r="AC15">
        <f>theta_KL_K!BE1</f>
        <v/>
      </c>
      <c r="AD15">
        <f>theta_KL_K!BF1</f>
        <v/>
      </c>
    </row>
    <row r="16">
      <c r="A16">
        <f>theta_KL_K!A2</f>
        <v/>
      </c>
      <c r="B16">
        <f>theta_KL_K!AD2</f>
        <v/>
      </c>
      <c r="C16">
        <f>theta_KL_K!AE2</f>
        <v/>
      </c>
      <c r="D16">
        <f>theta_KL_K!AF2</f>
        <v/>
      </c>
      <c r="E16">
        <f>theta_KL_K!AG2</f>
        <v/>
      </c>
      <c r="F16">
        <f>theta_KL_K!AH2</f>
        <v/>
      </c>
      <c r="G16">
        <f>theta_KL_K!AI2</f>
        <v/>
      </c>
      <c r="H16">
        <f>theta_KL_K!AJ2</f>
        <v/>
      </c>
      <c r="I16">
        <f>theta_KL_K!AK2</f>
        <v/>
      </c>
      <c r="J16">
        <f>theta_KL_K!AL2</f>
        <v/>
      </c>
      <c r="K16">
        <f>theta_KL_K!AM2</f>
        <v/>
      </c>
      <c r="L16">
        <f>theta_KL_K!AN2</f>
        <v/>
      </c>
      <c r="M16">
        <f>theta_KL_K!AO2</f>
        <v/>
      </c>
      <c r="N16">
        <f>theta_KL_K!AP2</f>
        <v/>
      </c>
      <c r="O16">
        <f>theta_KL_K!AQ2</f>
        <v/>
      </c>
      <c r="P16">
        <f>theta_KL_K!AR2</f>
        <v/>
      </c>
      <c r="Q16">
        <f>theta_KL_K!AS2</f>
        <v/>
      </c>
      <c r="R16">
        <f>theta_KL_K!AT2</f>
        <v/>
      </c>
      <c r="S16">
        <f>theta_KL_K!AU2</f>
        <v/>
      </c>
      <c r="T16">
        <f>theta_KL_K!AV2</f>
        <v/>
      </c>
      <c r="U16">
        <f>theta_KL_K!AW2</f>
        <v/>
      </c>
      <c r="V16">
        <f>theta_KL_K!AX2</f>
        <v/>
      </c>
      <c r="W16">
        <f>theta_KL_K!AY2</f>
        <v/>
      </c>
      <c r="X16">
        <f>theta_KL_K!AZ2</f>
        <v/>
      </c>
      <c r="Y16">
        <f>theta_KL_K!BA2</f>
        <v/>
      </c>
      <c r="Z16">
        <f>theta_KL_K!BB2</f>
        <v/>
      </c>
      <c r="AA16">
        <f>theta_KL_K!BC2</f>
        <v/>
      </c>
      <c r="AB16">
        <f>theta_KL_K!BD2</f>
        <v/>
      </c>
      <c r="AC16">
        <f>theta_KL_K!BE2</f>
        <v/>
      </c>
      <c r="AD16">
        <f>theta_KL_K!BF2</f>
        <v/>
      </c>
    </row>
    <row r="17">
      <c r="A17">
        <f>theta_KL_K!A3</f>
        <v/>
      </c>
      <c r="B17">
        <f>theta_KL_K!AD3</f>
        <v/>
      </c>
      <c r="C17">
        <f>theta_KL_K!AE3</f>
        <v/>
      </c>
      <c r="D17">
        <f>theta_KL_K!AF3</f>
        <v/>
      </c>
      <c r="E17">
        <f>theta_KL_K!AG3</f>
        <v/>
      </c>
      <c r="F17">
        <f>theta_KL_K!AH3</f>
        <v/>
      </c>
      <c r="G17">
        <f>theta_KL_K!AI3</f>
        <v/>
      </c>
      <c r="H17">
        <f>theta_KL_K!AJ3</f>
        <v/>
      </c>
      <c r="I17">
        <f>theta_KL_K!AK3</f>
        <v/>
      </c>
      <c r="J17">
        <f>theta_KL_K!AL3</f>
        <v/>
      </c>
      <c r="K17">
        <f>theta_KL_K!AM3</f>
        <v/>
      </c>
      <c r="L17">
        <f>theta_KL_K!AN3</f>
        <v/>
      </c>
      <c r="M17">
        <f>theta_KL_K!AO3</f>
        <v/>
      </c>
      <c r="N17">
        <f>theta_KL_K!AP3</f>
        <v/>
      </c>
      <c r="O17">
        <f>theta_KL_K!AQ3</f>
        <v/>
      </c>
      <c r="P17">
        <f>theta_KL_K!AR3</f>
        <v/>
      </c>
      <c r="Q17">
        <f>theta_KL_K!AS3</f>
        <v/>
      </c>
      <c r="R17">
        <f>theta_KL_K!AT3</f>
        <v/>
      </c>
      <c r="S17">
        <f>theta_KL_K!AU3</f>
        <v/>
      </c>
      <c r="T17">
        <f>theta_KL_K!AV3</f>
        <v/>
      </c>
      <c r="U17">
        <f>theta_KL_K!AW3</f>
        <v/>
      </c>
      <c r="V17">
        <f>theta_KL_K!AX3</f>
        <v/>
      </c>
      <c r="W17">
        <f>theta_KL_K!AY3</f>
        <v/>
      </c>
      <c r="X17">
        <f>theta_KL_K!AZ3</f>
        <v/>
      </c>
      <c r="Y17">
        <f>theta_KL_K!BA3</f>
        <v/>
      </c>
      <c r="Z17">
        <f>theta_KL_K!BB3</f>
        <v/>
      </c>
      <c r="AA17">
        <f>theta_KL_K!BC3</f>
        <v/>
      </c>
      <c r="AB17">
        <f>theta_KL_K!BD3</f>
        <v/>
      </c>
      <c r="AC17">
        <f>theta_KL_K!BE3</f>
        <v/>
      </c>
      <c r="AD17">
        <f>theta_KL_K!BF3</f>
        <v/>
      </c>
    </row>
    <row r="18">
      <c r="A18">
        <f>theta_KL_K!A4</f>
        <v/>
      </c>
      <c r="B18">
        <f>theta_KL_K!AD4</f>
        <v/>
      </c>
      <c r="C18">
        <f>theta_KL_K!AE4</f>
        <v/>
      </c>
      <c r="D18">
        <f>theta_KL_K!AF4</f>
        <v/>
      </c>
      <c r="E18">
        <f>theta_KL_K!AG4</f>
        <v/>
      </c>
      <c r="F18">
        <f>theta_KL_K!AH4</f>
        <v/>
      </c>
      <c r="G18">
        <f>theta_KL_K!AI4</f>
        <v/>
      </c>
      <c r="H18">
        <f>theta_KL_K!AJ4</f>
        <v/>
      </c>
      <c r="I18">
        <f>theta_KL_K!AK4</f>
        <v/>
      </c>
      <c r="J18">
        <f>theta_KL_K!AL4</f>
        <v/>
      </c>
      <c r="K18">
        <f>theta_KL_K!AM4</f>
        <v/>
      </c>
      <c r="L18">
        <f>theta_KL_K!AN4</f>
        <v/>
      </c>
      <c r="M18">
        <f>theta_KL_K!AO4</f>
        <v/>
      </c>
      <c r="N18">
        <f>theta_KL_K!AP4</f>
        <v/>
      </c>
      <c r="O18">
        <f>theta_KL_K!AQ4</f>
        <v/>
      </c>
      <c r="P18">
        <f>theta_KL_K!AR4</f>
        <v/>
      </c>
      <c r="Q18">
        <f>theta_KL_K!AS4</f>
        <v/>
      </c>
      <c r="R18">
        <f>theta_KL_K!AT4</f>
        <v/>
      </c>
      <c r="S18">
        <f>theta_KL_K!AU4</f>
        <v/>
      </c>
      <c r="T18">
        <f>theta_KL_K!AV4</f>
        <v/>
      </c>
      <c r="U18">
        <f>theta_KL_K!AW4</f>
        <v/>
      </c>
      <c r="V18">
        <f>theta_KL_K!AX4</f>
        <v/>
      </c>
      <c r="W18">
        <f>theta_KL_K!AY4</f>
        <v/>
      </c>
      <c r="X18">
        <f>theta_KL_K!AZ4</f>
        <v/>
      </c>
      <c r="Y18">
        <f>theta_KL_K!BA4</f>
        <v/>
      </c>
      <c r="Z18">
        <f>theta_KL_K!BB4</f>
        <v/>
      </c>
      <c r="AA18">
        <f>theta_KL_K!BC4</f>
        <v/>
      </c>
      <c r="AB18">
        <f>theta_KL_K!BD4</f>
        <v/>
      </c>
      <c r="AC18">
        <f>theta_KL_K!BE4</f>
        <v/>
      </c>
      <c r="AD18">
        <f>theta_KL_K!BF4</f>
        <v/>
      </c>
    </row>
    <row r="19">
      <c r="A19">
        <f>theta_KL_K!A5</f>
        <v/>
      </c>
      <c r="B19">
        <f>theta_KL_K!AD5</f>
        <v/>
      </c>
      <c r="C19">
        <f>theta_KL_K!AE5</f>
        <v/>
      </c>
      <c r="D19">
        <f>theta_KL_K!AF5</f>
        <v/>
      </c>
      <c r="E19">
        <f>theta_KL_K!AG5</f>
        <v/>
      </c>
      <c r="F19">
        <f>theta_KL_K!AH5</f>
        <v/>
      </c>
      <c r="G19">
        <f>theta_KL_K!AI5</f>
        <v/>
      </c>
      <c r="H19">
        <f>theta_KL_K!AJ5</f>
        <v/>
      </c>
      <c r="I19">
        <f>theta_KL_K!AK5</f>
        <v/>
      </c>
      <c r="J19">
        <f>theta_KL_K!AL5</f>
        <v/>
      </c>
      <c r="K19">
        <f>theta_KL_K!AM5</f>
        <v/>
      </c>
      <c r="L19">
        <f>theta_KL_K!AN5</f>
        <v/>
      </c>
      <c r="M19">
        <f>theta_KL_K!AO5</f>
        <v/>
      </c>
      <c r="N19">
        <f>theta_KL_K!AP5</f>
        <v/>
      </c>
      <c r="O19">
        <f>theta_KL_K!AQ5</f>
        <v/>
      </c>
      <c r="P19">
        <f>theta_KL_K!AR5</f>
        <v/>
      </c>
      <c r="Q19">
        <f>theta_KL_K!AS5</f>
        <v/>
      </c>
      <c r="R19">
        <f>theta_KL_K!AT5</f>
        <v/>
      </c>
      <c r="S19">
        <f>theta_KL_K!AU5</f>
        <v/>
      </c>
      <c r="T19">
        <f>theta_KL_K!AV5</f>
        <v/>
      </c>
      <c r="U19">
        <f>theta_KL_K!AW5</f>
        <v/>
      </c>
      <c r="V19">
        <f>theta_KL_K!AX5</f>
        <v/>
      </c>
      <c r="W19">
        <f>theta_KL_K!AY5</f>
        <v/>
      </c>
      <c r="X19">
        <f>theta_KL_K!AZ5</f>
        <v/>
      </c>
      <c r="Y19">
        <f>theta_KL_K!BA5</f>
        <v/>
      </c>
      <c r="Z19">
        <f>theta_KL_K!BB5</f>
        <v/>
      </c>
      <c r="AA19">
        <f>theta_KL_K!BC5</f>
        <v/>
      </c>
      <c r="AB19">
        <f>theta_KL_K!BD5</f>
        <v/>
      </c>
      <c r="AC19">
        <f>theta_KL_K!BE5</f>
        <v/>
      </c>
      <c r="AD19">
        <f>theta_KL_K!BF5</f>
        <v/>
      </c>
    </row>
    <row r="20">
      <c r="A20">
        <f>theta_KL_K!A6</f>
        <v/>
      </c>
      <c r="B20">
        <f>theta_KL_K!AD6</f>
        <v/>
      </c>
      <c r="C20">
        <f>theta_KL_K!AE6</f>
        <v/>
      </c>
      <c r="D20">
        <f>theta_KL_K!AF6</f>
        <v/>
      </c>
      <c r="E20">
        <f>theta_KL_K!AG6</f>
        <v/>
      </c>
      <c r="F20">
        <f>theta_KL_K!AH6</f>
        <v/>
      </c>
      <c r="G20">
        <f>theta_KL_K!AI6</f>
        <v/>
      </c>
      <c r="H20">
        <f>theta_KL_K!AJ6</f>
        <v/>
      </c>
      <c r="I20">
        <f>theta_KL_K!AK6</f>
        <v/>
      </c>
      <c r="J20">
        <f>theta_KL_K!AL6</f>
        <v/>
      </c>
      <c r="K20">
        <f>theta_KL_K!AM6</f>
        <v/>
      </c>
      <c r="L20">
        <f>theta_KL_K!AN6</f>
        <v/>
      </c>
      <c r="M20">
        <f>theta_KL_K!AO6</f>
        <v/>
      </c>
      <c r="N20">
        <f>theta_KL_K!AP6</f>
        <v/>
      </c>
      <c r="O20">
        <f>theta_KL_K!AQ6</f>
        <v/>
      </c>
      <c r="P20">
        <f>theta_KL_K!AR6</f>
        <v/>
      </c>
      <c r="Q20">
        <f>theta_KL_K!AS6</f>
        <v/>
      </c>
      <c r="R20">
        <f>theta_KL_K!AT6</f>
        <v/>
      </c>
      <c r="S20">
        <f>theta_KL_K!AU6</f>
        <v/>
      </c>
      <c r="T20">
        <f>theta_KL_K!AV6</f>
        <v/>
      </c>
      <c r="U20">
        <f>theta_KL_K!AW6</f>
        <v/>
      </c>
      <c r="V20">
        <f>theta_KL_K!AX6</f>
        <v/>
      </c>
      <c r="W20">
        <f>theta_KL_K!AY6</f>
        <v/>
      </c>
      <c r="X20">
        <f>theta_KL_K!AZ6</f>
        <v/>
      </c>
      <c r="Y20">
        <f>theta_KL_K!BA6</f>
        <v/>
      </c>
      <c r="Z20">
        <f>theta_KL_K!BB6</f>
        <v/>
      </c>
      <c r="AA20">
        <f>theta_KL_K!BC6</f>
        <v/>
      </c>
      <c r="AB20">
        <f>theta_KL_K!BD6</f>
        <v/>
      </c>
      <c r="AC20">
        <f>theta_KL_K!BE6</f>
        <v/>
      </c>
      <c r="AD20">
        <f>theta_KL_K!BF6</f>
        <v/>
      </c>
    </row>
    <row r="22">
      <c r="A22" t="inlineStr">
        <is>
          <t>Indeks 1994=1</t>
        </is>
      </c>
      <c r="B22" t="n">
        <v>1994</v>
      </c>
      <c r="C22" t="n">
        <v>1995</v>
      </c>
      <c r="D22" t="n">
        <v>1996</v>
      </c>
      <c r="E22" t="n">
        <v>1997</v>
      </c>
      <c r="F22" t="n">
        <v>1998</v>
      </c>
      <c r="G22" t="n">
        <v>1999</v>
      </c>
      <c r="H22" t="n">
        <v>2000</v>
      </c>
      <c r="I22" t="n">
        <v>2001</v>
      </c>
      <c r="J22" t="n">
        <v>2002</v>
      </c>
      <c r="K22" t="n">
        <v>2003</v>
      </c>
      <c r="L22" t="n">
        <v>2004</v>
      </c>
      <c r="M22" t="n">
        <v>2005</v>
      </c>
      <c r="N22" t="n">
        <v>2006</v>
      </c>
      <c r="O22" t="n">
        <v>2007</v>
      </c>
      <c r="P22" t="n">
        <v>2008</v>
      </c>
      <c r="Q22" t="n">
        <v>2009</v>
      </c>
      <c r="R22" t="n">
        <v>2010</v>
      </c>
      <c r="S22" t="n">
        <v>2011</v>
      </c>
      <c r="T22" t="n">
        <v>2012</v>
      </c>
      <c r="U22" t="n">
        <v>2013</v>
      </c>
      <c r="V22" t="n">
        <v>2014</v>
      </c>
      <c r="W22" t="n">
        <v>2015</v>
      </c>
      <c r="X22" t="n">
        <v>2016</v>
      </c>
      <c r="Y22" t="n">
        <v>2017</v>
      </c>
      <c r="Z22" t="n">
        <v>2018</v>
      </c>
      <c r="AA22" t="n">
        <v>2019</v>
      </c>
      <c r="AB22" t="n">
        <v>2020</v>
      </c>
      <c r="AC22" t="n">
        <v>2021</v>
      </c>
      <c r="AD22" t="n">
        <v>2022</v>
      </c>
    </row>
    <row r="23">
      <c r="A23" t="inlineStr">
        <is>
          <t>Landbrug (010000)</t>
        </is>
      </c>
      <c r="B23">
        <f>B16/$B16</f>
        <v/>
      </c>
      <c r="C23">
        <f>C16/$B16</f>
        <v/>
      </c>
      <c r="D23">
        <f>D16/$B16</f>
        <v/>
      </c>
      <c r="E23">
        <f>E16/$B16</f>
        <v/>
      </c>
      <c r="F23">
        <f>F16/$B16</f>
        <v/>
      </c>
      <c r="G23">
        <f>G16/$B16</f>
        <v/>
      </c>
      <c r="H23">
        <f>H16/$B16</f>
        <v/>
      </c>
      <c r="I23">
        <f>I16/$B16</f>
        <v/>
      </c>
      <c r="J23">
        <f>J16/$B16</f>
        <v/>
      </c>
      <c r="K23">
        <f>K16/$B16</f>
        <v/>
      </c>
      <c r="L23">
        <f>L16/$B16</f>
        <v/>
      </c>
      <c r="M23">
        <f>M16/$B16</f>
        <v/>
      </c>
      <c r="N23">
        <f>N16/$B16</f>
        <v/>
      </c>
      <c r="O23">
        <f>O16/$B16</f>
        <v/>
      </c>
      <c r="P23">
        <f>P16/$B16</f>
        <v/>
      </c>
      <c r="Q23">
        <f>Q16/$B16</f>
        <v/>
      </c>
      <c r="R23">
        <f>R16/$B16</f>
        <v/>
      </c>
      <c r="S23">
        <f>S16/$B16</f>
        <v/>
      </c>
      <c r="T23">
        <f>T16/$B16</f>
        <v/>
      </c>
      <c r="U23">
        <f>U16/$B16</f>
        <v/>
      </c>
      <c r="V23">
        <f>V16/$B16</f>
        <v/>
      </c>
      <c r="W23">
        <f>W16/$B16</f>
        <v/>
      </c>
      <c r="X23">
        <f>X16/$B16</f>
        <v/>
      </c>
      <c r="Y23">
        <f>Y16/$B16</f>
        <v/>
      </c>
      <c r="Z23">
        <f>Z16/$B16</f>
        <v/>
      </c>
      <c r="AA23">
        <f>AA16/$B16</f>
        <v/>
      </c>
      <c r="AB23">
        <f>AB16/$B16</f>
        <v/>
      </c>
      <c r="AC23">
        <f>AC16/$B16</f>
        <v/>
      </c>
      <c r="AD23">
        <f>AD16/$B16</f>
        <v/>
      </c>
    </row>
    <row r="24">
      <c r="A24" t="inlineStr">
        <is>
          <t>Slagterier (100010)</t>
        </is>
      </c>
      <c r="B24">
        <f>B17/$B17</f>
        <v/>
      </c>
      <c r="C24">
        <f>C17/$B17</f>
        <v/>
      </c>
      <c r="D24">
        <f>D17/$B17</f>
        <v/>
      </c>
      <c r="E24">
        <f>E17/$B17</f>
        <v/>
      </c>
      <c r="F24">
        <f>F17/$B17</f>
        <v/>
      </c>
      <c r="G24">
        <f>G17/$B17</f>
        <v/>
      </c>
      <c r="H24">
        <f>H17/$B17</f>
        <v/>
      </c>
      <c r="I24">
        <f>I17/$B17</f>
        <v/>
      </c>
      <c r="J24">
        <f>J17/$B17</f>
        <v/>
      </c>
      <c r="K24">
        <f>K17/$B17</f>
        <v/>
      </c>
      <c r="L24">
        <f>L17/$B17</f>
        <v/>
      </c>
      <c r="M24">
        <f>M17/$B17</f>
        <v/>
      </c>
      <c r="N24">
        <f>N17/$B17</f>
        <v/>
      </c>
      <c r="O24">
        <f>O17/$B17</f>
        <v/>
      </c>
      <c r="P24">
        <f>P17/$B17</f>
        <v/>
      </c>
      <c r="Q24">
        <f>Q17/$B17</f>
        <v/>
      </c>
      <c r="R24">
        <f>R17/$B17</f>
        <v/>
      </c>
      <c r="S24">
        <f>S17/$B17</f>
        <v/>
      </c>
      <c r="T24">
        <f>T17/$B17</f>
        <v/>
      </c>
      <c r="U24">
        <f>U17/$B17</f>
        <v/>
      </c>
      <c r="V24">
        <f>V17/$B17</f>
        <v/>
      </c>
      <c r="W24">
        <f>W17/$B17</f>
        <v/>
      </c>
      <c r="X24">
        <f>X17/$B17</f>
        <v/>
      </c>
      <c r="Y24">
        <f>Y17/$B17</f>
        <v/>
      </c>
      <c r="Z24">
        <f>Z17/$B17</f>
        <v/>
      </c>
      <c r="AA24">
        <f>AA17/$B17</f>
        <v/>
      </c>
      <c r="AB24">
        <f>AB17/$B17</f>
        <v/>
      </c>
      <c r="AC24">
        <f>AC17/$B17</f>
        <v/>
      </c>
      <c r="AD24">
        <f>AD17/$B17</f>
        <v/>
      </c>
    </row>
    <row r="25">
      <c r="A25" t="inlineStr">
        <is>
          <t>Mejerier (100030)</t>
        </is>
      </c>
      <c r="B25">
        <f>B18/$B18</f>
        <v/>
      </c>
      <c r="C25">
        <f>C18/$B18</f>
        <v/>
      </c>
      <c r="D25">
        <f>D18/$B18</f>
        <v/>
      </c>
      <c r="E25">
        <f>E18/$B18</f>
        <v/>
      </c>
      <c r="F25">
        <f>F18/$B18</f>
        <v/>
      </c>
      <c r="G25">
        <f>G18/$B18</f>
        <v/>
      </c>
      <c r="H25">
        <f>H18/$B18</f>
        <v/>
      </c>
      <c r="I25">
        <f>I18/$B18</f>
        <v/>
      </c>
      <c r="J25">
        <f>J18/$B18</f>
        <v/>
      </c>
      <c r="K25">
        <f>K18/$B18</f>
        <v/>
      </c>
      <c r="L25">
        <f>L18/$B18</f>
        <v/>
      </c>
      <c r="M25">
        <f>M18/$B18</f>
        <v/>
      </c>
      <c r="N25">
        <f>N18/$B18</f>
        <v/>
      </c>
      <c r="O25">
        <f>O18/$B18</f>
        <v/>
      </c>
      <c r="P25">
        <f>P18/$B18</f>
        <v/>
      </c>
      <c r="Q25">
        <f>Q18/$B18</f>
        <v/>
      </c>
      <c r="R25">
        <f>R18/$B18</f>
        <v/>
      </c>
      <c r="S25">
        <f>S18/$B18</f>
        <v/>
      </c>
      <c r="T25">
        <f>T18/$B18</f>
        <v/>
      </c>
      <c r="U25">
        <f>U18/$B18</f>
        <v/>
      </c>
      <c r="V25">
        <f>V18/$B18</f>
        <v/>
      </c>
      <c r="W25">
        <f>W18/$B18</f>
        <v/>
      </c>
      <c r="X25">
        <f>X18/$B18</f>
        <v/>
      </c>
      <c r="Y25">
        <f>Y18/$B18</f>
        <v/>
      </c>
      <c r="Z25">
        <f>Z18/$B18</f>
        <v/>
      </c>
      <c r="AA25">
        <f>AA18/$B18</f>
        <v/>
      </c>
      <c r="AB25">
        <f>AB18/$B18</f>
        <v/>
      </c>
      <c r="AC25">
        <f>AC18/$B18</f>
        <v/>
      </c>
      <c r="AD25">
        <f>AD18/$B18</f>
        <v/>
      </c>
    </row>
    <row r="26">
      <c r="A26" t="inlineStr">
        <is>
          <t>Anden fødevareindustri (100040x100050)</t>
        </is>
      </c>
      <c r="B26">
        <f>B19/$B19</f>
        <v/>
      </c>
      <c r="C26">
        <f>C19/$B19</f>
        <v/>
      </c>
      <c r="D26">
        <f>D19/$B19</f>
        <v/>
      </c>
      <c r="E26">
        <f>E19/$B19</f>
        <v/>
      </c>
      <c r="F26">
        <f>F19/$B19</f>
        <v/>
      </c>
      <c r="G26">
        <f>G19/$B19</f>
        <v/>
      </c>
      <c r="H26">
        <f>H19/$B19</f>
        <v/>
      </c>
      <c r="I26">
        <f>I19/$B19</f>
        <v/>
      </c>
      <c r="J26">
        <f>J19/$B19</f>
        <v/>
      </c>
      <c r="K26">
        <f>K19/$B19</f>
        <v/>
      </c>
      <c r="L26">
        <f>L19/$B19</f>
        <v/>
      </c>
      <c r="M26">
        <f>M19/$B19</f>
        <v/>
      </c>
      <c r="N26">
        <f>N19/$B19</f>
        <v/>
      </c>
      <c r="O26">
        <f>O19/$B19</f>
        <v/>
      </c>
      <c r="P26">
        <f>P19/$B19</f>
        <v/>
      </c>
      <c r="Q26">
        <f>Q19/$B19</f>
        <v/>
      </c>
      <c r="R26">
        <f>R19/$B19</f>
        <v/>
      </c>
      <c r="S26">
        <f>S19/$B19</f>
        <v/>
      </c>
      <c r="T26">
        <f>T19/$B19</f>
        <v/>
      </c>
      <c r="U26">
        <f>U19/$B19</f>
        <v/>
      </c>
      <c r="V26">
        <f>V19/$B19</f>
        <v/>
      </c>
      <c r="W26">
        <f>W19/$B19</f>
        <v/>
      </c>
      <c r="X26">
        <f>X19/$B19</f>
        <v/>
      </c>
      <c r="Y26">
        <f>Y19/$B19</f>
        <v/>
      </c>
      <c r="Z26">
        <f>Z19/$B19</f>
        <v/>
      </c>
      <c r="AA26">
        <f>AA19/$B19</f>
        <v/>
      </c>
      <c r="AB26">
        <f>AB19/$B19</f>
        <v/>
      </c>
      <c r="AC26">
        <f>AC19/$B19</f>
        <v/>
      </c>
      <c r="AD26">
        <f>AD19/$B19</f>
        <v/>
      </c>
    </row>
    <row r="27">
      <c r="A27" t="inlineStr">
        <is>
          <t>REST</t>
        </is>
      </c>
      <c r="B27">
        <f>B20/$B20</f>
        <v/>
      </c>
      <c r="C27">
        <f>C20/$B20</f>
        <v/>
      </c>
      <c r="D27">
        <f>D20/$B20</f>
        <v/>
      </c>
      <c r="E27">
        <f>E20/$B20</f>
        <v/>
      </c>
      <c r="F27">
        <f>F20/$B20</f>
        <v/>
      </c>
      <c r="G27">
        <f>G20/$B20</f>
        <v/>
      </c>
      <c r="H27">
        <f>H20/$B20</f>
        <v/>
      </c>
      <c r="I27">
        <f>I20/$B20</f>
        <v/>
      </c>
      <c r="J27">
        <f>J20/$B20</f>
        <v/>
      </c>
      <c r="K27">
        <f>K20/$B20</f>
        <v/>
      </c>
      <c r="L27">
        <f>L20/$B20</f>
        <v/>
      </c>
      <c r="M27">
        <f>M20/$B20</f>
        <v/>
      </c>
      <c r="N27">
        <f>N20/$B20</f>
        <v/>
      </c>
      <c r="O27">
        <f>O20/$B20</f>
        <v/>
      </c>
      <c r="P27">
        <f>P20/$B20</f>
        <v/>
      </c>
      <c r="Q27">
        <f>Q20/$B20</f>
        <v/>
      </c>
      <c r="R27">
        <f>R20/$B20</f>
        <v/>
      </c>
      <c r="S27">
        <f>S20/$B20</f>
        <v/>
      </c>
      <c r="T27">
        <f>T20/$B20</f>
        <v/>
      </c>
      <c r="U27">
        <f>U20/$B20</f>
        <v/>
      </c>
      <c r="V27">
        <f>V20/$B20</f>
        <v/>
      </c>
      <c r="W27">
        <f>W20/$B20</f>
        <v/>
      </c>
      <c r="X27">
        <f>X20/$B20</f>
        <v/>
      </c>
      <c r="Y27">
        <f>Y20/$B20</f>
        <v/>
      </c>
      <c r="Z27">
        <f>Z20/$B20</f>
        <v/>
      </c>
      <c r="AA27">
        <f>AA20/$B20</f>
        <v/>
      </c>
      <c r="AB27">
        <f>AB20/$B20</f>
        <v/>
      </c>
      <c r="AC27">
        <f>AC20/$B20</f>
        <v/>
      </c>
      <c r="AD27">
        <f>AD20/$B20</f>
        <v/>
      </c>
    </row>
    <row r="47">
      <c r="A47">
        <f>mu_KL_L!A1</f>
        <v/>
      </c>
      <c r="B47">
        <f>mu_KL_L!AD1</f>
        <v/>
      </c>
      <c r="C47">
        <f>mu_KL_L!AE1</f>
        <v/>
      </c>
      <c r="D47">
        <f>mu_KL_L!AF1</f>
        <v/>
      </c>
      <c r="E47">
        <f>mu_KL_L!AG1</f>
        <v/>
      </c>
      <c r="F47">
        <f>mu_KL_L!AH1</f>
        <v/>
      </c>
      <c r="G47">
        <f>mu_KL_L!AI1</f>
        <v/>
      </c>
      <c r="H47">
        <f>mu_KL_L!AJ1</f>
        <v/>
      </c>
      <c r="I47">
        <f>mu_KL_L!AK1</f>
        <v/>
      </c>
      <c r="J47">
        <f>mu_KL_L!AL1</f>
        <v/>
      </c>
      <c r="K47">
        <f>mu_KL_L!AM1</f>
        <v/>
      </c>
      <c r="L47">
        <f>mu_KL_L!AN1</f>
        <v/>
      </c>
      <c r="M47">
        <f>mu_KL_L!AO1</f>
        <v/>
      </c>
      <c r="N47">
        <f>mu_KL_L!AP1</f>
        <v/>
      </c>
      <c r="O47">
        <f>mu_KL_L!AQ1</f>
        <v/>
      </c>
      <c r="P47">
        <f>mu_KL_L!AR1</f>
        <v/>
      </c>
      <c r="Q47">
        <f>mu_KL_L!AS1</f>
        <v/>
      </c>
      <c r="R47">
        <f>mu_KL_L!AT1</f>
        <v/>
      </c>
      <c r="S47">
        <f>mu_KL_L!AU1</f>
        <v/>
      </c>
      <c r="T47">
        <f>mu_KL_L!AV1</f>
        <v/>
      </c>
      <c r="U47">
        <f>mu_KL_L!AW1</f>
        <v/>
      </c>
      <c r="V47">
        <f>mu_KL_L!AX1</f>
        <v/>
      </c>
      <c r="W47">
        <f>mu_KL_L!AY1</f>
        <v/>
      </c>
      <c r="X47">
        <f>mu_KL_L!AZ1</f>
        <v/>
      </c>
      <c r="Y47">
        <f>mu_KL_L!BA1</f>
        <v/>
      </c>
      <c r="Z47">
        <f>mu_KL_L!BB1</f>
        <v/>
      </c>
      <c r="AA47">
        <f>mu_KL_L!BC1</f>
        <v/>
      </c>
      <c r="AB47">
        <f>mu_KL_L!BD1</f>
        <v/>
      </c>
      <c r="AC47">
        <f>mu_KL_L!BE1</f>
        <v/>
      </c>
      <c r="AD47">
        <f>mu_KL_L!BF1</f>
        <v/>
      </c>
    </row>
    <row r="48">
      <c r="A48">
        <f>mu_KL_L!A2</f>
        <v/>
      </c>
      <c r="B48">
        <f>mu_KL_L!AD2</f>
        <v/>
      </c>
      <c r="C48">
        <f>mu_KL_L!AE2</f>
        <v/>
      </c>
      <c r="D48">
        <f>mu_KL_L!AF2</f>
        <v/>
      </c>
      <c r="E48">
        <f>mu_KL_L!AG2</f>
        <v/>
      </c>
      <c r="F48">
        <f>mu_KL_L!AH2</f>
        <v/>
      </c>
      <c r="G48">
        <f>mu_KL_L!AI2</f>
        <v/>
      </c>
      <c r="H48">
        <f>mu_KL_L!AJ2</f>
        <v/>
      </c>
      <c r="I48">
        <f>mu_KL_L!AK2</f>
        <v/>
      </c>
      <c r="J48">
        <f>mu_KL_L!AL2</f>
        <v/>
      </c>
      <c r="K48">
        <f>mu_KL_L!AM2</f>
        <v/>
      </c>
      <c r="L48">
        <f>mu_KL_L!AN2</f>
        <v/>
      </c>
      <c r="M48">
        <f>mu_KL_L!AO2</f>
        <v/>
      </c>
      <c r="N48">
        <f>mu_KL_L!AP2</f>
        <v/>
      </c>
      <c r="O48">
        <f>mu_KL_L!AQ2</f>
        <v/>
      </c>
      <c r="P48">
        <f>mu_KL_L!AR2</f>
        <v/>
      </c>
      <c r="Q48">
        <f>mu_KL_L!AS2</f>
        <v/>
      </c>
      <c r="R48">
        <f>mu_KL_L!AT2</f>
        <v/>
      </c>
      <c r="S48">
        <f>mu_KL_L!AU2</f>
        <v/>
      </c>
      <c r="T48">
        <f>mu_KL_L!AV2</f>
        <v/>
      </c>
      <c r="U48">
        <f>mu_KL_L!AW2</f>
        <v/>
      </c>
      <c r="V48">
        <f>mu_KL_L!AX2</f>
        <v/>
      </c>
      <c r="W48">
        <f>mu_KL_L!AY2</f>
        <v/>
      </c>
      <c r="X48">
        <f>mu_KL_L!AZ2</f>
        <v/>
      </c>
      <c r="Y48">
        <f>mu_KL_L!BA2</f>
        <v/>
      </c>
      <c r="Z48">
        <f>mu_KL_L!BB2</f>
        <v/>
      </c>
      <c r="AA48">
        <f>mu_KL_L!BC2</f>
        <v/>
      </c>
      <c r="AB48">
        <f>mu_KL_L!BD2</f>
        <v/>
      </c>
      <c r="AC48">
        <f>mu_KL_L!BE2</f>
        <v/>
      </c>
      <c r="AD48">
        <f>mu_KL_L!BF2</f>
        <v/>
      </c>
    </row>
    <row r="49">
      <c r="A49">
        <f>mu_KL_L!A3</f>
        <v/>
      </c>
      <c r="B49">
        <f>mu_KL_L!AD3</f>
        <v/>
      </c>
      <c r="C49">
        <f>mu_KL_L!AE3</f>
        <v/>
      </c>
      <c r="D49">
        <f>mu_KL_L!AF3</f>
        <v/>
      </c>
      <c r="E49">
        <f>mu_KL_L!AG3</f>
        <v/>
      </c>
      <c r="F49">
        <f>mu_KL_L!AH3</f>
        <v/>
      </c>
      <c r="G49">
        <f>mu_KL_L!AI3</f>
        <v/>
      </c>
      <c r="H49">
        <f>mu_KL_L!AJ3</f>
        <v/>
      </c>
      <c r="I49">
        <f>mu_KL_L!AK3</f>
        <v/>
      </c>
      <c r="J49">
        <f>mu_KL_L!AL3</f>
        <v/>
      </c>
      <c r="K49">
        <f>mu_KL_L!AM3</f>
        <v/>
      </c>
      <c r="L49">
        <f>mu_KL_L!AN3</f>
        <v/>
      </c>
      <c r="M49">
        <f>mu_KL_L!AO3</f>
        <v/>
      </c>
      <c r="N49">
        <f>mu_KL_L!AP3</f>
        <v/>
      </c>
      <c r="O49">
        <f>mu_KL_L!AQ3</f>
        <v/>
      </c>
      <c r="P49">
        <f>mu_KL_L!AR3</f>
        <v/>
      </c>
      <c r="Q49">
        <f>mu_KL_L!AS3</f>
        <v/>
      </c>
      <c r="R49">
        <f>mu_KL_L!AT3</f>
        <v/>
      </c>
      <c r="S49">
        <f>mu_KL_L!AU3</f>
        <v/>
      </c>
      <c r="T49">
        <f>mu_KL_L!AV3</f>
        <v/>
      </c>
      <c r="U49">
        <f>mu_KL_L!AW3</f>
        <v/>
      </c>
      <c r="V49">
        <f>mu_KL_L!AX3</f>
        <v/>
      </c>
      <c r="W49">
        <f>mu_KL_L!AY3</f>
        <v/>
      </c>
      <c r="X49">
        <f>mu_KL_L!AZ3</f>
        <v/>
      </c>
      <c r="Y49">
        <f>mu_KL_L!BA3</f>
        <v/>
      </c>
      <c r="Z49">
        <f>mu_KL_L!BB3</f>
        <v/>
      </c>
      <c r="AA49">
        <f>mu_KL_L!BC3</f>
        <v/>
      </c>
      <c r="AB49">
        <f>mu_KL_L!BD3</f>
        <v/>
      </c>
      <c r="AC49">
        <f>mu_KL_L!BE3</f>
        <v/>
      </c>
      <c r="AD49">
        <f>mu_KL_L!BF3</f>
        <v/>
      </c>
    </row>
    <row r="50">
      <c r="A50">
        <f>mu_KL_L!A4</f>
        <v/>
      </c>
      <c r="B50">
        <f>mu_KL_L!AD4</f>
        <v/>
      </c>
      <c r="C50">
        <f>mu_KL_L!AE4</f>
        <v/>
      </c>
      <c r="D50">
        <f>mu_KL_L!AF4</f>
        <v/>
      </c>
      <c r="E50">
        <f>mu_KL_L!AG4</f>
        <v/>
      </c>
      <c r="F50">
        <f>mu_KL_L!AH4</f>
        <v/>
      </c>
      <c r="G50">
        <f>mu_KL_L!AI4</f>
        <v/>
      </c>
      <c r="H50">
        <f>mu_KL_L!AJ4</f>
        <v/>
      </c>
      <c r="I50">
        <f>mu_KL_L!AK4</f>
        <v/>
      </c>
      <c r="J50">
        <f>mu_KL_L!AL4</f>
        <v/>
      </c>
      <c r="K50">
        <f>mu_KL_L!AM4</f>
        <v/>
      </c>
      <c r="L50">
        <f>mu_KL_L!AN4</f>
        <v/>
      </c>
      <c r="M50">
        <f>mu_KL_L!AO4</f>
        <v/>
      </c>
      <c r="N50">
        <f>mu_KL_L!AP4</f>
        <v/>
      </c>
      <c r="O50">
        <f>mu_KL_L!AQ4</f>
        <v/>
      </c>
      <c r="P50">
        <f>mu_KL_L!AR4</f>
        <v/>
      </c>
      <c r="Q50">
        <f>mu_KL_L!AS4</f>
        <v/>
      </c>
      <c r="R50">
        <f>mu_KL_L!AT4</f>
        <v/>
      </c>
      <c r="S50">
        <f>mu_KL_L!AU4</f>
        <v/>
      </c>
      <c r="T50">
        <f>mu_KL_L!AV4</f>
        <v/>
      </c>
      <c r="U50">
        <f>mu_KL_L!AW4</f>
        <v/>
      </c>
      <c r="V50">
        <f>mu_KL_L!AX4</f>
        <v/>
      </c>
      <c r="W50">
        <f>mu_KL_L!AY4</f>
        <v/>
      </c>
      <c r="X50">
        <f>mu_KL_L!AZ4</f>
        <v/>
      </c>
      <c r="Y50">
        <f>mu_KL_L!BA4</f>
        <v/>
      </c>
      <c r="Z50">
        <f>mu_KL_L!BB4</f>
        <v/>
      </c>
      <c r="AA50">
        <f>mu_KL_L!BC4</f>
        <v/>
      </c>
      <c r="AB50">
        <f>mu_KL_L!BD4</f>
        <v/>
      </c>
      <c r="AC50">
        <f>mu_KL_L!BE4</f>
        <v/>
      </c>
      <c r="AD50">
        <f>mu_KL_L!BF4</f>
        <v/>
      </c>
    </row>
    <row r="51">
      <c r="A51">
        <f>mu_KL_L!A5</f>
        <v/>
      </c>
      <c r="B51">
        <f>mu_KL_L!AD5</f>
        <v/>
      </c>
      <c r="C51">
        <f>mu_KL_L!AE5</f>
        <v/>
      </c>
      <c r="D51">
        <f>mu_KL_L!AF5</f>
        <v/>
      </c>
      <c r="E51">
        <f>mu_KL_L!AG5</f>
        <v/>
      </c>
      <c r="F51">
        <f>mu_KL_L!AH5</f>
        <v/>
      </c>
      <c r="G51">
        <f>mu_KL_L!AI5</f>
        <v/>
      </c>
      <c r="H51">
        <f>mu_KL_L!AJ5</f>
        <v/>
      </c>
      <c r="I51">
        <f>mu_KL_L!AK5</f>
        <v/>
      </c>
      <c r="J51">
        <f>mu_KL_L!AL5</f>
        <v/>
      </c>
      <c r="K51">
        <f>mu_KL_L!AM5</f>
        <v/>
      </c>
      <c r="L51">
        <f>mu_KL_L!AN5</f>
        <v/>
      </c>
      <c r="M51">
        <f>mu_KL_L!AO5</f>
        <v/>
      </c>
      <c r="N51">
        <f>mu_KL_L!AP5</f>
        <v/>
      </c>
      <c r="O51">
        <f>mu_KL_L!AQ5</f>
        <v/>
      </c>
      <c r="P51">
        <f>mu_KL_L!AR5</f>
        <v/>
      </c>
      <c r="Q51">
        <f>mu_KL_L!AS5</f>
        <v/>
      </c>
      <c r="R51">
        <f>mu_KL_L!AT5</f>
        <v/>
      </c>
      <c r="S51">
        <f>mu_KL_L!AU5</f>
        <v/>
      </c>
      <c r="T51">
        <f>mu_KL_L!AV5</f>
        <v/>
      </c>
      <c r="U51">
        <f>mu_KL_L!AW5</f>
        <v/>
      </c>
      <c r="V51">
        <f>mu_KL_L!AX5</f>
        <v/>
      </c>
      <c r="W51">
        <f>mu_KL_L!AY5</f>
        <v/>
      </c>
      <c r="X51">
        <f>mu_KL_L!AZ5</f>
        <v/>
      </c>
      <c r="Y51">
        <f>mu_KL_L!BA5</f>
        <v/>
      </c>
      <c r="Z51">
        <f>mu_KL_L!BB5</f>
        <v/>
      </c>
      <c r="AA51">
        <f>mu_KL_L!BC5</f>
        <v/>
      </c>
      <c r="AB51">
        <f>mu_KL_L!BD5</f>
        <v/>
      </c>
      <c r="AC51">
        <f>mu_KL_L!BE5</f>
        <v/>
      </c>
      <c r="AD51">
        <f>mu_KL_L!BF5</f>
        <v/>
      </c>
    </row>
    <row r="52">
      <c r="A52">
        <f>mu_KL_L!A6</f>
        <v/>
      </c>
      <c r="B52">
        <f>mu_KL_L!AD6</f>
        <v/>
      </c>
      <c r="C52">
        <f>mu_KL_L!AE6</f>
        <v/>
      </c>
      <c r="D52">
        <f>mu_KL_L!AF6</f>
        <v/>
      </c>
      <c r="E52">
        <f>mu_KL_L!AG6</f>
        <v/>
      </c>
      <c r="F52">
        <f>mu_KL_L!AH6</f>
        <v/>
      </c>
      <c r="G52">
        <f>mu_KL_L!AI6</f>
        <v/>
      </c>
      <c r="H52">
        <f>mu_KL_L!AJ6</f>
        <v/>
      </c>
      <c r="I52">
        <f>mu_KL_L!AK6</f>
        <v/>
      </c>
      <c r="J52">
        <f>mu_KL_L!AL6</f>
        <v/>
      </c>
      <c r="K52">
        <f>mu_KL_L!AM6</f>
        <v/>
      </c>
      <c r="L52">
        <f>mu_KL_L!AN6</f>
        <v/>
      </c>
      <c r="M52">
        <f>mu_KL_L!AO6</f>
        <v/>
      </c>
      <c r="N52">
        <f>mu_KL_L!AP6</f>
        <v/>
      </c>
      <c r="O52">
        <f>mu_KL_L!AQ6</f>
        <v/>
      </c>
      <c r="P52">
        <f>mu_KL_L!AR6</f>
        <v/>
      </c>
      <c r="Q52">
        <f>mu_KL_L!AS6</f>
        <v/>
      </c>
      <c r="R52">
        <f>mu_KL_L!AT6</f>
        <v/>
      </c>
      <c r="S52">
        <f>mu_KL_L!AU6</f>
        <v/>
      </c>
      <c r="T52">
        <f>mu_KL_L!AV6</f>
        <v/>
      </c>
      <c r="U52">
        <f>mu_KL_L!AW6</f>
        <v/>
      </c>
      <c r="V52">
        <f>mu_KL_L!AX6</f>
        <v/>
      </c>
      <c r="W52">
        <f>mu_KL_L!AY6</f>
        <v/>
      </c>
      <c r="X52">
        <f>mu_KL_L!AZ6</f>
        <v/>
      </c>
      <c r="Y52">
        <f>mu_KL_L!BA6</f>
        <v/>
      </c>
      <c r="Z52">
        <f>mu_KL_L!BB6</f>
        <v/>
      </c>
      <c r="AA52">
        <f>mu_KL_L!BC6</f>
        <v/>
      </c>
      <c r="AB52">
        <f>mu_KL_L!BD6</f>
        <v/>
      </c>
      <c r="AC52">
        <f>mu_KL_L!BE6</f>
        <v/>
      </c>
      <c r="AD52">
        <f>mu_KL_L!BF6</f>
        <v/>
      </c>
    </row>
    <row r="54">
      <c r="A54" t="inlineStr">
        <is>
          <t>Indeks 1994=1</t>
        </is>
      </c>
      <c r="B54" t="n">
        <v>1994</v>
      </c>
      <c r="C54" t="n">
        <v>1995</v>
      </c>
      <c r="D54" t="n">
        <v>1996</v>
      </c>
      <c r="E54" t="n">
        <v>1997</v>
      </c>
      <c r="F54" t="n">
        <v>1998</v>
      </c>
      <c r="G54" t="n">
        <v>1999</v>
      </c>
      <c r="H54" t="n">
        <v>2000</v>
      </c>
      <c r="I54" t="n">
        <v>2001</v>
      </c>
      <c r="J54" t="n">
        <v>2002</v>
      </c>
      <c r="K54" t="n">
        <v>2003</v>
      </c>
      <c r="L54" t="n">
        <v>2004</v>
      </c>
      <c r="M54" t="n">
        <v>2005</v>
      </c>
      <c r="N54" t="n">
        <v>2006</v>
      </c>
      <c r="O54" t="n">
        <v>2007</v>
      </c>
      <c r="P54" t="n">
        <v>2008</v>
      </c>
      <c r="Q54" t="n">
        <v>2009</v>
      </c>
      <c r="R54" t="n">
        <v>2010</v>
      </c>
      <c r="S54" t="n">
        <v>2011</v>
      </c>
      <c r="T54" t="n">
        <v>2012</v>
      </c>
      <c r="U54" t="n">
        <v>2013</v>
      </c>
      <c r="V54" t="n">
        <v>2014</v>
      </c>
      <c r="W54" t="n">
        <v>2015</v>
      </c>
      <c r="X54" t="n">
        <v>2016</v>
      </c>
      <c r="Y54" t="n">
        <v>2017</v>
      </c>
      <c r="Z54" t="n">
        <v>2018</v>
      </c>
      <c r="AA54" t="n">
        <v>2019</v>
      </c>
      <c r="AB54" t="n">
        <v>2020</v>
      </c>
      <c r="AC54" t="n">
        <v>2021</v>
      </c>
      <c r="AD54" t="n">
        <v>2022</v>
      </c>
    </row>
    <row r="55">
      <c r="A55" t="inlineStr">
        <is>
          <t>Landbrug (010000)</t>
        </is>
      </c>
      <c r="B55">
        <f>B48/$B48</f>
        <v/>
      </c>
      <c r="C55">
        <f>C48/$B48</f>
        <v/>
      </c>
      <c r="D55">
        <f>D48/$B48</f>
        <v/>
      </c>
      <c r="E55">
        <f>E48/$B48</f>
        <v/>
      </c>
      <c r="F55">
        <f>F48/$B48</f>
        <v/>
      </c>
      <c r="G55">
        <f>G48/$B48</f>
        <v/>
      </c>
      <c r="H55">
        <f>H48/$B48</f>
        <v/>
      </c>
      <c r="I55">
        <f>I48/$B48</f>
        <v/>
      </c>
      <c r="J55">
        <f>J48/$B48</f>
        <v/>
      </c>
      <c r="K55">
        <f>K48/$B48</f>
        <v/>
      </c>
      <c r="L55">
        <f>L48/$B48</f>
        <v/>
      </c>
      <c r="M55">
        <f>M48/$B48</f>
        <v/>
      </c>
      <c r="N55">
        <f>N48/$B48</f>
        <v/>
      </c>
      <c r="O55">
        <f>O48/$B48</f>
        <v/>
      </c>
      <c r="P55">
        <f>P48/$B48</f>
        <v/>
      </c>
      <c r="Q55">
        <f>Q48/$B48</f>
        <v/>
      </c>
      <c r="R55">
        <f>R48/$B48</f>
        <v/>
      </c>
      <c r="S55">
        <f>S48/$B48</f>
        <v/>
      </c>
      <c r="T55">
        <f>T48/$B48</f>
        <v/>
      </c>
      <c r="U55">
        <f>U48/$B48</f>
        <v/>
      </c>
      <c r="V55">
        <f>V48/$B48</f>
        <v/>
      </c>
      <c r="W55">
        <f>W48/$B48</f>
        <v/>
      </c>
      <c r="X55">
        <f>X48/$B48</f>
        <v/>
      </c>
      <c r="Y55">
        <f>Y48/$B48</f>
        <v/>
      </c>
      <c r="Z55">
        <f>Z48/$B48</f>
        <v/>
      </c>
      <c r="AA55">
        <f>AA48/$B48</f>
        <v/>
      </c>
      <c r="AB55">
        <f>AB48/$B48</f>
        <v/>
      </c>
      <c r="AC55">
        <f>AC48/$B48</f>
        <v/>
      </c>
      <c r="AD55">
        <f>AD48/$B48</f>
        <v/>
      </c>
    </row>
    <row r="56">
      <c r="A56" t="inlineStr">
        <is>
          <t>Slagterier (100010)</t>
        </is>
      </c>
      <c r="B56">
        <f>B49/$B49</f>
        <v/>
      </c>
      <c r="C56">
        <f>C49/$B49</f>
        <v/>
      </c>
      <c r="D56">
        <f>D49/$B49</f>
        <v/>
      </c>
      <c r="E56">
        <f>E49/$B49</f>
        <v/>
      </c>
      <c r="F56">
        <f>F49/$B49</f>
        <v/>
      </c>
      <c r="G56">
        <f>G49/$B49</f>
        <v/>
      </c>
      <c r="H56">
        <f>H49/$B49</f>
        <v/>
      </c>
      <c r="I56">
        <f>I49/$B49</f>
        <v/>
      </c>
      <c r="J56">
        <f>J49/$B49</f>
        <v/>
      </c>
      <c r="K56">
        <f>K49/$B49</f>
        <v/>
      </c>
      <c r="L56">
        <f>L49/$B49</f>
        <v/>
      </c>
      <c r="M56">
        <f>M49/$B49</f>
        <v/>
      </c>
      <c r="N56">
        <f>N49/$B49</f>
        <v/>
      </c>
      <c r="O56">
        <f>O49/$B49</f>
        <v/>
      </c>
      <c r="P56">
        <f>P49/$B49</f>
        <v/>
      </c>
      <c r="Q56">
        <f>Q49/$B49</f>
        <v/>
      </c>
      <c r="R56">
        <f>R49/$B49</f>
        <v/>
      </c>
      <c r="S56">
        <f>S49/$B49</f>
        <v/>
      </c>
      <c r="T56">
        <f>T49/$B49</f>
        <v/>
      </c>
      <c r="U56">
        <f>U49/$B49</f>
        <v/>
      </c>
      <c r="V56">
        <f>V49/$B49</f>
        <v/>
      </c>
      <c r="W56">
        <f>W49/$B49</f>
        <v/>
      </c>
      <c r="X56">
        <f>X49/$B49</f>
        <v/>
      </c>
      <c r="Y56">
        <f>Y49/$B49</f>
        <v/>
      </c>
      <c r="Z56">
        <f>Z49/$B49</f>
        <v/>
      </c>
      <c r="AA56">
        <f>AA49/$B49</f>
        <v/>
      </c>
      <c r="AB56">
        <f>AB49/$B49</f>
        <v/>
      </c>
      <c r="AC56">
        <f>AC49/$B49</f>
        <v/>
      </c>
      <c r="AD56">
        <f>AD49/$B49</f>
        <v/>
      </c>
    </row>
    <row r="57">
      <c r="A57" t="inlineStr">
        <is>
          <t>Mejerier (100030)</t>
        </is>
      </c>
      <c r="B57">
        <f>B50/$B50</f>
        <v/>
      </c>
      <c r="C57">
        <f>C50/$B50</f>
        <v/>
      </c>
      <c r="D57">
        <f>D50/$B50</f>
        <v/>
      </c>
      <c r="E57">
        <f>E50/$B50</f>
        <v/>
      </c>
      <c r="F57">
        <f>F50/$B50</f>
        <v/>
      </c>
      <c r="G57">
        <f>G50/$B50</f>
        <v/>
      </c>
      <c r="H57">
        <f>H50/$B50</f>
        <v/>
      </c>
      <c r="I57">
        <f>I50/$B50</f>
        <v/>
      </c>
      <c r="J57">
        <f>J50/$B50</f>
        <v/>
      </c>
      <c r="K57">
        <f>K50/$B50</f>
        <v/>
      </c>
      <c r="L57">
        <f>L50/$B50</f>
        <v/>
      </c>
      <c r="M57">
        <f>M50/$B50</f>
        <v/>
      </c>
      <c r="N57">
        <f>N50/$B50</f>
        <v/>
      </c>
      <c r="O57">
        <f>O50/$B50</f>
        <v/>
      </c>
      <c r="P57">
        <f>P50/$B50</f>
        <v/>
      </c>
      <c r="Q57">
        <f>Q50/$B50</f>
        <v/>
      </c>
      <c r="R57">
        <f>R50/$B50</f>
        <v/>
      </c>
      <c r="S57">
        <f>S50/$B50</f>
        <v/>
      </c>
      <c r="T57">
        <f>T50/$B50</f>
        <v/>
      </c>
      <c r="U57">
        <f>U50/$B50</f>
        <v/>
      </c>
      <c r="V57">
        <f>V50/$B50</f>
        <v/>
      </c>
      <c r="W57">
        <f>W50/$B50</f>
        <v/>
      </c>
      <c r="X57">
        <f>X50/$B50</f>
        <v/>
      </c>
      <c r="Y57">
        <f>Y50/$B50</f>
        <v/>
      </c>
      <c r="Z57">
        <f>Z50/$B50</f>
        <v/>
      </c>
      <c r="AA57">
        <f>AA50/$B50</f>
        <v/>
      </c>
      <c r="AB57">
        <f>AB50/$B50</f>
        <v/>
      </c>
      <c r="AC57">
        <f>AC50/$B50</f>
        <v/>
      </c>
      <c r="AD57">
        <f>AD50/$B50</f>
        <v/>
      </c>
    </row>
    <row r="58">
      <c r="A58" t="inlineStr">
        <is>
          <t>Anden fødevareindustri (100040x100050)</t>
        </is>
      </c>
      <c r="B58">
        <f>B51/$B51</f>
        <v/>
      </c>
      <c r="C58">
        <f>C51/$B51</f>
        <v/>
      </c>
      <c r="D58">
        <f>D51/$B51</f>
        <v/>
      </c>
      <c r="E58">
        <f>E51/$B51</f>
        <v/>
      </c>
      <c r="F58">
        <f>F51/$B51</f>
        <v/>
      </c>
      <c r="G58">
        <f>G51/$B51</f>
        <v/>
      </c>
      <c r="H58">
        <f>H51/$B51</f>
        <v/>
      </c>
      <c r="I58">
        <f>I51/$B51</f>
        <v/>
      </c>
      <c r="J58">
        <f>J51/$B51</f>
        <v/>
      </c>
      <c r="K58">
        <f>K51/$B51</f>
        <v/>
      </c>
      <c r="L58">
        <f>L51/$B51</f>
        <v/>
      </c>
      <c r="M58">
        <f>M51/$B51</f>
        <v/>
      </c>
      <c r="N58">
        <f>N51/$B51</f>
        <v/>
      </c>
      <c r="O58">
        <f>O51/$B51</f>
        <v/>
      </c>
      <c r="P58">
        <f>P51/$B51</f>
        <v/>
      </c>
      <c r="Q58">
        <f>Q51/$B51</f>
        <v/>
      </c>
      <c r="R58">
        <f>R51/$B51</f>
        <v/>
      </c>
      <c r="S58">
        <f>S51/$B51</f>
        <v/>
      </c>
      <c r="T58">
        <f>T51/$B51</f>
        <v/>
      </c>
      <c r="U58">
        <f>U51/$B51</f>
        <v/>
      </c>
      <c r="V58">
        <f>V51/$B51</f>
        <v/>
      </c>
      <c r="W58">
        <f>W51/$B51</f>
        <v/>
      </c>
      <c r="X58">
        <f>X51/$B51</f>
        <v/>
      </c>
      <c r="Y58">
        <f>Y51/$B51</f>
        <v/>
      </c>
      <c r="Z58">
        <f>Z51/$B51</f>
        <v/>
      </c>
      <c r="AA58">
        <f>AA51/$B51</f>
        <v/>
      </c>
      <c r="AB58">
        <f>AB51/$B51</f>
        <v/>
      </c>
      <c r="AC58">
        <f>AC51/$B51</f>
        <v/>
      </c>
      <c r="AD58">
        <f>AD51/$B51</f>
        <v/>
      </c>
    </row>
    <row r="59">
      <c r="A59" t="inlineStr">
        <is>
          <t>REST</t>
        </is>
      </c>
      <c r="B59">
        <f>B52/$B52</f>
        <v/>
      </c>
      <c r="C59">
        <f>C52/$B52</f>
        <v/>
      </c>
      <c r="D59">
        <f>D52/$B52</f>
        <v/>
      </c>
      <c r="E59">
        <f>E52/$B52</f>
        <v/>
      </c>
      <c r="F59">
        <f>F52/$B52</f>
        <v/>
      </c>
      <c r="G59">
        <f>G52/$B52</f>
        <v/>
      </c>
      <c r="H59">
        <f>H52/$B52</f>
        <v/>
      </c>
      <c r="I59">
        <f>I52/$B52</f>
        <v/>
      </c>
      <c r="J59">
        <f>J52/$B52</f>
        <v/>
      </c>
      <c r="K59">
        <f>K52/$B52</f>
        <v/>
      </c>
      <c r="L59">
        <f>L52/$B52</f>
        <v/>
      </c>
      <c r="M59">
        <f>M52/$B52</f>
        <v/>
      </c>
      <c r="N59">
        <f>N52/$B52</f>
        <v/>
      </c>
      <c r="O59">
        <f>O52/$B52</f>
        <v/>
      </c>
      <c r="P59">
        <f>P52/$B52</f>
        <v/>
      </c>
      <c r="Q59">
        <f>Q52/$B52</f>
        <v/>
      </c>
      <c r="R59">
        <f>R52/$B52</f>
        <v/>
      </c>
      <c r="S59">
        <f>S52/$B52</f>
        <v/>
      </c>
      <c r="T59">
        <f>T52/$B52</f>
        <v/>
      </c>
      <c r="U59">
        <f>U52/$B52</f>
        <v/>
      </c>
      <c r="V59">
        <f>V52/$B52</f>
        <v/>
      </c>
      <c r="W59">
        <f>W52/$B52</f>
        <v/>
      </c>
      <c r="X59">
        <f>X52/$B52</f>
        <v/>
      </c>
      <c r="Y59">
        <f>Y52/$B52</f>
        <v/>
      </c>
      <c r="Z59">
        <f>Z52/$B52</f>
        <v/>
      </c>
      <c r="AA59">
        <f>AA52/$B52</f>
        <v/>
      </c>
      <c r="AB59">
        <f>AB52/$B52</f>
        <v/>
      </c>
      <c r="AC59">
        <f>AC52/$B52</f>
        <v/>
      </c>
      <c r="AD59">
        <f>AD52/$B52</f>
        <v/>
      </c>
    </row>
    <row r="61">
      <c r="A61">
        <f>mu_KL_K!A1</f>
        <v/>
      </c>
      <c r="B61">
        <f>mu_KL_K!AD1</f>
        <v/>
      </c>
      <c r="C61">
        <f>mu_KL_K!AE1</f>
        <v/>
      </c>
      <c r="D61">
        <f>mu_KL_K!AF1</f>
        <v/>
      </c>
      <c r="E61">
        <f>mu_KL_K!AG1</f>
        <v/>
      </c>
      <c r="F61">
        <f>mu_KL_K!AH1</f>
        <v/>
      </c>
      <c r="G61">
        <f>mu_KL_K!AI1</f>
        <v/>
      </c>
      <c r="H61">
        <f>mu_KL_K!AJ1</f>
        <v/>
      </c>
      <c r="I61">
        <f>mu_KL_K!AK1</f>
        <v/>
      </c>
      <c r="J61">
        <f>mu_KL_K!AL1</f>
        <v/>
      </c>
      <c r="K61">
        <f>mu_KL_K!AM1</f>
        <v/>
      </c>
      <c r="L61">
        <f>mu_KL_K!AN1</f>
        <v/>
      </c>
      <c r="M61">
        <f>mu_KL_K!AO1</f>
        <v/>
      </c>
      <c r="N61">
        <f>mu_KL_K!AP1</f>
        <v/>
      </c>
      <c r="O61">
        <f>mu_KL_K!AQ1</f>
        <v/>
      </c>
      <c r="P61">
        <f>mu_KL_K!AR1</f>
        <v/>
      </c>
      <c r="Q61">
        <f>mu_KL_K!AS1</f>
        <v/>
      </c>
      <c r="R61">
        <f>mu_KL_K!AT1</f>
        <v/>
      </c>
      <c r="S61">
        <f>mu_KL_K!AU1</f>
        <v/>
      </c>
      <c r="T61">
        <f>mu_KL_K!AV1</f>
        <v/>
      </c>
      <c r="U61">
        <f>mu_KL_K!AW1</f>
        <v/>
      </c>
      <c r="V61">
        <f>mu_KL_K!AX1</f>
        <v/>
      </c>
      <c r="W61">
        <f>mu_KL_K!AY1</f>
        <v/>
      </c>
      <c r="X61">
        <f>mu_KL_K!AZ1</f>
        <v/>
      </c>
      <c r="Y61">
        <f>mu_KL_K!BA1</f>
        <v/>
      </c>
      <c r="Z61">
        <f>mu_KL_K!BB1</f>
        <v/>
      </c>
      <c r="AA61">
        <f>mu_KL_K!BC1</f>
        <v/>
      </c>
      <c r="AB61">
        <f>mu_KL_K!BD1</f>
        <v/>
      </c>
      <c r="AC61">
        <f>mu_KL_K!BE1</f>
        <v/>
      </c>
      <c r="AD61">
        <f>mu_KL_K!BF1</f>
        <v/>
      </c>
    </row>
    <row r="62">
      <c r="A62">
        <f>mu_KL_K!A2</f>
        <v/>
      </c>
      <c r="B62">
        <f>mu_KL_K!AD2</f>
        <v/>
      </c>
      <c r="C62">
        <f>mu_KL_K!AE2</f>
        <v/>
      </c>
      <c r="D62">
        <f>mu_KL_K!AF2</f>
        <v/>
      </c>
      <c r="E62">
        <f>mu_KL_K!AG2</f>
        <v/>
      </c>
      <c r="F62">
        <f>mu_KL_K!AH2</f>
        <v/>
      </c>
      <c r="G62">
        <f>mu_KL_K!AI2</f>
        <v/>
      </c>
      <c r="H62">
        <f>mu_KL_K!AJ2</f>
        <v/>
      </c>
      <c r="I62">
        <f>mu_KL_K!AK2</f>
        <v/>
      </c>
      <c r="J62">
        <f>mu_KL_K!AL2</f>
        <v/>
      </c>
      <c r="K62">
        <f>mu_KL_K!AM2</f>
        <v/>
      </c>
      <c r="L62">
        <f>mu_KL_K!AN2</f>
        <v/>
      </c>
      <c r="M62">
        <f>mu_KL_K!AO2</f>
        <v/>
      </c>
      <c r="N62">
        <f>mu_KL_K!AP2</f>
        <v/>
      </c>
      <c r="O62">
        <f>mu_KL_K!AQ2</f>
        <v/>
      </c>
      <c r="P62">
        <f>mu_KL_K!AR2</f>
        <v/>
      </c>
      <c r="Q62">
        <f>mu_KL_K!AS2</f>
        <v/>
      </c>
      <c r="R62">
        <f>mu_KL_K!AT2</f>
        <v/>
      </c>
      <c r="S62">
        <f>mu_KL_K!AU2</f>
        <v/>
      </c>
      <c r="T62">
        <f>mu_KL_K!AV2</f>
        <v/>
      </c>
      <c r="U62">
        <f>mu_KL_K!AW2</f>
        <v/>
      </c>
      <c r="V62">
        <f>mu_KL_K!AX2</f>
        <v/>
      </c>
      <c r="W62">
        <f>mu_KL_K!AY2</f>
        <v/>
      </c>
      <c r="X62">
        <f>mu_KL_K!AZ2</f>
        <v/>
      </c>
      <c r="Y62">
        <f>mu_KL_K!BA2</f>
        <v/>
      </c>
      <c r="Z62">
        <f>mu_KL_K!BB2</f>
        <v/>
      </c>
      <c r="AA62">
        <f>mu_KL_K!BC2</f>
        <v/>
      </c>
      <c r="AB62">
        <f>mu_KL_K!BD2</f>
        <v/>
      </c>
      <c r="AC62">
        <f>mu_KL_K!BE2</f>
        <v/>
      </c>
      <c r="AD62">
        <f>mu_KL_K!BF2</f>
        <v/>
      </c>
    </row>
    <row r="63">
      <c r="A63">
        <f>mu_KL_K!A3</f>
        <v/>
      </c>
      <c r="B63">
        <f>mu_KL_K!AD3</f>
        <v/>
      </c>
      <c r="C63">
        <f>mu_KL_K!AE3</f>
        <v/>
      </c>
      <c r="D63">
        <f>mu_KL_K!AF3</f>
        <v/>
      </c>
      <c r="E63">
        <f>mu_KL_K!AG3</f>
        <v/>
      </c>
      <c r="F63">
        <f>mu_KL_K!AH3</f>
        <v/>
      </c>
      <c r="G63">
        <f>mu_KL_K!AI3</f>
        <v/>
      </c>
      <c r="H63">
        <f>mu_KL_K!AJ3</f>
        <v/>
      </c>
      <c r="I63">
        <f>mu_KL_K!AK3</f>
        <v/>
      </c>
      <c r="J63">
        <f>mu_KL_K!AL3</f>
        <v/>
      </c>
      <c r="K63">
        <f>mu_KL_K!AM3</f>
        <v/>
      </c>
      <c r="L63">
        <f>mu_KL_K!AN3</f>
        <v/>
      </c>
      <c r="M63">
        <f>mu_KL_K!AO3</f>
        <v/>
      </c>
      <c r="N63">
        <f>mu_KL_K!AP3</f>
        <v/>
      </c>
      <c r="O63">
        <f>mu_KL_K!AQ3</f>
        <v/>
      </c>
      <c r="P63">
        <f>mu_KL_K!AR3</f>
        <v/>
      </c>
      <c r="Q63">
        <f>mu_KL_K!AS3</f>
        <v/>
      </c>
      <c r="R63">
        <f>mu_KL_K!AT3</f>
        <v/>
      </c>
      <c r="S63">
        <f>mu_KL_K!AU3</f>
        <v/>
      </c>
      <c r="T63">
        <f>mu_KL_K!AV3</f>
        <v/>
      </c>
      <c r="U63">
        <f>mu_KL_K!AW3</f>
        <v/>
      </c>
      <c r="V63">
        <f>mu_KL_K!AX3</f>
        <v/>
      </c>
      <c r="W63">
        <f>mu_KL_K!AY3</f>
        <v/>
      </c>
      <c r="X63">
        <f>mu_KL_K!AZ3</f>
        <v/>
      </c>
      <c r="Y63">
        <f>mu_KL_K!BA3</f>
        <v/>
      </c>
      <c r="Z63">
        <f>mu_KL_K!BB3</f>
        <v/>
      </c>
      <c r="AA63">
        <f>mu_KL_K!BC3</f>
        <v/>
      </c>
      <c r="AB63">
        <f>mu_KL_K!BD3</f>
        <v/>
      </c>
      <c r="AC63">
        <f>mu_KL_K!BE3</f>
        <v/>
      </c>
      <c r="AD63">
        <f>mu_KL_K!BF3</f>
        <v/>
      </c>
    </row>
    <row r="64">
      <c r="A64">
        <f>mu_KL_K!A4</f>
        <v/>
      </c>
      <c r="B64">
        <f>mu_KL_K!AD4</f>
        <v/>
      </c>
      <c r="C64">
        <f>mu_KL_K!AE4</f>
        <v/>
      </c>
      <c r="D64">
        <f>mu_KL_K!AF4</f>
        <v/>
      </c>
      <c r="E64">
        <f>mu_KL_K!AG4</f>
        <v/>
      </c>
      <c r="F64">
        <f>mu_KL_K!AH4</f>
        <v/>
      </c>
      <c r="G64">
        <f>mu_KL_K!AI4</f>
        <v/>
      </c>
      <c r="H64">
        <f>mu_KL_K!AJ4</f>
        <v/>
      </c>
      <c r="I64">
        <f>mu_KL_K!AK4</f>
        <v/>
      </c>
      <c r="J64">
        <f>mu_KL_K!AL4</f>
        <v/>
      </c>
      <c r="K64">
        <f>mu_KL_K!AM4</f>
        <v/>
      </c>
      <c r="L64">
        <f>mu_KL_K!AN4</f>
        <v/>
      </c>
      <c r="M64">
        <f>mu_KL_K!AO4</f>
        <v/>
      </c>
      <c r="N64">
        <f>mu_KL_K!AP4</f>
        <v/>
      </c>
      <c r="O64">
        <f>mu_KL_K!AQ4</f>
        <v/>
      </c>
      <c r="P64">
        <f>mu_KL_K!AR4</f>
        <v/>
      </c>
      <c r="Q64">
        <f>mu_KL_K!AS4</f>
        <v/>
      </c>
      <c r="R64">
        <f>mu_KL_K!AT4</f>
        <v/>
      </c>
      <c r="S64">
        <f>mu_KL_K!AU4</f>
        <v/>
      </c>
      <c r="T64">
        <f>mu_KL_K!AV4</f>
        <v/>
      </c>
      <c r="U64">
        <f>mu_KL_K!AW4</f>
        <v/>
      </c>
      <c r="V64">
        <f>mu_KL_K!AX4</f>
        <v/>
      </c>
      <c r="W64">
        <f>mu_KL_K!AY4</f>
        <v/>
      </c>
      <c r="X64">
        <f>mu_KL_K!AZ4</f>
        <v/>
      </c>
      <c r="Y64">
        <f>mu_KL_K!BA4</f>
        <v/>
      </c>
      <c r="Z64">
        <f>mu_KL_K!BB4</f>
        <v/>
      </c>
      <c r="AA64">
        <f>mu_KL_K!BC4</f>
        <v/>
      </c>
      <c r="AB64">
        <f>mu_KL_K!BD4</f>
        <v/>
      </c>
      <c r="AC64">
        <f>mu_KL_K!BE4</f>
        <v/>
      </c>
      <c r="AD64">
        <f>mu_KL_K!BF4</f>
        <v/>
      </c>
    </row>
    <row r="65">
      <c r="A65">
        <f>mu_KL_K!A5</f>
        <v/>
      </c>
      <c r="B65">
        <f>mu_KL_K!AD5</f>
        <v/>
      </c>
      <c r="C65">
        <f>mu_KL_K!AE5</f>
        <v/>
      </c>
      <c r="D65">
        <f>mu_KL_K!AF5</f>
        <v/>
      </c>
      <c r="E65">
        <f>mu_KL_K!AG5</f>
        <v/>
      </c>
      <c r="F65">
        <f>mu_KL_K!AH5</f>
        <v/>
      </c>
      <c r="G65">
        <f>mu_KL_K!AI5</f>
        <v/>
      </c>
      <c r="H65">
        <f>mu_KL_K!AJ5</f>
        <v/>
      </c>
      <c r="I65">
        <f>mu_KL_K!AK5</f>
        <v/>
      </c>
      <c r="J65">
        <f>mu_KL_K!AL5</f>
        <v/>
      </c>
      <c r="K65">
        <f>mu_KL_K!AM5</f>
        <v/>
      </c>
      <c r="L65">
        <f>mu_KL_K!AN5</f>
        <v/>
      </c>
      <c r="M65">
        <f>mu_KL_K!AO5</f>
        <v/>
      </c>
      <c r="N65">
        <f>mu_KL_K!AP5</f>
        <v/>
      </c>
      <c r="O65">
        <f>mu_KL_K!AQ5</f>
        <v/>
      </c>
      <c r="P65">
        <f>mu_KL_K!AR5</f>
        <v/>
      </c>
      <c r="Q65">
        <f>mu_KL_K!AS5</f>
        <v/>
      </c>
      <c r="R65">
        <f>mu_KL_K!AT5</f>
        <v/>
      </c>
      <c r="S65">
        <f>mu_KL_K!AU5</f>
        <v/>
      </c>
      <c r="T65">
        <f>mu_KL_K!AV5</f>
        <v/>
      </c>
      <c r="U65">
        <f>mu_KL_K!AW5</f>
        <v/>
      </c>
      <c r="V65">
        <f>mu_KL_K!AX5</f>
        <v/>
      </c>
      <c r="W65">
        <f>mu_KL_K!AY5</f>
        <v/>
      </c>
      <c r="X65">
        <f>mu_KL_K!AZ5</f>
        <v/>
      </c>
      <c r="Y65">
        <f>mu_KL_K!BA5</f>
        <v/>
      </c>
      <c r="Z65">
        <f>mu_KL_K!BB5</f>
        <v/>
      </c>
      <c r="AA65">
        <f>mu_KL_K!BC5</f>
        <v/>
      </c>
      <c r="AB65">
        <f>mu_KL_K!BD5</f>
        <v/>
      </c>
      <c r="AC65">
        <f>mu_KL_K!BE5</f>
        <v/>
      </c>
      <c r="AD65">
        <f>mu_KL_K!BF5</f>
        <v/>
      </c>
    </row>
    <row r="66">
      <c r="A66">
        <f>mu_KL_K!A6</f>
        <v/>
      </c>
      <c r="B66">
        <f>mu_KL_K!AD6</f>
        <v/>
      </c>
      <c r="C66">
        <f>mu_KL_K!AE6</f>
        <v/>
      </c>
      <c r="D66">
        <f>mu_KL_K!AF6</f>
        <v/>
      </c>
      <c r="E66">
        <f>mu_KL_K!AG6</f>
        <v/>
      </c>
      <c r="F66">
        <f>mu_KL_K!AH6</f>
        <v/>
      </c>
      <c r="G66">
        <f>mu_KL_K!AI6</f>
        <v/>
      </c>
      <c r="H66">
        <f>mu_KL_K!AJ6</f>
        <v/>
      </c>
      <c r="I66">
        <f>mu_KL_K!AK6</f>
        <v/>
      </c>
      <c r="J66">
        <f>mu_KL_K!AL6</f>
        <v/>
      </c>
      <c r="K66">
        <f>mu_KL_K!AM6</f>
        <v/>
      </c>
      <c r="L66">
        <f>mu_KL_K!AN6</f>
        <v/>
      </c>
      <c r="M66">
        <f>mu_KL_K!AO6</f>
        <v/>
      </c>
      <c r="N66">
        <f>mu_KL_K!AP6</f>
        <v/>
      </c>
      <c r="O66">
        <f>mu_KL_K!AQ6</f>
        <v/>
      </c>
      <c r="P66">
        <f>mu_KL_K!AR6</f>
        <v/>
      </c>
      <c r="Q66">
        <f>mu_KL_K!AS6</f>
        <v/>
      </c>
      <c r="R66">
        <f>mu_KL_K!AT6</f>
        <v/>
      </c>
      <c r="S66">
        <f>mu_KL_K!AU6</f>
        <v/>
      </c>
      <c r="T66">
        <f>mu_KL_K!AV6</f>
        <v/>
      </c>
      <c r="U66">
        <f>mu_KL_K!AW6</f>
        <v/>
      </c>
      <c r="V66">
        <f>mu_KL_K!AX6</f>
        <v/>
      </c>
      <c r="W66">
        <f>mu_KL_K!AY6</f>
        <v/>
      </c>
      <c r="X66">
        <f>mu_KL_K!AZ6</f>
        <v/>
      </c>
      <c r="Y66">
        <f>mu_KL_K!BA6</f>
        <v/>
      </c>
      <c r="Z66">
        <f>mu_KL_K!BB6</f>
        <v/>
      </c>
      <c r="AA66">
        <f>mu_KL_K!BC6</f>
        <v/>
      </c>
      <c r="AB66">
        <f>mu_KL_K!BD6</f>
        <v/>
      </c>
      <c r="AC66">
        <f>mu_KL_K!BE6</f>
        <v/>
      </c>
      <c r="AD66">
        <f>mu_KL_K!BF6</f>
        <v/>
      </c>
    </row>
    <row r="68">
      <c r="A68" t="inlineStr">
        <is>
          <t>Indeks 1994=1</t>
        </is>
      </c>
      <c r="B68" t="n">
        <v>1994</v>
      </c>
      <c r="C68" t="n">
        <v>1995</v>
      </c>
      <c r="D68" t="n">
        <v>1996</v>
      </c>
      <c r="E68" t="n">
        <v>1997</v>
      </c>
      <c r="F68" t="n">
        <v>1998</v>
      </c>
      <c r="G68" t="n">
        <v>1999</v>
      </c>
      <c r="H68" t="n">
        <v>2000</v>
      </c>
      <c r="I68" t="n">
        <v>2001</v>
      </c>
      <c r="J68" t="n">
        <v>2002</v>
      </c>
      <c r="K68" t="n">
        <v>2003</v>
      </c>
      <c r="L68" t="n">
        <v>2004</v>
      </c>
      <c r="M68" t="n">
        <v>2005</v>
      </c>
      <c r="N68" t="n">
        <v>2006</v>
      </c>
      <c r="O68" t="n">
        <v>2007</v>
      </c>
      <c r="P68" t="n">
        <v>2008</v>
      </c>
      <c r="Q68" t="n">
        <v>2009</v>
      </c>
      <c r="R68" t="n">
        <v>2010</v>
      </c>
      <c r="S68" t="n">
        <v>2011</v>
      </c>
      <c r="T68" t="n">
        <v>2012</v>
      </c>
      <c r="U68" t="n">
        <v>2013</v>
      </c>
      <c r="V68" t="n">
        <v>2014</v>
      </c>
      <c r="W68" t="n">
        <v>2015</v>
      </c>
      <c r="X68" t="n">
        <v>2016</v>
      </c>
      <c r="Y68" t="n">
        <v>2017</v>
      </c>
      <c r="Z68" t="n">
        <v>2018</v>
      </c>
      <c r="AA68" t="n">
        <v>2019</v>
      </c>
      <c r="AB68" t="n">
        <v>2020</v>
      </c>
      <c r="AC68" t="n">
        <v>2021</v>
      </c>
      <c r="AD68" t="n">
        <v>2022</v>
      </c>
    </row>
    <row r="69">
      <c r="A69" t="inlineStr">
        <is>
          <t>Landbrug (010000)</t>
        </is>
      </c>
      <c r="B69">
        <f>B62/$B62</f>
        <v/>
      </c>
      <c r="C69">
        <f>C62/$B62</f>
        <v/>
      </c>
      <c r="D69">
        <f>D62/$B62</f>
        <v/>
      </c>
      <c r="E69">
        <f>E62/$B62</f>
        <v/>
      </c>
      <c r="F69">
        <f>F62/$B62</f>
        <v/>
      </c>
      <c r="G69">
        <f>G62/$B62</f>
        <v/>
      </c>
      <c r="H69">
        <f>H62/$B62</f>
        <v/>
      </c>
      <c r="I69">
        <f>I62/$B62</f>
        <v/>
      </c>
      <c r="J69">
        <f>J62/$B62</f>
        <v/>
      </c>
      <c r="K69">
        <f>K62/$B62</f>
        <v/>
      </c>
      <c r="L69">
        <f>L62/$B62</f>
        <v/>
      </c>
      <c r="M69">
        <f>M62/$B62</f>
        <v/>
      </c>
      <c r="N69">
        <f>N62/$B62</f>
        <v/>
      </c>
      <c r="O69">
        <f>O62/$B62</f>
        <v/>
      </c>
      <c r="P69">
        <f>P62/$B62</f>
        <v/>
      </c>
      <c r="Q69">
        <f>Q62/$B62</f>
        <v/>
      </c>
      <c r="R69">
        <f>R62/$B62</f>
        <v/>
      </c>
      <c r="S69">
        <f>S62/$B62</f>
        <v/>
      </c>
      <c r="T69">
        <f>T62/$B62</f>
        <v/>
      </c>
      <c r="U69">
        <f>U62/$B62</f>
        <v/>
      </c>
      <c r="V69">
        <f>V62/$B62</f>
        <v/>
      </c>
      <c r="W69">
        <f>W62/$B62</f>
        <v/>
      </c>
      <c r="X69">
        <f>X62/$B62</f>
        <v/>
      </c>
      <c r="Y69">
        <f>Y62/$B62</f>
        <v/>
      </c>
      <c r="Z69">
        <f>Z62/$B62</f>
        <v/>
      </c>
      <c r="AA69">
        <f>AA62/$B62</f>
        <v/>
      </c>
      <c r="AB69">
        <f>AB62/$B62</f>
        <v/>
      </c>
      <c r="AC69">
        <f>AC62/$B62</f>
        <v/>
      </c>
      <c r="AD69">
        <f>AD62/$B62</f>
        <v/>
      </c>
    </row>
    <row r="70">
      <c r="A70" t="inlineStr">
        <is>
          <t>Slagterier (100010)</t>
        </is>
      </c>
      <c r="B70">
        <f>B63/$B63</f>
        <v/>
      </c>
      <c r="C70">
        <f>C63/$B63</f>
        <v/>
      </c>
      <c r="D70">
        <f>D63/$B63</f>
        <v/>
      </c>
      <c r="E70">
        <f>E63/$B63</f>
        <v/>
      </c>
      <c r="F70">
        <f>F63/$B63</f>
        <v/>
      </c>
      <c r="G70">
        <f>G63/$B63</f>
        <v/>
      </c>
      <c r="H70">
        <f>H63/$B63</f>
        <v/>
      </c>
      <c r="I70">
        <f>I63/$B63</f>
        <v/>
      </c>
      <c r="J70">
        <f>J63/$B63</f>
        <v/>
      </c>
      <c r="K70">
        <f>K63/$B63</f>
        <v/>
      </c>
      <c r="L70">
        <f>L63/$B63</f>
        <v/>
      </c>
      <c r="M70">
        <f>M63/$B63</f>
        <v/>
      </c>
      <c r="N70">
        <f>N63/$B63</f>
        <v/>
      </c>
      <c r="O70">
        <f>O63/$B63</f>
        <v/>
      </c>
      <c r="P70">
        <f>P63/$B63</f>
        <v/>
      </c>
      <c r="Q70">
        <f>Q63/$B63</f>
        <v/>
      </c>
      <c r="R70">
        <f>R63/$B63</f>
        <v/>
      </c>
      <c r="S70">
        <f>S63/$B63</f>
        <v/>
      </c>
      <c r="T70">
        <f>T63/$B63</f>
        <v/>
      </c>
      <c r="U70">
        <f>U63/$B63</f>
        <v/>
      </c>
      <c r="V70">
        <f>V63/$B63</f>
        <v/>
      </c>
      <c r="W70">
        <f>W63/$B63</f>
        <v/>
      </c>
      <c r="X70">
        <f>X63/$B63</f>
        <v/>
      </c>
      <c r="Y70">
        <f>Y63/$B63</f>
        <v/>
      </c>
      <c r="Z70">
        <f>Z63/$B63</f>
        <v/>
      </c>
      <c r="AA70">
        <f>AA63/$B63</f>
        <v/>
      </c>
      <c r="AB70">
        <f>AB63/$B63</f>
        <v/>
      </c>
      <c r="AC70">
        <f>AC63/$B63</f>
        <v/>
      </c>
      <c r="AD70">
        <f>AD63/$B63</f>
        <v/>
      </c>
    </row>
    <row r="71">
      <c r="A71" t="inlineStr">
        <is>
          <t>Mejerier (100030)</t>
        </is>
      </c>
      <c r="B71">
        <f>B64/$B64</f>
        <v/>
      </c>
      <c r="C71">
        <f>C64/$B64</f>
        <v/>
      </c>
      <c r="D71">
        <f>D64/$B64</f>
        <v/>
      </c>
      <c r="E71">
        <f>E64/$B64</f>
        <v/>
      </c>
      <c r="F71">
        <f>F64/$B64</f>
        <v/>
      </c>
      <c r="G71">
        <f>G64/$B64</f>
        <v/>
      </c>
      <c r="H71">
        <f>H64/$B64</f>
        <v/>
      </c>
      <c r="I71">
        <f>I64/$B64</f>
        <v/>
      </c>
      <c r="J71">
        <f>J64/$B64</f>
        <v/>
      </c>
      <c r="K71">
        <f>K64/$B64</f>
        <v/>
      </c>
      <c r="L71">
        <f>L64/$B64</f>
        <v/>
      </c>
      <c r="M71">
        <f>M64/$B64</f>
        <v/>
      </c>
      <c r="N71">
        <f>N64/$B64</f>
        <v/>
      </c>
      <c r="O71">
        <f>O64/$B64</f>
        <v/>
      </c>
      <c r="P71">
        <f>P64/$B64</f>
        <v/>
      </c>
      <c r="Q71">
        <f>Q64/$B64</f>
        <v/>
      </c>
      <c r="R71">
        <f>R64/$B64</f>
        <v/>
      </c>
      <c r="S71">
        <f>S64/$B64</f>
        <v/>
      </c>
      <c r="T71">
        <f>T64/$B64</f>
        <v/>
      </c>
      <c r="U71">
        <f>U64/$B64</f>
        <v/>
      </c>
      <c r="V71">
        <f>V64/$B64</f>
        <v/>
      </c>
      <c r="W71">
        <f>W64/$B64</f>
        <v/>
      </c>
      <c r="X71">
        <f>X64/$B64</f>
        <v/>
      </c>
      <c r="Y71">
        <f>Y64/$B64</f>
        <v/>
      </c>
      <c r="Z71">
        <f>Z64/$B64</f>
        <v/>
      </c>
      <c r="AA71">
        <f>AA64/$B64</f>
        <v/>
      </c>
      <c r="AB71">
        <f>AB64/$B64</f>
        <v/>
      </c>
      <c r="AC71">
        <f>AC64/$B64</f>
        <v/>
      </c>
      <c r="AD71">
        <f>AD64/$B64</f>
        <v/>
      </c>
    </row>
    <row r="72">
      <c r="A72" t="inlineStr">
        <is>
          <t>Anden fødevareindustri (100040x100050)</t>
        </is>
      </c>
      <c r="B72">
        <f>B65/$B65</f>
        <v/>
      </c>
      <c r="C72">
        <f>C65/$B65</f>
        <v/>
      </c>
      <c r="D72">
        <f>D65/$B65</f>
        <v/>
      </c>
      <c r="E72">
        <f>E65/$B65</f>
        <v/>
      </c>
      <c r="F72">
        <f>F65/$B65</f>
        <v/>
      </c>
      <c r="G72">
        <f>G65/$B65</f>
        <v/>
      </c>
      <c r="H72">
        <f>H65/$B65</f>
        <v/>
      </c>
      <c r="I72">
        <f>I65/$B65</f>
        <v/>
      </c>
      <c r="J72">
        <f>J65/$B65</f>
        <v/>
      </c>
      <c r="K72">
        <f>K65/$B65</f>
        <v/>
      </c>
      <c r="L72">
        <f>L65/$B65</f>
        <v/>
      </c>
      <c r="M72">
        <f>M65/$B65</f>
        <v/>
      </c>
      <c r="N72">
        <f>N65/$B65</f>
        <v/>
      </c>
      <c r="O72">
        <f>O65/$B65</f>
        <v/>
      </c>
      <c r="P72">
        <f>P65/$B65</f>
        <v/>
      </c>
      <c r="Q72">
        <f>Q65/$B65</f>
        <v/>
      </c>
      <c r="R72">
        <f>R65/$B65</f>
        <v/>
      </c>
      <c r="S72">
        <f>S65/$B65</f>
        <v/>
      </c>
      <c r="T72">
        <f>T65/$B65</f>
        <v/>
      </c>
      <c r="U72">
        <f>U65/$B65</f>
        <v/>
      </c>
      <c r="V72">
        <f>V65/$B65</f>
        <v/>
      </c>
      <c r="W72">
        <f>W65/$B65</f>
        <v/>
      </c>
      <c r="X72">
        <f>X65/$B65</f>
        <v/>
      </c>
      <c r="Y72">
        <f>Y65/$B65</f>
        <v/>
      </c>
      <c r="Z72">
        <f>Z65/$B65</f>
        <v/>
      </c>
      <c r="AA72">
        <f>AA65/$B65</f>
        <v/>
      </c>
      <c r="AB72">
        <f>AB65/$B65</f>
        <v/>
      </c>
      <c r="AC72">
        <f>AC65/$B65</f>
        <v/>
      </c>
      <c r="AD72">
        <f>AD65/$B65</f>
        <v/>
      </c>
    </row>
    <row r="73">
      <c r="A73" t="inlineStr">
        <is>
          <t>REST</t>
        </is>
      </c>
      <c r="B73">
        <f>B66/$B66</f>
        <v/>
      </c>
      <c r="C73">
        <f>C66/$B66</f>
        <v/>
      </c>
      <c r="D73">
        <f>D66/$B66</f>
        <v/>
      </c>
      <c r="E73">
        <f>E66/$B66</f>
        <v/>
      </c>
      <c r="F73">
        <f>F66/$B66</f>
        <v/>
      </c>
      <c r="G73">
        <f>G66/$B66</f>
        <v/>
      </c>
      <c r="H73">
        <f>H66/$B66</f>
        <v/>
      </c>
      <c r="I73">
        <f>I66/$B66</f>
        <v/>
      </c>
      <c r="J73">
        <f>J66/$B66</f>
        <v/>
      </c>
      <c r="K73">
        <f>K66/$B66</f>
        <v/>
      </c>
      <c r="L73">
        <f>L66/$B66</f>
        <v/>
      </c>
      <c r="M73">
        <f>M66/$B66</f>
        <v/>
      </c>
      <c r="N73">
        <f>N66/$B66</f>
        <v/>
      </c>
      <c r="O73">
        <f>O66/$B66</f>
        <v/>
      </c>
      <c r="P73">
        <f>P66/$B66</f>
        <v/>
      </c>
      <c r="Q73">
        <f>Q66/$B66</f>
        <v/>
      </c>
      <c r="R73">
        <f>R66/$B66</f>
        <v/>
      </c>
      <c r="S73">
        <f>S66/$B66</f>
        <v/>
      </c>
      <c r="T73">
        <f>T66/$B66</f>
        <v/>
      </c>
      <c r="U73">
        <f>U66/$B66</f>
        <v/>
      </c>
      <c r="V73">
        <f>V66/$B66</f>
        <v/>
      </c>
      <c r="W73">
        <f>W66/$B66</f>
        <v/>
      </c>
      <c r="X73">
        <f>X66/$B66</f>
        <v/>
      </c>
      <c r="Y73">
        <f>Y66/$B66</f>
        <v/>
      </c>
      <c r="Z73">
        <f>Z66/$B66</f>
        <v/>
      </c>
      <c r="AA73">
        <f>AA66/$B66</f>
        <v/>
      </c>
      <c r="AB73">
        <f>AB66/$B66</f>
        <v/>
      </c>
      <c r="AC73">
        <f>AC66/$B66</f>
        <v/>
      </c>
      <c r="AD73">
        <f>AD66/$B66</f>
        <v/>
      </c>
    </row>
    <row r="110">
      <c r="A110">
        <f>mu_JKL_J!A1</f>
        <v/>
      </c>
      <c r="B110">
        <f>mu_JKL_J!AD1</f>
        <v/>
      </c>
      <c r="C110">
        <f>mu_JKL_J!AE1</f>
        <v/>
      </c>
      <c r="D110">
        <f>mu_JKL_J!AF1</f>
        <v/>
      </c>
      <c r="E110">
        <f>mu_JKL_J!AG1</f>
        <v/>
      </c>
      <c r="F110">
        <f>mu_JKL_J!AH1</f>
        <v/>
      </c>
      <c r="G110">
        <f>mu_JKL_J!AI1</f>
        <v/>
      </c>
      <c r="H110">
        <f>mu_JKL_J!AJ1</f>
        <v/>
      </c>
      <c r="I110">
        <f>mu_JKL_J!AK1</f>
        <v/>
      </c>
      <c r="J110">
        <f>mu_JKL_J!AL1</f>
        <v/>
      </c>
      <c r="K110">
        <f>mu_JKL_J!AM1</f>
        <v/>
      </c>
      <c r="L110">
        <f>mu_JKL_J!AN1</f>
        <v/>
      </c>
      <c r="M110">
        <f>mu_JKL_J!AO1</f>
        <v/>
      </c>
      <c r="N110">
        <f>mu_JKL_J!AP1</f>
        <v/>
      </c>
      <c r="O110">
        <f>mu_JKL_J!AQ1</f>
        <v/>
      </c>
      <c r="P110">
        <f>mu_JKL_J!AR1</f>
        <v/>
      </c>
      <c r="Q110">
        <f>mu_JKL_J!AS1</f>
        <v/>
      </c>
      <c r="R110">
        <f>mu_JKL_J!AT1</f>
        <v/>
      </c>
      <c r="S110">
        <f>mu_JKL_J!AU1</f>
        <v/>
      </c>
      <c r="T110">
        <f>mu_JKL_J!AV1</f>
        <v/>
      </c>
      <c r="U110">
        <f>mu_JKL_J!AW1</f>
        <v/>
      </c>
      <c r="V110">
        <f>mu_JKL_J!AX1</f>
        <v/>
      </c>
      <c r="W110">
        <f>mu_JKL_J!AY1</f>
        <v/>
      </c>
      <c r="X110">
        <f>mu_JKL_J!AZ1</f>
        <v/>
      </c>
      <c r="Y110">
        <f>mu_JKL_J!BA1</f>
        <v/>
      </c>
      <c r="Z110">
        <f>mu_JKL_J!BB1</f>
        <v/>
      </c>
      <c r="AA110">
        <f>mu_JKL_J!BC1</f>
        <v/>
      </c>
      <c r="AB110">
        <f>mu_JKL_J!BD1</f>
        <v/>
      </c>
      <c r="AC110">
        <f>mu_JKL_J!BE1</f>
        <v/>
      </c>
      <c r="AD110">
        <f>mu_JKL_J!BF1</f>
        <v/>
      </c>
    </row>
    <row r="111">
      <c r="A111">
        <f>mu_JKL_J!A2</f>
        <v/>
      </c>
      <c r="B111">
        <f>mu_JKL_J!AD2</f>
        <v/>
      </c>
      <c r="C111">
        <f>mu_JKL_J!AE2</f>
        <v/>
      </c>
      <c r="D111">
        <f>mu_JKL_J!AF2</f>
        <v/>
      </c>
      <c r="E111">
        <f>mu_JKL_J!AG2</f>
        <v/>
      </c>
      <c r="F111">
        <f>mu_JKL_J!AH2</f>
        <v/>
      </c>
      <c r="G111">
        <f>mu_JKL_J!AI2</f>
        <v/>
      </c>
      <c r="H111">
        <f>mu_JKL_J!AJ2</f>
        <v/>
      </c>
      <c r="I111">
        <f>mu_JKL_J!AK2</f>
        <v/>
      </c>
      <c r="J111">
        <f>mu_JKL_J!AL2</f>
        <v/>
      </c>
      <c r="K111">
        <f>mu_JKL_J!AM2</f>
        <v/>
      </c>
      <c r="L111">
        <f>mu_JKL_J!AN2</f>
        <v/>
      </c>
      <c r="M111">
        <f>mu_JKL_J!AO2</f>
        <v/>
      </c>
      <c r="N111">
        <f>mu_JKL_J!AP2</f>
        <v/>
      </c>
      <c r="O111">
        <f>mu_JKL_J!AQ2</f>
        <v/>
      </c>
      <c r="P111">
        <f>mu_JKL_J!AR2</f>
        <v/>
      </c>
      <c r="Q111">
        <f>mu_JKL_J!AS2</f>
        <v/>
      </c>
      <c r="R111">
        <f>mu_JKL_J!AT2</f>
        <v/>
      </c>
      <c r="S111">
        <f>mu_JKL_J!AU2</f>
        <v/>
      </c>
      <c r="T111">
        <f>mu_JKL_J!AV2</f>
        <v/>
      </c>
      <c r="U111">
        <f>mu_JKL_J!AW2</f>
        <v/>
      </c>
      <c r="V111">
        <f>mu_JKL_J!AX2</f>
        <v/>
      </c>
      <c r="W111">
        <f>mu_JKL_J!AY2</f>
        <v/>
      </c>
      <c r="X111">
        <f>mu_JKL_J!AZ2</f>
        <v/>
      </c>
      <c r="Y111">
        <f>mu_JKL_J!BA2</f>
        <v/>
      </c>
      <c r="Z111">
        <f>mu_JKL_J!BB2</f>
        <v/>
      </c>
      <c r="AA111">
        <f>mu_JKL_J!BC2</f>
        <v/>
      </c>
      <c r="AB111">
        <f>mu_JKL_J!BD2</f>
        <v/>
      </c>
      <c r="AC111">
        <f>mu_JKL_J!BE2</f>
        <v/>
      </c>
      <c r="AD111">
        <f>mu_JKL_J!BF2</f>
        <v/>
      </c>
    </row>
    <row r="113">
      <c r="A113" t="inlineStr">
        <is>
          <t>Mu (JKL_J)</t>
        </is>
      </c>
      <c r="B113" t="n">
        <v>1994</v>
      </c>
      <c r="C113" t="n">
        <v>1995</v>
      </c>
      <c r="D113" t="n">
        <v>1996</v>
      </c>
      <c r="E113" t="n">
        <v>1997</v>
      </c>
      <c r="F113" t="n">
        <v>1998</v>
      </c>
      <c r="G113" t="n">
        <v>1999</v>
      </c>
      <c r="H113" t="n">
        <v>2000</v>
      </c>
      <c r="I113" t="n">
        <v>2001</v>
      </c>
      <c r="J113" t="n">
        <v>2002</v>
      </c>
      <c r="K113" t="n">
        <v>2003</v>
      </c>
      <c r="L113" t="n">
        <v>2004</v>
      </c>
      <c r="M113" t="n">
        <v>2005</v>
      </c>
      <c r="N113" t="n">
        <v>2006</v>
      </c>
      <c r="O113" t="n">
        <v>2007</v>
      </c>
      <c r="P113" t="n">
        <v>2008</v>
      </c>
      <c r="Q113" t="n">
        <v>2009</v>
      </c>
      <c r="R113" t="n">
        <v>2010</v>
      </c>
      <c r="S113" t="n">
        <v>2011</v>
      </c>
      <c r="T113" t="n">
        <v>2012</v>
      </c>
      <c r="U113" t="n">
        <v>2013</v>
      </c>
      <c r="V113" t="n">
        <v>2014</v>
      </c>
      <c r="W113" t="n">
        <v>2015</v>
      </c>
      <c r="X113" t="n">
        <v>2016</v>
      </c>
      <c r="Y113" t="n">
        <v>2017</v>
      </c>
      <c r="Z113" t="n">
        <v>2018</v>
      </c>
      <c r="AA113" t="n">
        <v>2019</v>
      </c>
      <c r="AB113" t="n">
        <v>2020</v>
      </c>
      <c r="AC113" t="n">
        <v>2021</v>
      </c>
      <c r="AD113" t="n">
        <v>2022</v>
      </c>
    </row>
    <row r="114">
      <c r="A114" t="inlineStr">
        <is>
          <t>Landbrug (010000)</t>
        </is>
      </c>
      <c r="B114">
        <f>B111/$B111</f>
        <v/>
      </c>
      <c r="C114">
        <f>C111/$B111</f>
        <v/>
      </c>
      <c r="D114">
        <f>D111/$B111</f>
        <v/>
      </c>
      <c r="E114">
        <f>E111/$B111</f>
        <v/>
      </c>
      <c r="F114">
        <f>F111/$B111</f>
        <v/>
      </c>
      <c r="G114">
        <f>G111/$B111</f>
        <v/>
      </c>
      <c r="H114">
        <f>H111/$B111</f>
        <v/>
      </c>
      <c r="I114">
        <f>I111/$B111</f>
        <v/>
      </c>
      <c r="J114">
        <f>J111/$B111</f>
        <v/>
      </c>
      <c r="K114">
        <f>K111/$B111</f>
        <v/>
      </c>
      <c r="L114">
        <f>L111/$B111</f>
        <v/>
      </c>
      <c r="M114">
        <f>M111/$B111</f>
        <v/>
      </c>
      <c r="N114">
        <f>N111/$B111</f>
        <v/>
      </c>
      <c r="O114">
        <f>O111/$B111</f>
        <v/>
      </c>
      <c r="P114">
        <f>P111/$B111</f>
        <v/>
      </c>
      <c r="Q114">
        <f>Q111/$B111</f>
        <v/>
      </c>
      <c r="R114">
        <f>R111/$B111</f>
        <v/>
      </c>
      <c r="S114">
        <f>S111/$B111</f>
        <v/>
      </c>
      <c r="T114">
        <f>T111/$B111</f>
        <v/>
      </c>
      <c r="U114">
        <f>U111/$B111</f>
        <v/>
      </c>
      <c r="V114">
        <f>V111/$B111</f>
        <v/>
      </c>
      <c r="W114">
        <f>W111/$B111</f>
        <v/>
      </c>
      <c r="X114">
        <f>X111/$B111</f>
        <v/>
      </c>
      <c r="Y114">
        <f>Y111/$B111</f>
        <v/>
      </c>
      <c r="Z114">
        <f>Z111/$B111</f>
        <v/>
      </c>
      <c r="AA114">
        <f>AA111/$B111</f>
        <v/>
      </c>
      <c r="AB114">
        <f>AB111/$B111</f>
        <v/>
      </c>
      <c r="AC114">
        <f>AC111/$B111</f>
        <v/>
      </c>
      <c r="AD114">
        <f>AD111/$B111</f>
        <v/>
      </c>
    </row>
    <row r="116">
      <c r="A116">
        <f>theta_JKL_J!A1</f>
        <v/>
      </c>
      <c r="B116">
        <f>theta_JKL_J!AD1</f>
        <v/>
      </c>
      <c r="C116">
        <f>theta_JKL_J!AE1</f>
        <v/>
      </c>
      <c r="D116">
        <f>theta_JKL_J!AF1</f>
        <v/>
      </c>
      <c r="E116">
        <f>theta_JKL_J!AG1</f>
        <v/>
      </c>
      <c r="F116">
        <f>theta_JKL_J!AH1</f>
        <v/>
      </c>
      <c r="G116">
        <f>theta_JKL_J!AI1</f>
        <v/>
      </c>
      <c r="H116">
        <f>theta_JKL_J!AJ1</f>
        <v/>
      </c>
      <c r="I116">
        <f>theta_JKL_J!AK1</f>
        <v/>
      </c>
      <c r="J116">
        <f>theta_JKL_J!AL1</f>
        <v/>
      </c>
      <c r="K116">
        <f>theta_JKL_J!AM1</f>
        <v/>
      </c>
      <c r="L116">
        <f>theta_JKL_J!AN1</f>
        <v/>
      </c>
      <c r="M116">
        <f>theta_JKL_J!AO1</f>
        <v/>
      </c>
      <c r="N116">
        <f>theta_JKL_J!AP1</f>
        <v/>
      </c>
      <c r="O116">
        <f>theta_JKL_J!AQ1</f>
        <v/>
      </c>
      <c r="P116">
        <f>theta_JKL_J!AR1</f>
        <v/>
      </c>
      <c r="Q116">
        <f>theta_JKL_J!AS1</f>
        <v/>
      </c>
      <c r="R116">
        <f>theta_JKL_J!AT1</f>
        <v/>
      </c>
      <c r="S116">
        <f>theta_JKL_J!AU1</f>
        <v/>
      </c>
      <c r="T116">
        <f>theta_JKL_J!AV1</f>
        <v/>
      </c>
      <c r="U116">
        <f>theta_JKL_J!AW1</f>
        <v/>
      </c>
      <c r="V116">
        <f>theta_JKL_J!AX1</f>
        <v/>
      </c>
      <c r="W116">
        <f>theta_JKL_J!AY1</f>
        <v/>
      </c>
      <c r="X116">
        <f>theta_JKL_J!AZ1</f>
        <v/>
      </c>
      <c r="Y116">
        <f>theta_JKL_J!BA1</f>
        <v/>
      </c>
      <c r="Z116">
        <f>theta_JKL_J!BB1</f>
        <v/>
      </c>
      <c r="AA116">
        <f>theta_JKL_J!BC1</f>
        <v/>
      </c>
      <c r="AB116">
        <f>theta_JKL_J!BD1</f>
        <v/>
      </c>
      <c r="AC116">
        <f>theta_JKL_J!BE1</f>
        <v/>
      </c>
      <c r="AD116">
        <f>theta_JKL_J!BF1</f>
        <v/>
      </c>
    </row>
    <row r="117">
      <c r="A117">
        <f>theta_JKL_J!A2</f>
        <v/>
      </c>
      <c r="B117">
        <f>theta_JKL_J!AD2</f>
        <v/>
      </c>
      <c r="C117">
        <f>theta_JKL_J!AE2</f>
        <v/>
      </c>
      <c r="D117">
        <f>theta_JKL_J!AF2</f>
        <v/>
      </c>
      <c r="E117">
        <f>theta_JKL_J!AG2</f>
        <v/>
      </c>
      <c r="F117">
        <f>theta_JKL_J!AH2</f>
        <v/>
      </c>
      <c r="G117">
        <f>theta_JKL_J!AI2</f>
        <v/>
      </c>
      <c r="H117">
        <f>theta_JKL_J!AJ2</f>
        <v/>
      </c>
      <c r="I117">
        <f>theta_JKL_J!AK2</f>
        <v/>
      </c>
      <c r="J117">
        <f>theta_JKL_J!AL2</f>
        <v/>
      </c>
      <c r="K117">
        <f>theta_JKL_J!AM2</f>
        <v/>
      </c>
      <c r="L117">
        <f>theta_JKL_J!AN2</f>
        <v/>
      </c>
      <c r="M117">
        <f>theta_JKL_J!AO2</f>
        <v/>
      </c>
      <c r="N117">
        <f>theta_JKL_J!AP2</f>
        <v/>
      </c>
      <c r="O117">
        <f>theta_JKL_J!AQ2</f>
        <v/>
      </c>
      <c r="P117">
        <f>theta_JKL_J!AR2</f>
        <v/>
      </c>
      <c r="Q117">
        <f>theta_JKL_J!AS2</f>
        <v/>
      </c>
      <c r="R117">
        <f>theta_JKL_J!AT2</f>
        <v/>
      </c>
      <c r="S117">
        <f>theta_JKL_J!AU2</f>
        <v/>
      </c>
      <c r="T117">
        <f>theta_JKL_J!AV2</f>
        <v/>
      </c>
      <c r="U117">
        <f>theta_JKL_J!AW2</f>
        <v/>
      </c>
      <c r="V117">
        <f>theta_JKL_J!AX2</f>
        <v/>
      </c>
      <c r="W117">
        <f>theta_JKL_J!AY2</f>
        <v/>
      </c>
      <c r="X117">
        <f>theta_JKL_J!AZ2</f>
        <v/>
      </c>
      <c r="Y117">
        <f>theta_JKL_J!BA2</f>
        <v/>
      </c>
      <c r="Z117">
        <f>theta_JKL_J!BB2</f>
        <v/>
      </c>
      <c r="AA117">
        <f>theta_JKL_J!BC2</f>
        <v/>
      </c>
      <c r="AB117">
        <f>theta_JKL_J!BD2</f>
        <v/>
      </c>
      <c r="AC117">
        <f>theta_JKL_J!BE2</f>
        <v/>
      </c>
      <c r="AD117">
        <f>theta_JKL_J!BF2</f>
        <v/>
      </c>
    </row>
    <row r="119">
      <c r="A119" t="inlineStr">
        <is>
          <t>Theta (JKL_J)</t>
        </is>
      </c>
      <c r="B119" t="n">
        <v>1994</v>
      </c>
      <c r="C119" t="n">
        <v>1995</v>
      </c>
      <c r="D119" t="n">
        <v>1996</v>
      </c>
      <c r="E119" t="n">
        <v>1997</v>
      </c>
      <c r="F119" t="n">
        <v>1998</v>
      </c>
      <c r="G119" t="n">
        <v>1999</v>
      </c>
      <c r="H119" t="n">
        <v>2000</v>
      </c>
      <c r="I119" t="n">
        <v>2001</v>
      </c>
      <c r="J119" t="n">
        <v>2002</v>
      </c>
      <c r="K119" t="n">
        <v>2003</v>
      </c>
      <c r="L119" t="n">
        <v>2004</v>
      </c>
      <c r="M119" t="n">
        <v>2005</v>
      </c>
      <c r="N119" t="n">
        <v>2006</v>
      </c>
      <c r="O119" t="n">
        <v>2007</v>
      </c>
      <c r="P119" t="n">
        <v>2008</v>
      </c>
      <c r="Q119" t="n">
        <v>2009</v>
      </c>
      <c r="R119" t="n">
        <v>2010</v>
      </c>
      <c r="S119" t="n">
        <v>2011</v>
      </c>
      <c r="T119" t="n">
        <v>2012</v>
      </c>
      <c r="U119" t="n">
        <v>2013</v>
      </c>
      <c r="V119" t="n">
        <v>2014</v>
      </c>
      <c r="W119" t="n">
        <v>2015</v>
      </c>
      <c r="X119" t="n">
        <v>2016</v>
      </c>
      <c r="Y119" t="n">
        <v>2017</v>
      </c>
      <c r="Z119" t="n">
        <v>2018</v>
      </c>
      <c r="AA119" t="n">
        <v>2019</v>
      </c>
      <c r="AB119" t="n">
        <v>2020</v>
      </c>
      <c r="AC119" t="n">
        <v>2021</v>
      </c>
      <c r="AD119" t="n">
        <v>2022</v>
      </c>
    </row>
    <row r="120">
      <c r="A120" t="inlineStr">
        <is>
          <t>Landbrug (010000)</t>
        </is>
      </c>
      <c r="B120">
        <f>B117/$B117</f>
        <v/>
      </c>
      <c r="C120">
        <f>C117/$B117</f>
        <v/>
      </c>
      <c r="D120">
        <f>D117/$B117</f>
        <v/>
      </c>
      <c r="E120">
        <f>E117/$B117</f>
        <v/>
      </c>
      <c r="F120">
        <f>F117/$B117</f>
        <v/>
      </c>
      <c r="G120">
        <f>G117/$B117</f>
        <v/>
      </c>
      <c r="H120">
        <f>H117/$B117</f>
        <v/>
      </c>
      <c r="I120">
        <f>I117/$B117</f>
        <v/>
      </c>
      <c r="J120">
        <f>J117/$B117</f>
        <v/>
      </c>
      <c r="K120">
        <f>K117/$B117</f>
        <v/>
      </c>
      <c r="L120">
        <f>L117/$B117</f>
        <v/>
      </c>
      <c r="M120">
        <f>M117/$B117</f>
        <v/>
      </c>
      <c r="N120">
        <f>N117/$B117</f>
        <v/>
      </c>
      <c r="O120">
        <f>O117/$B117</f>
        <v/>
      </c>
      <c r="P120">
        <f>P117/$B117</f>
        <v/>
      </c>
      <c r="Q120">
        <f>Q117/$B117</f>
        <v/>
      </c>
      <c r="R120">
        <f>R117/$B117</f>
        <v/>
      </c>
      <c r="S120">
        <f>S117/$B117</f>
        <v/>
      </c>
      <c r="T120">
        <f>T117/$B117</f>
        <v/>
      </c>
      <c r="U120">
        <f>U117/$B117</f>
        <v/>
      </c>
      <c r="V120">
        <f>V117/$B117</f>
        <v/>
      </c>
      <c r="W120">
        <f>W117/$B117</f>
        <v/>
      </c>
      <c r="X120">
        <f>X117/$B117</f>
        <v/>
      </c>
      <c r="Y120">
        <f>Y117/$B117</f>
        <v/>
      </c>
      <c r="Z120">
        <f>Z117/$B117</f>
        <v/>
      </c>
      <c r="AA120">
        <f>AA117/$B117</f>
        <v/>
      </c>
      <c r="AB120">
        <f>AB117/$B117</f>
        <v/>
      </c>
      <c r="AC120">
        <f>AC117/$B117</f>
        <v/>
      </c>
      <c r="AD120">
        <f>AD117/$B117</f>
        <v/>
      </c>
    </row>
    <row r="149">
      <c r="A149">
        <f>mu_JKL_KL!A1</f>
        <v/>
      </c>
      <c r="B149">
        <f>mu_JKL_KL!B1</f>
        <v/>
      </c>
      <c r="C149">
        <f>mu_JKL_KL!C1</f>
        <v/>
      </c>
      <c r="D149">
        <f>mu_JKL_KL!D1</f>
        <v/>
      </c>
      <c r="E149">
        <f>mu_JKL_KL!E1</f>
        <v/>
      </c>
      <c r="F149">
        <f>mu_JKL_KL!F1</f>
        <v/>
      </c>
      <c r="G149">
        <f>mu_JKL_KL!G1</f>
        <v/>
      </c>
      <c r="H149">
        <f>mu_JKL_KL!H1</f>
        <v/>
      </c>
      <c r="I149">
        <f>mu_JKL_KL!I1</f>
        <v/>
      </c>
      <c r="J149">
        <f>mu_JKL_KL!J1</f>
        <v/>
      </c>
      <c r="K149">
        <f>mu_JKL_KL!K1</f>
        <v/>
      </c>
      <c r="L149">
        <f>mu_JKL_KL!L1</f>
        <v/>
      </c>
      <c r="M149">
        <f>mu_JKL_KL!M1</f>
        <v/>
      </c>
      <c r="N149">
        <f>mu_JKL_KL!N1</f>
        <v/>
      </c>
      <c r="O149">
        <f>mu_JKL_KL!O1</f>
        <v/>
      </c>
      <c r="P149">
        <f>mu_JKL_KL!P1</f>
        <v/>
      </c>
      <c r="Q149">
        <f>mu_JKL_KL!Q1</f>
        <v/>
      </c>
      <c r="R149">
        <f>mu_JKL_KL!R1</f>
        <v/>
      </c>
      <c r="S149">
        <f>mu_JKL_KL!S1</f>
        <v/>
      </c>
      <c r="T149">
        <f>mu_JKL_KL!T1</f>
        <v/>
      </c>
      <c r="U149">
        <f>mu_JKL_KL!U1</f>
        <v/>
      </c>
      <c r="V149">
        <f>mu_JKL_KL!V1</f>
        <v/>
      </c>
      <c r="W149">
        <f>mu_JKL_KL!W1</f>
        <v/>
      </c>
      <c r="X149">
        <f>mu_JKL_KL!X1</f>
        <v/>
      </c>
      <c r="Y149">
        <f>mu_JKL_KL!Y1</f>
        <v/>
      </c>
      <c r="Z149">
        <f>mu_JKL_KL!Z1</f>
        <v/>
      </c>
      <c r="AA149">
        <f>mu_JKL_KL!AA1</f>
        <v/>
      </c>
      <c r="AB149">
        <f>mu_JKL_KL!AB1</f>
        <v/>
      </c>
      <c r="AC149">
        <f>mu_JKL_KL!AC1</f>
        <v/>
      </c>
      <c r="AD149">
        <f>mu_JKL_KL!AD1</f>
        <v/>
      </c>
    </row>
    <row r="150">
      <c r="A150">
        <f>mu_JKL_KL!A2</f>
        <v/>
      </c>
      <c r="B150">
        <f>mu_JKL_KL!B2</f>
        <v/>
      </c>
      <c r="C150">
        <f>mu_JKL_KL!C2</f>
        <v/>
      </c>
      <c r="D150">
        <f>mu_JKL_KL!D2</f>
        <v/>
      </c>
      <c r="E150">
        <f>mu_JKL_KL!E2</f>
        <v/>
      </c>
      <c r="F150">
        <f>mu_JKL_KL!F2</f>
        <v/>
      </c>
      <c r="G150">
        <f>mu_JKL_KL!G2</f>
        <v/>
      </c>
      <c r="H150">
        <f>mu_JKL_KL!H2</f>
        <v/>
      </c>
      <c r="I150">
        <f>mu_JKL_KL!I2</f>
        <v/>
      </c>
      <c r="J150">
        <f>mu_JKL_KL!J2</f>
        <v/>
      </c>
      <c r="K150">
        <f>mu_JKL_KL!K2</f>
        <v/>
      </c>
      <c r="L150">
        <f>mu_JKL_KL!L2</f>
        <v/>
      </c>
      <c r="M150">
        <f>mu_JKL_KL!M2</f>
        <v/>
      </c>
      <c r="N150">
        <f>mu_JKL_KL!N2</f>
        <v/>
      </c>
      <c r="O150">
        <f>mu_JKL_KL!O2</f>
        <v/>
      </c>
      <c r="P150">
        <f>mu_JKL_KL!P2</f>
        <v/>
      </c>
      <c r="Q150">
        <f>mu_JKL_KL!Q2</f>
        <v/>
      </c>
      <c r="R150">
        <f>mu_JKL_KL!R2</f>
        <v/>
      </c>
      <c r="S150">
        <f>mu_JKL_KL!S2</f>
        <v/>
      </c>
      <c r="T150">
        <f>mu_JKL_KL!T2</f>
        <v/>
      </c>
      <c r="U150">
        <f>mu_JKL_KL!U2</f>
        <v/>
      </c>
      <c r="V150">
        <f>mu_JKL_KL!V2</f>
        <v/>
      </c>
      <c r="W150">
        <f>mu_JKL_KL!W2</f>
        <v/>
      </c>
      <c r="X150">
        <f>mu_JKL_KL!X2</f>
        <v/>
      </c>
      <c r="Y150">
        <f>mu_JKL_KL!Y2</f>
        <v/>
      </c>
      <c r="Z150">
        <f>mu_JKL_KL!Z2</f>
        <v/>
      </c>
      <c r="AA150">
        <f>mu_JKL_KL!AA2</f>
        <v/>
      </c>
      <c r="AB150">
        <f>mu_JKL_KL!AB2</f>
        <v/>
      </c>
      <c r="AC150">
        <f>mu_JKL_KL!AC2</f>
        <v/>
      </c>
      <c r="AD150">
        <f>mu_JKL_KL!AD2</f>
        <v/>
      </c>
    </row>
    <row r="152">
      <c r="A152" t="inlineStr">
        <is>
          <t>Mu (JKL_KL)</t>
        </is>
      </c>
      <c r="B152" t="n">
        <v>1994</v>
      </c>
      <c r="C152" t="n">
        <v>1995</v>
      </c>
      <c r="D152" t="n">
        <v>1996</v>
      </c>
      <c r="E152" t="n">
        <v>1997</v>
      </c>
      <c r="F152" t="n">
        <v>1998</v>
      </c>
      <c r="G152" t="n">
        <v>1999</v>
      </c>
      <c r="H152" t="n">
        <v>2000</v>
      </c>
      <c r="I152" t="n">
        <v>2001</v>
      </c>
      <c r="J152" t="n">
        <v>2002</v>
      </c>
      <c r="K152" t="n">
        <v>2003</v>
      </c>
      <c r="L152" t="n">
        <v>2004</v>
      </c>
      <c r="M152" t="n">
        <v>2005</v>
      </c>
      <c r="N152" t="n">
        <v>2006</v>
      </c>
      <c r="O152" t="n">
        <v>2007</v>
      </c>
      <c r="P152" t="n">
        <v>2008</v>
      </c>
      <c r="Q152" t="n">
        <v>2009</v>
      </c>
      <c r="R152" t="n">
        <v>2010</v>
      </c>
      <c r="S152" t="n">
        <v>2011</v>
      </c>
      <c r="T152" t="n">
        <v>2012</v>
      </c>
      <c r="U152" t="n">
        <v>2013</v>
      </c>
      <c r="V152" t="n">
        <v>2014</v>
      </c>
      <c r="W152" t="n">
        <v>2015</v>
      </c>
      <c r="X152" t="n">
        <v>2016</v>
      </c>
      <c r="Y152" t="n">
        <v>2017</v>
      </c>
      <c r="Z152" t="n">
        <v>2018</v>
      </c>
      <c r="AA152" t="n">
        <v>2019</v>
      </c>
      <c r="AB152" t="n">
        <v>2020</v>
      </c>
      <c r="AC152" t="n">
        <v>2021</v>
      </c>
      <c r="AD152" t="n">
        <v>2022</v>
      </c>
    </row>
    <row r="153">
      <c r="A153" t="inlineStr">
        <is>
          <t>Landbrug (010000)</t>
        </is>
      </c>
      <c r="B153">
        <f>B150/$B150</f>
        <v/>
      </c>
      <c r="C153">
        <f>C150/$B150</f>
        <v/>
      </c>
      <c r="D153">
        <f>D150/$B150</f>
        <v/>
      </c>
      <c r="E153">
        <f>E150/$B150</f>
        <v/>
      </c>
      <c r="F153">
        <f>F150/$B150</f>
        <v/>
      </c>
      <c r="G153">
        <f>G150/$B150</f>
        <v/>
      </c>
      <c r="H153">
        <f>H150/$B150</f>
        <v/>
      </c>
      <c r="I153">
        <f>I150/$B150</f>
        <v/>
      </c>
      <c r="J153">
        <f>J150/$B150</f>
        <v/>
      </c>
      <c r="K153">
        <f>K150/$B150</f>
        <v/>
      </c>
      <c r="L153">
        <f>L150/$B150</f>
        <v/>
      </c>
      <c r="M153">
        <f>M150/$B150</f>
        <v/>
      </c>
      <c r="N153">
        <f>N150/$B150</f>
        <v/>
      </c>
      <c r="O153">
        <f>O150/$B150</f>
        <v/>
      </c>
      <c r="P153">
        <f>P150/$B150</f>
        <v/>
      </c>
      <c r="Q153">
        <f>Q150/$B150</f>
        <v/>
      </c>
      <c r="R153">
        <f>R150/$B150</f>
        <v/>
      </c>
      <c r="S153">
        <f>S150/$B150</f>
        <v/>
      </c>
      <c r="T153">
        <f>T150/$B150</f>
        <v/>
      </c>
      <c r="U153">
        <f>U150/$B150</f>
        <v/>
      </c>
      <c r="V153">
        <f>V150/$B150</f>
        <v/>
      </c>
      <c r="W153">
        <f>W150/$B150</f>
        <v/>
      </c>
      <c r="X153">
        <f>X150/$B150</f>
        <v/>
      </c>
      <c r="Y153">
        <f>Y150/$B150</f>
        <v/>
      </c>
      <c r="Z153">
        <f>Z150/$B150</f>
        <v/>
      </c>
      <c r="AA153">
        <f>AA150/$B150</f>
        <v/>
      </c>
      <c r="AB153">
        <f>AB150/$B150</f>
        <v/>
      </c>
      <c r="AC153">
        <f>AC150/$B150</f>
        <v/>
      </c>
      <c r="AD153">
        <f>AD150/$B150</f>
        <v/>
      </c>
    </row>
    <row r="155">
      <c r="A155">
        <f>theta_JKL_J!A1</f>
        <v/>
      </c>
      <c r="B155">
        <f>theta_JKL_KL!B1</f>
        <v/>
      </c>
      <c r="C155">
        <f>theta_JKL_KL!C1</f>
        <v/>
      </c>
      <c r="D155">
        <f>theta_JKL_KL!D1</f>
        <v/>
      </c>
      <c r="E155">
        <f>theta_JKL_KL!E1</f>
        <v/>
      </c>
      <c r="F155">
        <f>theta_JKL_KL!F1</f>
        <v/>
      </c>
      <c r="G155">
        <f>theta_JKL_KL!G1</f>
        <v/>
      </c>
      <c r="H155">
        <f>theta_JKL_KL!H1</f>
        <v/>
      </c>
      <c r="I155">
        <f>theta_JKL_KL!I1</f>
        <v/>
      </c>
      <c r="J155">
        <f>theta_JKL_KL!J1</f>
        <v/>
      </c>
      <c r="K155">
        <f>theta_JKL_KL!K1</f>
        <v/>
      </c>
      <c r="L155">
        <f>theta_JKL_KL!L1</f>
        <v/>
      </c>
      <c r="M155">
        <f>theta_JKL_KL!M1</f>
        <v/>
      </c>
      <c r="N155">
        <f>theta_JKL_KL!N1</f>
        <v/>
      </c>
      <c r="O155">
        <f>theta_JKL_KL!O1</f>
        <v/>
      </c>
      <c r="P155">
        <f>theta_JKL_KL!P1</f>
        <v/>
      </c>
      <c r="Q155">
        <f>theta_JKL_KL!Q1</f>
        <v/>
      </c>
      <c r="R155">
        <f>theta_JKL_KL!R1</f>
        <v/>
      </c>
      <c r="S155">
        <f>theta_JKL_KL!S1</f>
        <v/>
      </c>
      <c r="T155">
        <f>theta_JKL_KL!T1</f>
        <v/>
      </c>
      <c r="U155">
        <f>theta_JKL_KL!U1</f>
        <v/>
      </c>
      <c r="V155">
        <f>theta_JKL_KL!V1</f>
        <v/>
      </c>
      <c r="W155">
        <f>theta_JKL_KL!W1</f>
        <v/>
      </c>
      <c r="X155">
        <f>theta_JKL_KL!X1</f>
        <v/>
      </c>
      <c r="Y155">
        <f>theta_JKL_KL!Y1</f>
        <v/>
      </c>
      <c r="Z155">
        <f>theta_JKL_KL!Z1</f>
        <v/>
      </c>
      <c r="AA155">
        <f>theta_JKL_KL!AA1</f>
        <v/>
      </c>
      <c r="AB155">
        <f>theta_JKL_KL!AB1</f>
        <v/>
      </c>
      <c r="AC155">
        <f>theta_JKL_KL!AC1</f>
        <v/>
      </c>
      <c r="AD155">
        <f>theta_JKL_KL!AD1</f>
        <v/>
      </c>
    </row>
    <row r="156">
      <c r="A156">
        <f>theta_JKL_J!A2</f>
        <v/>
      </c>
      <c r="B156">
        <f>theta_JKL_KL!B2</f>
        <v/>
      </c>
      <c r="C156">
        <f>theta_JKL_KL!C2</f>
        <v/>
      </c>
      <c r="D156">
        <f>theta_JKL_KL!D2</f>
        <v/>
      </c>
      <c r="E156">
        <f>theta_JKL_KL!E2</f>
        <v/>
      </c>
      <c r="F156">
        <f>theta_JKL_KL!F2</f>
        <v/>
      </c>
      <c r="G156">
        <f>theta_JKL_KL!G2</f>
        <v/>
      </c>
      <c r="H156">
        <f>theta_JKL_KL!H2</f>
        <v/>
      </c>
      <c r="I156">
        <f>theta_JKL_KL!I2</f>
        <v/>
      </c>
      <c r="J156">
        <f>theta_JKL_KL!J2</f>
        <v/>
      </c>
      <c r="K156">
        <f>theta_JKL_KL!K2</f>
        <v/>
      </c>
      <c r="L156">
        <f>theta_JKL_KL!L2</f>
        <v/>
      </c>
      <c r="M156">
        <f>theta_JKL_KL!M2</f>
        <v/>
      </c>
      <c r="N156">
        <f>theta_JKL_KL!N2</f>
        <v/>
      </c>
      <c r="O156">
        <f>theta_JKL_KL!O2</f>
        <v/>
      </c>
      <c r="P156">
        <f>theta_JKL_KL!P2</f>
        <v/>
      </c>
      <c r="Q156">
        <f>theta_JKL_KL!Q2</f>
        <v/>
      </c>
      <c r="R156">
        <f>theta_JKL_KL!R2</f>
        <v/>
      </c>
      <c r="S156">
        <f>theta_JKL_KL!S2</f>
        <v/>
      </c>
      <c r="T156">
        <f>theta_JKL_KL!T2</f>
        <v/>
      </c>
      <c r="U156">
        <f>theta_JKL_KL!U2</f>
        <v/>
      </c>
      <c r="V156">
        <f>theta_JKL_KL!V2</f>
        <v/>
      </c>
      <c r="W156">
        <f>theta_JKL_KL!W2</f>
        <v/>
      </c>
      <c r="X156">
        <f>theta_JKL_KL!X2</f>
        <v/>
      </c>
      <c r="Y156">
        <f>theta_JKL_KL!Y2</f>
        <v/>
      </c>
      <c r="Z156">
        <f>theta_JKL_KL!Z2</f>
        <v/>
      </c>
      <c r="AA156">
        <f>theta_JKL_KL!AA2</f>
        <v/>
      </c>
      <c r="AB156">
        <f>theta_JKL_KL!AB2</f>
        <v/>
      </c>
      <c r="AC156">
        <f>theta_JKL_KL!AC2</f>
        <v/>
      </c>
      <c r="AD156">
        <f>theta_JKL_KL!AD2</f>
        <v/>
      </c>
    </row>
    <row r="158">
      <c r="A158" t="inlineStr">
        <is>
          <t>Theta (JKL_KL)</t>
        </is>
      </c>
      <c r="B158" t="n">
        <v>1994</v>
      </c>
      <c r="C158" t="n">
        <v>1995</v>
      </c>
      <c r="D158" t="n">
        <v>1996</v>
      </c>
      <c r="E158" t="n">
        <v>1997</v>
      </c>
      <c r="F158" t="n">
        <v>1998</v>
      </c>
      <c r="G158" t="n">
        <v>1999</v>
      </c>
      <c r="H158" t="n">
        <v>2000</v>
      </c>
      <c r="I158" t="n">
        <v>2001</v>
      </c>
      <c r="J158" t="n">
        <v>2002</v>
      </c>
      <c r="K158" t="n">
        <v>2003</v>
      </c>
      <c r="L158" t="n">
        <v>2004</v>
      </c>
      <c r="M158" t="n">
        <v>2005</v>
      </c>
      <c r="N158" t="n">
        <v>2006</v>
      </c>
      <c r="O158" t="n">
        <v>2007</v>
      </c>
      <c r="P158" t="n">
        <v>2008</v>
      </c>
      <c r="Q158" t="n">
        <v>2009</v>
      </c>
      <c r="R158" t="n">
        <v>2010</v>
      </c>
      <c r="S158" t="n">
        <v>2011</v>
      </c>
      <c r="T158" t="n">
        <v>2012</v>
      </c>
      <c r="U158" t="n">
        <v>2013</v>
      </c>
      <c r="V158" t="n">
        <v>2014</v>
      </c>
      <c r="W158" t="n">
        <v>2015</v>
      </c>
      <c r="X158" t="n">
        <v>2016</v>
      </c>
      <c r="Y158" t="n">
        <v>2017</v>
      </c>
      <c r="Z158" t="n">
        <v>2018</v>
      </c>
      <c r="AA158" t="n">
        <v>2019</v>
      </c>
      <c r="AB158" t="n">
        <v>2020</v>
      </c>
      <c r="AC158" t="n">
        <v>2021</v>
      </c>
      <c r="AD158" t="n">
        <v>2022</v>
      </c>
    </row>
    <row r="159">
      <c r="A159" t="inlineStr">
        <is>
          <t>Landbrug (010000)</t>
        </is>
      </c>
      <c r="B159">
        <f>B156/$B156</f>
        <v/>
      </c>
      <c r="C159">
        <f>C156/$B156</f>
        <v/>
      </c>
      <c r="D159">
        <f>D156/$B156</f>
        <v/>
      </c>
      <c r="E159">
        <f>E156/$B156</f>
        <v/>
      </c>
      <c r="F159">
        <f>F156/$B156</f>
        <v/>
      </c>
      <c r="G159">
        <f>G156/$B156</f>
        <v/>
      </c>
      <c r="H159">
        <f>H156/$B156</f>
        <v/>
      </c>
      <c r="I159">
        <f>I156/$B156</f>
        <v/>
      </c>
      <c r="J159">
        <f>J156/$B156</f>
        <v/>
      </c>
      <c r="K159">
        <f>K156/$B156</f>
        <v/>
      </c>
      <c r="L159">
        <f>L156/$B156</f>
        <v/>
      </c>
      <c r="M159">
        <f>M156/$B156</f>
        <v/>
      </c>
      <c r="N159">
        <f>N156/$B156</f>
        <v/>
      </c>
      <c r="O159">
        <f>O156/$B156</f>
        <v/>
      </c>
      <c r="P159">
        <f>P156/$B156</f>
        <v/>
      </c>
      <c r="Q159">
        <f>Q156/$B156</f>
        <v/>
      </c>
      <c r="R159">
        <f>R156/$B156</f>
        <v/>
      </c>
      <c r="S159">
        <f>S156/$B156</f>
        <v/>
      </c>
      <c r="T159">
        <f>T156/$B156</f>
        <v/>
      </c>
      <c r="U159">
        <f>U156/$B156</f>
        <v/>
      </c>
      <c r="V159">
        <f>V156/$B156</f>
        <v/>
      </c>
      <c r="W159">
        <f>W156/$B156</f>
        <v/>
      </c>
      <c r="X159">
        <f>X156/$B156</f>
        <v/>
      </c>
      <c r="Y159">
        <f>Y156/$B156</f>
        <v/>
      </c>
      <c r="Z159">
        <f>Z156/$B156</f>
        <v/>
      </c>
      <c r="AA159">
        <f>AA156/$B156</f>
        <v/>
      </c>
      <c r="AB159">
        <f>AB156/$B156</f>
        <v/>
      </c>
      <c r="AC159">
        <f>AC156/$B156</f>
        <v/>
      </c>
      <c r="AD159">
        <f>AD156/$B156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"/>
  <sheetViews>
    <sheetView topLeftCell="A70" zoomScale="90" zoomScaleNormal="90" workbookViewId="0">
      <selection activeCell="B65" sqref="B65"/>
    </sheetView>
  </sheetViews>
  <sheetFormatPr baseColWidth="8" defaultRowHeight="14.25"/>
  <cols>
    <col width="9" customWidth="1" style="6" min="1" max="1"/>
    <col width="11.625" bestFit="1" customWidth="1" style="6" min="2" max="2"/>
    <col width="9" customWidth="1" style="6" min="3" max="10"/>
    <col width="9" customWidth="1" style="6" min="11" max="16384"/>
  </cols>
  <sheetData>
    <row r="1">
      <c r="A1">
        <f>theta_KL_L!A1</f>
        <v/>
      </c>
      <c r="B1">
        <f>theta_KL_L!AD1</f>
        <v/>
      </c>
      <c r="C1">
        <f>theta_KL_L!AE1</f>
        <v/>
      </c>
      <c r="D1">
        <f>theta_KL_L!AF1</f>
        <v/>
      </c>
      <c r="E1">
        <f>theta_KL_L!AG1</f>
        <v/>
      </c>
      <c r="F1">
        <f>theta_KL_L!AH1</f>
        <v/>
      </c>
      <c r="G1">
        <f>theta_KL_L!AI1</f>
        <v/>
      </c>
      <c r="H1">
        <f>theta_KL_L!AJ1</f>
        <v/>
      </c>
      <c r="I1">
        <f>theta_KL_L!AK1</f>
        <v/>
      </c>
      <c r="J1">
        <f>theta_KL_L!AL1</f>
        <v/>
      </c>
      <c r="K1">
        <f>theta_KL_L!AM1</f>
        <v/>
      </c>
      <c r="L1">
        <f>theta_KL_L!AN1</f>
        <v/>
      </c>
      <c r="M1">
        <f>theta_KL_L!AO1</f>
        <v/>
      </c>
      <c r="N1">
        <f>theta_KL_L!AP1</f>
        <v/>
      </c>
      <c r="O1">
        <f>theta_KL_L!AQ1</f>
        <v/>
      </c>
      <c r="P1">
        <f>theta_KL_L!AR1</f>
        <v/>
      </c>
      <c r="Q1">
        <f>theta_KL_L!AS1</f>
        <v/>
      </c>
      <c r="R1">
        <f>theta_KL_L!AT1</f>
        <v/>
      </c>
      <c r="S1">
        <f>theta_KL_L!AU1</f>
        <v/>
      </c>
      <c r="T1">
        <f>theta_KL_L!AV1</f>
        <v/>
      </c>
      <c r="U1">
        <f>theta_KL_L!AW1</f>
        <v/>
      </c>
      <c r="V1">
        <f>theta_KL_L!AX1</f>
        <v/>
      </c>
      <c r="W1">
        <f>theta_KL_L!AY1</f>
        <v/>
      </c>
      <c r="X1">
        <f>theta_KL_L!AZ1</f>
        <v/>
      </c>
      <c r="Y1">
        <f>theta_KL_L!BA1</f>
        <v/>
      </c>
      <c r="Z1">
        <f>theta_KL_L!BB1</f>
        <v/>
      </c>
      <c r="AA1">
        <f>theta_KL_L!BC1</f>
        <v/>
      </c>
      <c r="AB1">
        <f>theta_KL_L!BD1</f>
        <v/>
      </c>
      <c r="AC1">
        <f>theta_KL_L!BE1</f>
        <v/>
      </c>
      <c r="AD1">
        <f>theta_KL_L!BF1</f>
        <v/>
      </c>
    </row>
    <row r="2">
      <c r="A2">
        <f>theta_KL_L!A2</f>
        <v/>
      </c>
      <c r="B2">
        <f>theta_Y_JKL!AC2</f>
        <v/>
      </c>
      <c r="C2">
        <f>theta_Y_JKL!AD2</f>
        <v/>
      </c>
      <c r="D2">
        <f>theta_Y_JKL!AE2</f>
        <v/>
      </c>
      <c r="E2">
        <f>theta_Y_JKL!AF2</f>
        <v/>
      </c>
      <c r="F2">
        <f>theta_Y_JKL!AG2</f>
        <v/>
      </c>
      <c r="G2">
        <f>theta_Y_JKL!AH2</f>
        <v/>
      </c>
      <c r="H2">
        <f>theta_Y_JKL!AI2</f>
        <v/>
      </c>
      <c r="I2">
        <f>theta_Y_JKL!AJ2</f>
        <v/>
      </c>
      <c r="J2">
        <f>theta_Y_JKL!AK2</f>
        <v/>
      </c>
      <c r="K2">
        <f>theta_Y_JKL!AL2</f>
        <v/>
      </c>
      <c r="L2">
        <f>theta_Y_JKL!AM2</f>
        <v/>
      </c>
      <c r="M2">
        <f>theta_Y_JKL!AN2</f>
        <v/>
      </c>
      <c r="N2">
        <f>theta_Y_JKL!AO2</f>
        <v/>
      </c>
      <c r="O2">
        <f>theta_Y_JKL!AP2</f>
        <v/>
      </c>
      <c r="P2">
        <f>theta_Y_JKL!AQ2</f>
        <v/>
      </c>
      <c r="Q2">
        <f>theta_Y_JKL!AR2</f>
        <v/>
      </c>
      <c r="R2">
        <f>theta_Y_JKL!AS2</f>
        <v/>
      </c>
      <c r="S2">
        <f>theta_Y_JKL!AT2</f>
        <v/>
      </c>
      <c r="T2">
        <f>theta_Y_JKL!AU2</f>
        <v/>
      </c>
      <c r="U2">
        <f>theta_Y_JKL!AV2</f>
        <v/>
      </c>
      <c r="V2">
        <f>theta_Y_JKL!AW2</f>
        <v/>
      </c>
      <c r="W2">
        <f>theta_Y_JKL!AX2</f>
        <v/>
      </c>
      <c r="X2">
        <f>theta_Y_JKL!AY2</f>
        <v/>
      </c>
      <c r="Y2">
        <f>theta_Y_JKL!AZ2</f>
        <v/>
      </c>
      <c r="Z2">
        <f>theta_Y_JKL!BA2</f>
        <v/>
      </c>
      <c r="AA2">
        <f>theta_Y_JKL!BB2</f>
        <v/>
      </c>
      <c r="AB2">
        <f>theta_Y_JKL!BC2</f>
        <v/>
      </c>
      <c r="AC2">
        <f>theta_Y_JKL!BD2</f>
        <v/>
      </c>
      <c r="AD2">
        <f>theta_Y_JKL!BE2</f>
        <v/>
      </c>
    </row>
    <row r="3">
      <c r="A3">
        <f>theta_KL_L!A3</f>
        <v/>
      </c>
      <c r="B3">
        <f>theta_Y_KL!AC3</f>
        <v/>
      </c>
      <c r="C3">
        <f>theta_Y_KL!AD3</f>
        <v/>
      </c>
      <c r="D3">
        <f>theta_Y_KL!AE3</f>
        <v/>
      </c>
      <c r="E3">
        <f>theta_Y_KL!AF3</f>
        <v/>
      </c>
      <c r="F3">
        <f>theta_Y_KL!AG3</f>
        <v/>
      </c>
      <c r="G3">
        <f>theta_Y_KL!AH3</f>
        <v/>
      </c>
      <c r="H3">
        <f>theta_Y_KL!AI3</f>
        <v/>
      </c>
      <c r="I3">
        <f>theta_Y_KL!AJ3</f>
        <v/>
      </c>
      <c r="J3">
        <f>theta_Y_KL!AK3</f>
        <v/>
      </c>
      <c r="K3">
        <f>theta_Y_KL!AL3</f>
        <v/>
      </c>
      <c r="L3">
        <f>theta_Y_KL!AM3</f>
        <v/>
      </c>
      <c r="M3">
        <f>theta_Y_KL!AN3</f>
        <v/>
      </c>
      <c r="N3">
        <f>theta_Y_KL!AO3</f>
        <v/>
      </c>
      <c r="O3">
        <f>theta_Y_KL!AP3</f>
        <v/>
      </c>
      <c r="P3">
        <f>theta_Y_KL!AQ3</f>
        <v/>
      </c>
      <c r="Q3">
        <f>theta_Y_KL!AR3</f>
        <v/>
      </c>
      <c r="R3">
        <f>theta_Y_KL!AS3</f>
        <v/>
      </c>
      <c r="S3">
        <f>theta_Y_KL!AT3</f>
        <v/>
      </c>
      <c r="T3">
        <f>theta_Y_KL!AU3</f>
        <v/>
      </c>
      <c r="U3">
        <f>theta_Y_KL!AV3</f>
        <v/>
      </c>
      <c r="V3">
        <f>theta_Y_KL!AW3</f>
        <v/>
      </c>
      <c r="W3">
        <f>theta_Y_KL!AX3</f>
        <v/>
      </c>
      <c r="X3">
        <f>theta_Y_KL!AY3</f>
        <v/>
      </c>
      <c r="Y3">
        <f>theta_Y_KL!AZ3</f>
        <v/>
      </c>
      <c r="Z3">
        <f>theta_Y_KL!BA3</f>
        <v/>
      </c>
      <c r="AA3">
        <f>theta_Y_KL!BB3</f>
        <v/>
      </c>
      <c r="AB3">
        <f>theta_Y_KL!BC3</f>
        <v/>
      </c>
      <c r="AC3">
        <f>theta_Y_KL!BD3</f>
        <v/>
      </c>
      <c r="AD3">
        <f>theta_Y_KL!BE3</f>
        <v/>
      </c>
    </row>
    <row r="4">
      <c r="A4">
        <f>theta_KL_L!A4</f>
        <v/>
      </c>
      <c r="B4">
        <f>theta_Y_KL!AC4</f>
        <v/>
      </c>
      <c r="C4">
        <f>theta_Y_KL!AD4</f>
        <v/>
      </c>
      <c r="D4">
        <f>theta_Y_KL!AE4</f>
        <v/>
      </c>
      <c r="E4">
        <f>theta_Y_KL!AF4</f>
        <v/>
      </c>
      <c r="F4">
        <f>theta_Y_KL!AG4</f>
        <v/>
      </c>
      <c r="G4">
        <f>theta_Y_KL!AH4</f>
        <v/>
      </c>
      <c r="H4">
        <f>theta_Y_KL!AI4</f>
        <v/>
      </c>
      <c r="I4">
        <f>theta_Y_KL!AJ4</f>
        <v/>
      </c>
      <c r="J4">
        <f>theta_Y_KL!AK4</f>
        <v/>
      </c>
      <c r="K4">
        <f>theta_Y_KL!AL4</f>
        <v/>
      </c>
      <c r="L4">
        <f>theta_Y_KL!AM4</f>
        <v/>
      </c>
      <c r="M4">
        <f>theta_Y_KL!AN4</f>
        <v/>
      </c>
      <c r="N4">
        <f>theta_Y_KL!AO4</f>
        <v/>
      </c>
      <c r="O4">
        <f>theta_Y_KL!AP4</f>
        <v/>
      </c>
      <c r="P4">
        <f>theta_Y_KL!AQ4</f>
        <v/>
      </c>
      <c r="Q4">
        <f>theta_Y_KL!AR4</f>
        <v/>
      </c>
      <c r="R4">
        <f>theta_Y_KL!AS4</f>
        <v/>
      </c>
      <c r="S4">
        <f>theta_Y_KL!AT4</f>
        <v/>
      </c>
      <c r="T4">
        <f>theta_Y_KL!AU4</f>
        <v/>
      </c>
      <c r="U4">
        <f>theta_Y_KL!AV4</f>
        <v/>
      </c>
      <c r="V4">
        <f>theta_Y_KL!AW4</f>
        <v/>
      </c>
      <c r="W4">
        <f>theta_Y_KL!AX4</f>
        <v/>
      </c>
      <c r="X4">
        <f>theta_Y_KL!AY4</f>
        <v/>
      </c>
      <c r="Y4">
        <f>theta_Y_KL!AZ4</f>
        <v/>
      </c>
      <c r="Z4">
        <f>theta_Y_KL!BA4</f>
        <v/>
      </c>
      <c r="AA4">
        <f>theta_Y_KL!BB4</f>
        <v/>
      </c>
      <c r="AB4">
        <f>theta_Y_KL!BC4</f>
        <v/>
      </c>
      <c r="AC4">
        <f>theta_Y_KL!BD4</f>
        <v/>
      </c>
      <c r="AD4">
        <f>theta_Y_KL!BE4</f>
        <v/>
      </c>
    </row>
    <row r="5">
      <c r="A5">
        <f>theta_KL_L!A5</f>
        <v/>
      </c>
      <c r="B5">
        <f>theta_Y_KL!AC5</f>
        <v/>
      </c>
      <c r="C5">
        <f>theta_Y_KL!AD5</f>
        <v/>
      </c>
      <c r="D5">
        <f>theta_Y_KL!AE5</f>
        <v/>
      </c>
      <c r="E5">
        <f>theta_Y_KL!AF5</f>
        <v/>
      </c>
      <c r="F5">
        <f>theta_Y_KL!AG5</f>
        <v/>
      </c>
      <c r="G5">
        <f>theta_Y_KL!AH5</f>
        <v/>
      </c>
      <c r="H5">
        <f>theta_Y_KL!AI5</f>
        <v/>
      </c>
      <c r="I5">
        <f>theta_Y_KL!AJ5</f>
        <v/>
      </c>
      <c r="J5">
        <f>theta_Y_KL!AK5</f>
        <v/>
      </c>
      <c r="K5">
        <f>theta_Y_KL!AL5</f>
        <v/>
      </c>
      <c r="L5">
        <f>theta_Y_KL!AM5</f>
        <v/>
      </c>
      <c r="M5">
        <f>theta_Y_KL!AN5</f>
        <v/>
      </c>
      <c r="N5">
        <f>theta_Y_KL!AO5</f>
        <v/>
      </c>
      <c r="O5">
        <f>theta_Y_KL!AP5</f>
        <v/>
      </c>
      <c r="P5">
        <f>theta_Y_KL!AQ5</f>
        <v/>
      </c>
      <c r="Q5">
        <f>theta_Y_KL!AR5</f>
        <v/>
      </c>
      <c r="R5">
        <f>theta_Y_KL!AS5</f>
        <v/>
      </c>
      <c r="S5">
        <f>theta_Y_KL!AT5</f>
        <v/>
      </c>
      <c r="T5">
        <f>theta_Y_KL!AU5</f>
        <v/>
      </c>
      <c r="U5">
        <f>theta_Y_KL!AV5</f>
        <v/>
      </c>
      <c r="V5">
        <f>theta_Y_KL!AW5</f>
        <v/>
      </c>
      <c r="W5">
        <f>theta_Y_KL!AX5</f>
        <v/>
      </c>
      <c r="X5">
        <f>theta_Y_KL!AY5</f>
        <v/>
      </c>
      <c r="Y5">
        <f>theta_Y_KL!AZ5</f>
        <v/>
      </c>
      <c r="Z5">
        <f>theta_Y_KL!BA5</f>
        <v/>
      </c>
      <c r="AA5">
        <f>theta_Y_KL!BB5</f>
        <v/>
      </c>
      <c r="AB5">
        <f>theta_Y_KL!BC5</f>
        <v/>
      </c>
      <c r="AC5">
        <f>theta_Y_KL!BD5</f>
        <v/>
      </c>
      <c r="AD5">
        <f>theta_Y_KL!BE5</f>
        <v/>
      </c>
    </row>
    <row r="6">
      <c r="A6">
        <f>theta_KL_L!A6</f>
        <v/>
      </c>
      <c r="B6">
        <f>theta_Y_KL!AC6</f>
        <v/>
      </c>
      <c r="C6">
        <f>theta_Y_KL!AD6</f>
        <v/>
      </c>
      <c r="D6">
        <f>theta_Y_KL!AE6</f>
        <v/>
      </c>
      <c r="E6">
        <f>theta_Y_KL!AF6</f>
        <v/>
      </c>
      <c r="F6">
        <f>theta_Y_KL!AG6</f>
        <v/>
      </c>
      <c r="G6">
        <f>theta_Y_KL!AH6</f>
        <v/>
      </c>
      <c r="H6">
        <f>theta_Y_KL!AI6</f>
        <v/>
      </c>
      <c r="I6">
        <f>theta_Y_KL!AJ6</f>
        <v/>
      </c>
      <c r="J6">
        <f>theta_Y_KL!AK6</f>
        <v/>
      </c>
      <c r="K6">
        <f>theta_Y_KL!AL6</f>
        <v/>
      </c>
      <c r="L6">
        <f>theta_Y_KL!AM6</f>
        <v/>
      </c>
      <c r="M6">
        <f>theta_Y_KL!AN6</f>
        <v/>
      </c>
      <c r="N6">
        <f>theta_Y_KL!AO6</f>
        <v/>
      </c>
      <c r="O6">
        <f>theta_Y_KL!AP6</f>
        <v/>
      </c>
      <c r="P6">
        <f>theta_Y_KL!AQ6</f>
        <v/>
      </c>
      <c r="Q6">
        <f>theta_Y_KL!AR6</f>
        <v/>
      </c>
      <c r="R6">
        <f>theta_Y_KL!AS6</f>
        <v/>
      </c>
      <c r="S6">
        <f>theta_Y_KL!AT6</f>
        <v/>
      </c>
      <c r="T6">
        <f>theta_Y_KL!AU6</f>
        <v/>
      </c>
      <c r="U6">
        <f>theta_Y_KL!AV6</f>
        <v/>
      </c>
      <c r="V6">
        <f>theta_Y_KL!AW6</f>
        <v/>
      </c>
      <c r="W6">
        <f>theta_Y_KL!AX6</f>
        <v/>
      </c>
      <c r="X6">
        <f>theta_Y_KL!AY6</f>
        <v/>
      </c>
      <c r="Y6">
        <f>theta_Y_KL!AZ6</f>
        <v/>
      </c>
      <c r="Z6">
        <f>theta_Y_KL!BA6</f>
        <v/>
      </c>
      <c r="AA6">
        <f>theta_Y_KL!BB6</f>
        <v/>
      </c>
      <c r="AB6">
        <f>theta_Y_KL!BC6</f>
        <v/>
      </c>
      <c r="AC6">
        <f>theta_Y_KL!BD6</f>
        <v/>
      </c>
      <c r="AD6">
        <f>theta_Y_KL!BE6</f>
        <v/>
      </c>
    </row>
    <row r="8">
      <c r="A8" t="inlineStr">
        <is>
          <t>Indeks 1994=1</t>
        </is>
      </c>
      <c r="B8" t="n">
        <v>1994</v>
      </c>
      <c r="C8" t="n">
        <v>1995</v>
      </c>
      <c r="D8" t="n">
        <v>1996</v>
      </c>
      <c r="E8" t="n">
        <v>1997</v>
      </c>
      <c r="F8" t="n">
        <v>1998</v>
      </c>
      <c r="G8" t="n">
        <v>1999</v>
      </c>
      <c r="H8" t="n">
        <v>2000</v>
      </c>
      <c r="I8" t="n">
        <v>2001</v>
      </c>
      <c r="J8" t="n">
        <v>2002</v>
      </c>
      <c r="K8" t="n">
        <v>2003</v>
      </c>
      <c r="L8" t="n">
        <v>2004</v>
      </c>
      <c r="M8" t="n">
        <v>2005</v>
      </c>
      <c r="N8" t="n">
        <v>2006</v>
      </c>
      <c r="O8" t="n">
        <v>2007</v>
      </c>
      <c r="P8" t="n">
        <v>2008</v>
      </c>
      <c r="Q8" t="n">
        <v>2009</v>
      </c>
      <c r="R8" t="n">
        <v>2010</v>
      </c>
      <c r="S8" t="n">
        <v>2011</v>
      </c>
      <c r="T8" t="n">
        <v>2012</v>
      </c>
      <c r="U8" t="n">
        <v>2013</v>
      </c>
      <c r="V8" t="n">
        <v>2014</v>
      </c>
      <c r="W8" t="n">
        <v>2015</v>
      </c>
      <c r="X8" t="n">
        <v>2016</v>
      </c>
      <c r="Y8" t="n">
        <v>2017</v>
      </c>
      <c r="Z8" t="n">
        <v>2018</v>
      </c>
      <c r="AA8" t="n">
        <v>2019</v>
      </c>
      <c r="AB8" t="n">
        <v>2020</v>
      </c>
      <c r="AC8" t="n">
        <v>2021</v>
      </c>
      <c r="AD8" t="n">
        <v>2022</v>
      </c>
    </row>
    <row r="9">
      <c r="A9" t="inlineStr">
        <is>
          <t>Landbrug (010000) (JKL)</t>
        </is>
      </c>
      <c r="B9">
        <f>B2/$B2</f>
        <v/>
      </c>
      <c r="C9">
        <f>C2/$B2</f>
        <v/>
      </c>
      <c r="D9">
        <f>D2/$B2</f>
        <v/>
      </c>
      <c r="E9">
        <f>E2/$B2</f>
        <v/>
      </c>
      <c r="F9">
        <f>F2/$B2</f>
        <v/>
      </c>
      <c r="G9">
        <f>G2/$B2</f>
        <v/>
      </c>
      <c r="H9">
        <f>H2/$B2</f>
        <v/>
      </c>
      <c r="I9">
        <f>I2/$B2</f>
        <v/>
      </c>
      <c r="J9">
        <f>J2/$B2</f>
        <v/>
      </c>
      <c r="K9">
        <f>K2/$B2</f>
        <v/>
      </c>
      <c r="L9">
        <f>L2/$B2</f>
        <v/>
      </c>
      <c r="M9">
        <f>M2/$B2</f>
        <v/>
      </c>
      <c r="N9">
        <f>N2/$B2</f>
        <v/>
      </c>
      <c r="O9">
        <f>O2/$B2</f>
        <v/>
      </c>
      <c r="P9">
        <f>P2/$B2</f>
        <v/>
      </c>
      <c r="Q9">
        <f>Q2/$B2</f>
        <v/>
      </c>
      <c r="R9">
        <f>R2/$B2</f>
        <v/>
      </c>
      <c r="S9">
        <f>S2/$B2</f>
        <v/>
      </c>
      <c r="T9">
        <f>T2/$B2</f>
        <v/>
      </c>
      <c r="U9">
        <f>U2/$B2</f>
        <v/>
      </c>
      <c r="V9">
        <f>V2/$B2</f>
        <v/>
      </c>
      <c r="W9">
        <f>W2/$B2</f>
        <v/>
      </c>
      <c r="X9">
        <f>X2/$B2</f>
        <v/>
      </c>
      <c r="Y9">
        <f>Y2/$B2</f>
        <v/>
      </c>
      <c r="Z9">
        <f>Z2/$B2</f>
        <v/>
      </c>
      <c r="AA9">
        <f>AA2/$B2</f>
        <v/>
      </c>
      <c r="AB9">
        <f>AB2/$B2</f>
        <v/>
      </c>
      <c r="AC9">
        <f>AC2/$B2</f>
        <v/>
      </c>
      <c r="AD9">
        <f>AD2/$B2</f>
        <v/>
      </c>
      <c r="AF9">
        <f>(AC9/B9)^(1/28)-1</f>
        <v/>
      </c>
    </row>
    <row r="10">
      <c r="A10" t="inlineStr">
        <is>
          <t>Slagterier (100010)</t>
        </is>
      </c>
      <c r="B10">
        <f>B3/$B3</f>
        <v/>
      </c>
      <c r="C10">
        <f>C3/$B3</f>
        <v/>
      </c>
      <c r="D10">
        <f>D3/$B3</f>
        <v/>
      </c>
      <c r="E10">
        <f>E3/$B3</f>
        <v/>
      </c>
      <c r="F10">
        <f>F3/$B3</f>
        <v/>
      </c>
      <c r="G10">
        <f>G3/$B3</f>
        <v/>
      </c>
      <c r="H10">
        <f>H3/$B3</f>
        <v/>
      </c>
      <c r="I10">
        <f>I3/$B3</f>
        <v/>
      </c>
      <c r="J10">
        <f>J3/$B3</f>
        <v/>
      </c>
      <c r="K10">
        <f>K3/$B3</f>
        <v/>
      </c>
      <c r="L10">
        <f>L3/$B3</f>
        <v/>
      </c>
      <c r="M10">
        <f>M3/$B3</f>
        <v/>
      </c>
      <c r="N10">
        <f>N3/$B3</f>
        <v/>
      </c>
      <c r="O10">
        <f>O3/$B3</f>
        <v/>
      </c>
      <c r="P10">
        <f>P3/$B3</f>
        <v/>
      </c>
      <c r="Q10">
        <f>Q3/$B3</f>
        <v/>
      </c>
      <c r="R10">
        <f>R3/$B3</f>
        <v/>
      </c>
      <c r="S10">
        <f>S3/$B3</f>
        <v/>
      </c>
      <c r="T10">
        <f>T3/$B3</f>
        <v/>
      </c>
      <c r="U10">
        <f>U3/$B3</f>
        <v/>
      </c>
      <c r="V10">
        <f>V3/$B3</f>
        <v/>
      </c>
      <c r="W10">
        <f>W3/$B3</f>
        <v/>
      </c>
      <c r="X10">
        <f>X3/$B3</f>
        <v/>
      </c>
      <c r="Y10">
        <f>Y3/$B3</f>
        <v/>
      </c>
      <c r="Z10">
        <f>Z3/$B3</f>
        <v/>
      </c>
      <c r="AA10">
        <f>AA3/$B3</f>
        <v/>
      </c>
      <c r="AB10">
        <f>AB3/$B3</f>
        <v/>
      </c>
      <c r="AC10">
        <f>AC3/$B3</f>
        <v/>
      </c>
      <c r="AD10">
        <f>AD3/$B3</f>
        <v/>
      </c>
      <c r="AF10">
        <f>(AC10/B10)^(1/28)-1</f>
        <v/>
      </c>
    </row>
    <row r="11">
      <c r="A11" t="inlineStr">
        <is>
          <t>Mejerier (100030)</t>
        </is>
      </c>
      <c r="B11">
        <f>B4/$B4</f>
        <v/>
      </c>
      <c r="C11">
        <f>C4/$B4</f>
        <v/>
      </c>
      <c r="D11">
        <f>D4/$B4</f>
        <v/>
      </c>
      <c r="E11">
        <f>E4/$B4</f>
        <v/>
      </c>
      <c r="F11">
        <f>F4/$B4</f>
        <v/>
      </c>
      <c r="G11">
        <f>G4/$B4</f>
        <v/>
      </c>
      <c r="H11">
        <f>H4/$B4</f>
        <v/>
      </c>
      <c r="I11">
        <f>I4/$B4</f>
        <v/>
      </c>
      <c r="J11">
        <f>J4/$B4</f>
        <v/>
      </c>
      <c r="K11">
        <f>K4/$B4</f>
        <v/>
      </c>
      <c r="L11">
        <f>L4/$B4</f>
        <v/>
      </c>
      <c r="M11">
        <f>M4/$B4</f>
        <v/>
      </c>
      <c r="N11">
        <f>N4/$B4</f>
        <v/>
      </c>
      <c r="O11">
        <f>O4/$B4</f>
        <v/>
      </c>
      <c r="P11">
        <f>P4/$B4</f>
        <v/>
      </c>
      <c r="Q11">
        <f>Q4/$B4</f>
        <v/>
      </c>
      <c r="R11">
        <f>R4/$B4</f>
        <v/>
      </c>
      <c r="S11">
        <f>S4/$B4</f>
        <v/>
      </c>
      <c r="T11">
        <f>T4/$B4</f>
        <v/>
      </c>
      <c r="U11">
        <f>U4/$B4</f>
        <v/>
      </c>
      <c r="V11">
        <f>V4/$B4</f>
        <v/>
      </c>
      <c r="W11">
        <f>W4/$B4</f>
        <v/>
      </c>
      <c r="X11">
        <f>X4/$B4</f>
        <v/>
      </c>
      <c r="Y11">
        <f>Y4/$B4</f>
        <v/>
      </c>
      <c r="Z11">
        <f>Z4/$B4</f>
        <v/>
      </c>
      <c r="AA11">
        <f>AA4/$B4</f>
        <v/>
      </c>
      <c r="AB11">
        <f>AB4/$B4</f>
        <v/>
      </c>
      <c r="AC11">
        <f>AC4/$B4</f>
        <v/>
      </c>
      <c r="AD11">
        <f>AD4/$B4</f>
        <v/>
      </c>
      <c r="AF11">
        <f>(AC11/B11)^(1/28)-1</f>
        <v/>
      </c>
    </row>
    <row r="12">
      <c r="A12" t="inlineStr">
        <is>
          <t>Anden fødevareindustri (100040x100050)</t>
        </is>
      </c>
      <c r="B12">
        <f>B5/$B5</f>
        <v/>
      </c>
      <c r="C12">
        <f>C5/$B5</f>
        <v/>
      </c>
      <c r="D12">
        <f>D5/$B5</f>
        <v/>
      </c>
      <c r="E12">
        <f>E5/$B5</f>
        <v/>
      </c>
      <c r="F12">
        <f>F5/$B5</f>
        <v/>
      </c>
      <c r="G12">
        <f>G5/$B5</f>
        <v/>
      </c>
      <c r="H12">
        <f>H5/$B5</f>
        <v/>
      </c>
      <c r="I12">
        <f>I5/$B5</f>
        <v/>
      </c>
      <c r="J12">
        <f>J5/$B5</f>
        <v/>
      </c>
      <c r="K12">
        <f>K5/$B5</f>
        <v/>
      </c>
      <c r="L12">
        <f>L5/$B5</f>
        <v/>
      </c>
      <c r="M12">
        <f>M5/$B5</f>
        <v/>
      </c>
      <c r="N12">
        <f>N5/$B5</f>
        <v/>
      </c>
      <c r="O12">
        <f>O5/$B5</f>
        <v/>
      </c>
      <c r="P12">
        <f>P5/$B5</f>
        <v/>
      </c>
      <c r="Q12">
        <f>Q5/$B5</f>
        <v/>
      </c>
      <c r="R12">
        <f>R5/$B5</f>
        <v/>
      </c>
      <c r="S12">
        <f>S5/$B5</f>
        <v/>
      </c>
      <c r="T12">
        <f>T5/$B5</f>
        <v/>
      </c>
      <c r="U12">
        <f>U5/$B5</f>
        <v/>
      </c>
      <c r="V12">
        <f>V5/$B5</f>
        <v/>
      </c>
      <c r="W12">
        <f>W5/$B5</f>
        <v/>
      </c>
      <c r="X12">
        <f>X5/$B5</f>
        <v/>
      </c>
      <c r="Y12">
        <f>Y5/$B5</f>
        <v/>
      </c>
      <c r="Z12">
        <f>Z5/$B5</f>
        <v/>
      </c>
      <c r="AA12">
        <f>AA5/$B5</f>
        <v/>
      </c>
      <c r="AB12">
        <f>AB5/$B5</f>
        <v/>
      </c>
      <c r="AC12">
        <f>AC5/$B5</f>
        <v/>
      </c>
      <c r="AD12">
        <f>AD5/$B5</f>
        <v/>
      </c>
      <c r="AF12">
        <f>(AC12/B12)^(1/28)-1</f>
        <v/>
      </c>
    </row>
    <row r="13">
      <c r="A13" t="inlineStr">
        <is>
          <t>REST</t>
        </is>
      </c>
      <c r="B13">
        <f>B6/$B6</f>
        <v/>
      </c>
      <c r="C13">
        <f>C6/$B6</f>
        <v/>
      </c>
      <c r="D13">
        <f>D6/$B6</f>
        <v/>
      </c>
      <c r="E13">
        <f>E6/$B6</f>
        <v/>
      </c>
      <c r="F13">
        <f>F6/$B6</f>
        <v/>
      </c>
      <c r="G13">
        <f>G6/$B6</f>
        <v/>
      </c>
      <c r="H13">
        <f>H6/$B6</f>
        <v/>
      </c>
      <c r="I13">
        <f>I6/$B6</f>
        <v/>
      </c>
      <c r="J13">
        <f>J6/$B6</f>
        <v/>
      </c>
      <c r="K13">
        <f>K6/$B6</f>
        <v/>
      </c>
      <c r="L13">
        <f>L6/$B6</f>
        <v/>
      </c>
      <c r="M13">
        <f>M6/$B6</f>
        <v/>
      </c>
      <c r="N13">
        <f>N6/$B6</f>
        <v/>
      </c>
      <c r="O13">
        <f>O6/$B6</f>
        <v/>
      </c>
      <c r="P13">
        <f>P6/$B6</f>
        <v/>
      </c>
      <c r="Q13">
        <f>Q6/$B6</f>
        <v/>
      </c>
      <c r="R13">
        <f>R6/$B6</f>
        <v/>
      </c>
      <c r="S13">
        <f>S6/$B6</f>
        <v/>
      </c>
      <c r="T13">
        <f>T6/$B6</f>
        <v/>
      </c>
      <c r="U13">
        <f>U6/$B6</f>
        <v/>
      </c>
      <c r="V13">
        <f>V6/$B6</f>
        <v/>
      </c>
      <c r="W13">
        <f>W6/$B6</f>
        <v/>
      </c>
      <c r="X13">
        <f>X6/$B6</f>
        <v/>
      </c>
      <c r="Y13">
        <f>Y6/$B6</f>
        <v/>
      </c>
      <c r="Z13">
        <f>Z6/$B6</f>
        <v/>
      </c>
      <c r="AA13">
        <f>AA6/$B6</f>
        <v/>
      </c>
      <c r="AB13">
        <f>AB6/$B6</f>
        <v/>
      </c>
      <c r="AC13">
        <f>AC6/$B6</f>
        <v/>
      </c>
      <c r="AD13">
        <f>AD6/$B6</f>
        <v/>
      </c>
      <c r="AF13">
        <f>(AC13/B13)^(1/28)-1</f>
        <v/>
      </c>
    </row>
    <row r="15">
      <c r="A15">
        <f>theta_KL_K!A1</f>
        <v/>
      </c>
      <c r="B15">
        <f>theta_KL_K!AD1</f>
        <v/>
      </c>
      <c r="C15">
        <f>theta_KL_K!AE1</f>
        <v/>
      </c>
      <c r="D15">
        <f>theta_KL_K!AF1</f>
        <v/>
      </c>
      <c r="E15">
        <f>theta_KL_K!AG1</f>
        <v/>
      </c>
      <c r="F15">
        <f>theta_KL_K!AH1</f>
        <v/>
      </c>
      <c r="G15">
        <f>theta_KL_K!AI1</f>
        <v/>
      </c>
      <c r="H15">
        <f>theta_KL_K!AJ1</f>
        <v/>
      </c>
      <c r="I15">
        <f>theta_KL_K!AK1</f>
        <v/>
      </c>
      <c r="J15">
        <f>theta_KL_K!AL1</f>
        <v/>
      </c>
      <c r="K15">
        <f>theta_KL_K!AM1</f>
        <v/>
      </c>
      <c r="L15">
        <f>theta_KL_K!AN1</f>
        <v/>
      </c>
      <c r="M15">
        <f>theta_KL_K!AO1</f>
        <v/>
      </c>
      <c r="N15">
        <f>theta_KL_K!AP1</f>
        <v/>
      </c>
      <c r="O15">
        <f>theta_KL_K!AQ1</f>
        <v/>
      </c>
      <c r="P15">
        <f>theta_KL_K!AR1</f>
        <v/>
      </c>
      <c r="Q15">
        <f>theta_KL_K!AS1</f>
        <v/>
      </c>
      <c r="R15">
        <f>theta_KL_K!AT1</f>
        <v/>
      </c>
      <c r="S15">
        <f>theta_KL_K!AU1</f>
        <v/>
      </c>
      <c r="T15">
        <f>theta_KL_K!AV1</f>
        <v/>
      </c>
      <c r="U15">
        <f>theta_KL_K!AW1</f>
        <v/>
      </c>
      <c r="V15">
        <f>theta_KL_K!AX1</f>
        <v/>
      </c>
      <c r="W15">
        <f>theta_KL_K!AY1</f>
        <v/>
      </c>
      <c r="X15">
        <f>theta_KL_K!AZ1</f>
        <v/>
      </c>
      <c r="Y15">
        <f>theta_KL_K!BA1</f>
        <v/>
      </c>
      <c r="Z15">
        <f>theta_KL_K!BB1</f>
        <v/>
      </c>
      <c r="AA15">
        <f>theta_KL_K!BC1</f>
        <v/>
      </c>
      <c r="AB15">
        <f>theta_KL_K!BD1</f>
        <v/>
      </c>
      <c r="AC15">
        <f>theta_KL_K!BE1</f>
        <v/>
      </c>
      <c r="AD15">
        <f>theta_KL_K!BF1</f>
        <v/>
      </c>
    </row>
    <row r="16">
      <c r="A16">
        <f>theta_KL_K!A2</f>
        <v/>
      </c>
      <c r="B16">
        <f>theta_Y_Mtot!AC2</f>
        <v/>
      </c>
      <c r="C16">
        <f>theta_Y_Mtot!AD2</f>
        <v/>
      </c>
      <c r="D16">
        <f>theta_Y_Mtot!AE2</f>
        <v/>
      </c>
      <c r="E16">
        <f>theta_Y_Mtot!AF2</f>
        <v/>
      </c>
      <c r="F16">
        <f>theta_Y_Mtot!AG2</f>
        <v/>
      </c>
      <c r="G16">
        <f>theta_Y_Mtot!AH2</f>
        <v/>
      </c>
      <c r="H16">
        <f>theta_Y_Mtot!AI2</f>
        <v/>
      </c>
      <c r="I16">
        <f>theta_Y_Mtot!AJ2</f>
        <v/>
      </c>
      <c r="J16">
        <f>theta_Y_Mtot!AK2</f>
        <v/>
      </c>
      <c r="K16">
        <f>theta_Y_Mtot!AL2</f>
        <v/>
      </c>
      <c r="L16">
        <f>theta_Y_Mtot!AM2</f>
        <v/>
      </c>
      <c r="M16">
        <f>theta_Y_Mtot!AN2</f>
        <v/>
      </c>
      <c r="N16">
        <f>theta_Y_Mtot!AO2</f>
        <v/>
      </c>
      <c r="O16">
        <f>theta_Y_Mtot!AP2</f>
        <v/>
      </c>
      <c r="P16">
        <f>theta_Y_Mtot!AQ2</f>
        <v/>
      </c>
      <c r="Q16">
        <f>theta_Y_Mtot!AR2</f>
        <v/>
      </c>
      <c r="R16">
        <f>theta_Y_Mtot!AS2</f>
        <v/>
      </c>
      <c r="S16">
        <f>theta_Y_Mtot!AT2</f>
        <v/>
      </c>
      <c r="T16">
        <f>theta_Y_Mtot!AU2</f>
        <v/>
      </c>
      <c r="U16">
        <f>theta_Y_Mtot!AV2</f>
        <v/>
      </c>
      <c r="V16">
        <f>theta_Y_Mtot!AW2</f>
        <v/>
      </c>
      <c r="W16">
        <f>theta_Y_Mtot!AX2</f>
        <v/>
      </c>
      <c r="X16">
        <f>theta_Y_Mtot!AY2</f>
        <v/>
      </c>
      <c r="Y16">
        <f>theta_Y_Mtot!AZ2</f>
        <v/>
      </c>
      <c r="Z16">
        <f>theta_Y_Mtot!BA2</f>
        <v/>
      </c>
      <c r="AA16">
        <f>theta_Y_Mtot!BB2</f>
        <v/>
      </c>
      <c r="AB16">
        <f>theta_Y_Mtot!BC2</f>
        <v/>
      </c>
      <c r="AC16">
        <f>theta_Y_Mtot!BD2</f>
        <v/>
      </c>
      <c r="AD16">
        <f>theta_Y_Mtot!BE2</f>
        <v/>
      </c>
    </row>
    <row r="17">
      <c r="A17">
        <f>theta_KL_K!A3</f>
        <v/>
      </c>
      <c r="B17">
        <f>theta_Y_Mtot!AC3</f>
        <v/>
      </c>
      <c r="C17">
        <f>theta_Y_Mtot!AD3</f>
        <v/>
      </c>
      <c r="D17">
        <f>theta_Y_Mtot!AE3</f>
        <v/>
      </c>
      <c r="E17">
        <f>theta_Y_Mtot!AF3</f>
        <v/>
      </c>
      <c r="F17">
        <f>theta_Y_Mtot!AG3</f>
        <v/>
      </c>
      <c r="G17">
        <f>theta_Y_Mtot!AH3</f>
        <v/>
      </c>
      <c r="H17">
        <f>theta_Y_Mtot!AI3</f>
        <v/>
      </c>
      <c r="I17">
        <f>theta_Y_Mtot!AJ3</f>
        <v/>
      </c>
      <c r="J17">
        <f>theta_Y_Mtot!AK3</f>
        <v/>
      </c>
      <c r="K17">
        <f>theta_Y_Mtot!AL3</f>
        <v/>
      </c>
      <c r="L17">
        <f>theta_Y_Mtot!AM3</f>
        <v/>
      </c>
      <c r="M17">
        <f>theta_Y_Mtot!AN3</f>
        <v/>
      </c>
      <c r="N17">
        <f>theta_Y_Mtot!AO3</f>
        <v/>
      </c>
      <c r="O17">
        <f>theta_Y_Mtot!AP3</f>
        <v/>
      </c>
      <c r="P17">
        <f>theta_Y_Mtot!AQ3</f>
        <v/>
      </c>
      <c r="Q17">
        <f>theta_Y_Mtot!AR3</f>
        <v/>
      </c>
      <c r="R17">
        <f>theta_Y_Mtot!AS3</f>
        <v/>
      </c>
      <c r="S17">
        <f>theta_Y_Mtot!AT3</f>
        <v/>
      </c>
      <c r="T17">
        <f>theta_Y_Mtot!AU3</f>
        <v/>
      </c>
      <c r="U17">
        <f>theta_Y_Mtot!AV3</f>
        <v/>
      </c>
      <c r="V17">
        <f>theta_Y_Mtot!AW3</f>
        <v/>
      </c>
      <c r="W17">
        <f>theta_Y_Mtot!AX3</f>
        <v/>
      </c>
      <c r="X17">
        <f>theta_Y_Mtot!AY3</f>
        <v/>
      </c>
      <c r="Y17">
        <f>theta_Y_Mtot!AZ3</f>
        <v/>
      </c>
      <c r="Z17">
        <f>theta_Y_Mtot!BA3</f>
        <v/>
      </c>
      <c r="AA17">
        <f>theta_Y_Mtot!BB3</f>
        <v/>
      </c>
      <c r="AB17">
        <f>theta_Y_Mtot!BC3</f>
        <v/>
      </c>
      <c r="AC17">
        <f>theta_Y_Mtot!BD3</f>
        <v/>
      </c>
      <c r="AD17">
        <f>theta_Y_Mtot!BE3</f>
        <v/>
      </c>
    </row>
    <row r="18">
      <c r="A18">
        <f>theta_KL_K!A4</f>
        <v/>
      </c>
      <c r="B18">
        <f>theta_Y_Mtot!AC4</f>
        <v/>
      </c>
      <c r="C18">
        <f>theta_Y_Mtot!AD4</f>
        <v/>
      </c>
      <c r="D18">
        <f>theta_Y_Mtot!AE4</f>
        <v/>
      </c>
      <c r="E18">
        <f>theta_Y_Mtot!AF4</f>
        <v/>
      </c>
      <c r="F18">
        <f>theta_Y_Mtot!AG4</f>
        <v/>
      </c>
      <c r="G18">
        <f>theta_Y_Mtot!AH4</f>
        <v/>
      </c>
      <c r="H18">
        <f>theta_Y_Mtot!AI4</f>
        <v/>
      </c>
      <c r="I18">
        <f>theta_Y_Mtot!AJ4</f>
        <v/>
      </c>
      <c r="J18">
        <f>theta_Y_Mtot!AK4</f>
        <v/>
      </c>
      <c r="K18">
        <f>theta_Y_Mtot!AL4</f>
        <v/>
      </c>
      <c r="L18">
        <f>theta_Y_Mtot!AM4</f>
        <v/>
      </c>
      <c r="M18">
        <f>theta_Y_Mtot!AN4</f>
        <v/>
      </c>
      <c r="N18">
        <f>theta_Y_Mtot!AO4</f>
        <v/>
      </c>
      <c r="O18">
        <f>theta_Y_Mtot!AP4</f>
        <v/>
      </c>
      <c r="P18">
        <f>theta_Y_Mtot!AQ4</f>
        <v/>
      </c>
      <c r="Q18">
        <f>theta_Y_Mtot!AR4</f>
        <v/>
      </c>
      <c r="R18">
        <f>theta_Y_Mtot!AS4</f>
        <v/>
      </c>
      <c r="S18">
        <f>theta_Y_Mtot!AT4</f>
        <v/>
      </c>
      <c r="T18">
        <f>theta_Y_Mtot!AU4</f>
        <v/>
      </c>
      <c r="U18">
        <f>theta_Y_Mtot!AV4</f>
        <v/>
      </c>
      <c r="V18">
        <f>theta_Y_Mtot!AW4</f>
        <v/>
      </c>
      <c r="W18">
        <f>theta_Y_Mtot!AX4</f>
        <v/>
      </c>
      <c r="X18">
        <f>theta_Y_Mtot!AY4</f>
        <v/>
      </c>
      <c r="Y18">
        <f>theta_Y_Mtot!AZ4</f>
        <v/>
      </c>
      <c r="Z18">
        <f>theta_Y_Mtot!BA4</f>
        <v/>
      </c>
      <c r="AA18">
        <f>theta_Y_Mtot!BB4</f>
        <v/>
      </c>
      <c r="AB18">
        <f>theta_Y_Mtot!BC4</f>
        <v/>
      </c>
      <c r="AC18">
        <f>theta_Y_Mtot!BD4</f>
        <v/>
      </c>
      <c r="AD18">
        <f>theta_Y_Mtot!BE4</f>
        <v/>
      </c>
    </row>
    <row r="19">
      <c r="A19">
        <f>theta_KL_K!A5</f>
        <v/>
      </c>
      <c r="B19">
        <f>theta_Y_Mtot!AC5</f>
        <v/>
      </c>
      <c r="C19">
        <f>theta_Y_Mtot!AD5</f>
        <v/>
      </c>
      <c r="D19">
        <f>theta_Y_Mtot!AE5</f>
        <v/>
      </c>
      <c r="E19">
        <f>theta_Y_Mtot!AF5</f>
        <v/>
      </c>
      <c r="F19">
        <f>theta_Y_Mtot!AG5</f>
        <v/>
      </c>
      <c r="G19">
        <f>theta_Y_Mtot!AH5</f>
        <v/>
      </c>
      <c r="H19">
        <f>theta_Y_Mtot!AI5</f>
        <v/>
      </c>
      <c r="I19">
        <f>theta_Y_Mtot!AJ5</f>
        <v/>
      </c>
      <c r="J19">
        <f>theta_Y_Mtot!AK5</f>
        <v/>
      </c>
      <c r="K19">
        <f>theta_Y_Mtot!AL5</f>
        <v/>
      </c>
      <c r="L19">
        <f>theta_Y_Mtot!AM5</f>
        <v/>
      </c>
      <c r="M19">
        <f>theta_Y_Mtot!AN5</f>
        <v/>
      </c>
      <c r="N19">
        <f>theta_Y_Mtot!AO5</f>
        <v/>
      </c>
      <c r="O19">
        <f>theta_Y_Mtot!AP5</f>
        <v/>
      </c>
      <c r="P19">
        <f>theta_Y_Mtot!AQ5</f>
        <v/>
      </c>
      <c r="Q19">
        <f>theta_Y_Mtot!AR5</f>
        <v/>
      </c>
      <c r="R19">
        <f>theta_Y_Mtot!AS5</f>
        <v/>
      </c>
      <c r="S19">
        <f>theta_Y_Mtot!AT5</f>
        <v/>
      </c>
      <c r="T19">
        <f>theta_Y_Mtot!AU5</f>
        <v/>
      </c>
      <c r="U19">
        <f>theta_Y_Mtot!AV5</f>
        <v/>
      </c>
      <c r="V19">
        <f>theta_Y_Mtot!AW5</f>
        <v/>
      </c>
      <c r="W19">
        <f>theta_Y_Mtot!AX5</f>
        <v/>
      </c>
      <c r="X19">
        <f>theta_Y_Mtot!AY5</f>
        <v/>
      </c>
      <c r="Y19">
        <f>theta_Y_Mtot!AZ5</f>
        <v/>
      </c>
      <c r="Z19">
        <f>theta_Y_Mtot!BA5</f>
        <v/>
      </c>
      <c r="AA19">
        <f>theta_Y_Mtot!BB5</f>
        <v/>
      </c>
      <c r="AB19">
        <f>theta_Y_Mtot!BC5</f>
        <v/>
      </c>
      <c r="AC19">
        <f>theta_Y_Mtot!BD5</f>
        <v/>
      </c>
      <c r="AD19">
        <f>theta_Y_Mtot!BE5</f>
        <v/>
      </c>
    </row>
    <row r="20">
      <c r="A20">
        <f>theta_KL_K!A6</f>
        <v/>
      </c>
      <c r="B20">
        <f>theta_Y_Mtot!AC6</f>
        <v/>
      </c>
      <c r="C20">
        <f>theta_Y_Mtot!AD6</f>
        <v/>
      </c>
      <c r="D20">
        <f>theta_Y_Mtot!AE6</f>
        <v/>
      </c>
      <c r="E20">
        <f>theta_Y_Mtot!AF6</f>
        <v/>
      </c>
      <c r="F20">
        <f>theta_Y_Mtot!AG6</f>
        <v/>
      </c>
      <c r="G20">
        <f>theta_Y_Mtot!AH6</f>
        <v/>
      </c>
      <c r="H20">
        <f>theta_Y_Mtot!AI6</f>
        <v/>
      </c>
      <c r="I20">
        <f>theta_Y_Mtot!AJ6</f>
        <v/>
      </c>
      <c r="J20">
        <f>theta_Y_Mtot!AK6</f>
        <v/>
      </c>
      <c r="K20">
        <f>theta_Y_Mtot!AL6</f>
        <v/>
      </c>
      <c r="L20">
        <f>theta_Y_Mtot!AM6</f>
        <v/>
      </c>
      <c r="M20">
        <f>theta_Y_Mtot!AN6</f>
        <v/>
      </c>
      <c r="N20">
        <f>theta_Y_Mtot!AO6</f>
        <v/>
      </c>
      <c r="O20">
        <f>theta_Y_Mtot!AP6</f>
        <v/>
      </c>
      <c r="P20">
        <f>theta_Y_Mtot!AQ6</f>
        <v/>
      </c>
      <c r="Q20">
        <f>theta_Y_Mtot!AR6</f>
        <v/>
      </c>
      <c r="R20">
        <f>theta_Y_Mtot!AS6</f>
        <v/>
      </c>
      <c r="S20">
        <f>theta_Y_Mtot!AT6</f>
        <v/>
      </c>
      <c r="T20">
        <f>theta_Y_Mtot!AU6</f>
        <v/>
      </c>
      <c r="U20">
        <f>theta_Y_Mtot!AV6</f>
        <v/>
      </c>
      <c r="V20">
        <f>theta_Y_Mtot!AW6</f>
        <v/>
      </c>
      <c r="W20">
        <f>theta_Y_Mtot!AX6</f>
        <v/>
      </c>
      <c r="X20">
        <f>theta_Y_Mtot!AY6</f>
        <v/>
      </c>
      <c r="Y20">
        <f>theta_Y_Mtot!AZ6</f>
        <v/>
      </c>
      <c r="Z20">
        <f>theta_Y_Mtot!BA6</f>
        <v/>
      </c>
      <c r="AA20">
        <f>theta_Y_Mtot!BB6</f>
        <v/>
      </c>
      <c r="AB20">
        <f>theta_Y_Mtot!BC6</f>
        <v/>
      </c>
      <c r="AC20">
        <f>theta_Y_Mtot!BD6</f>
        <v/>
      </c>
      <c r="AD20">
        <f>theta_Y_Mtot!BE6</f>
        <v/>
      </c>
    </row>
    <row r="22">
      <c r="A22" t="inlineStr">
        <is>
          <t>Indeks 1994=1</t>
        </is>
      </c>
      <c r="B22" t="n">
        <v>1994</v>
      </c>
      <c r="C22" t="n">
        <v>1995</v>
      </c>
      <c r="D22" t="n">
        <v>1996</v>
      </c>
      <c r="E22" t="n">
        <v>1997</v>
      </c>
      <c r="F22" t="n">
        <v>1998</v>
      </c>
      <c r="G22" t="n">
        <v>1999</v>
      </c>
      <c r="H22" t="n">
        <v>2000</v>
      </c>
      <c r="I22" t="n">
        <v>2001</v>
      </c>
      <c r="J22" t="n">
        <v>2002</v>
      </c>
      <c r="K22" t="n">
        <v>2003</v>
      </c>
      <c r="L22" t="n">
        <v>2004</v>
      </c>
      <c r="M22" t="n">
        <v>2005</v>
      </c>
      <c r="N22" t="n">
        <v>2006</v>
      </c>
      <c r="O22" t="n">
        <v>2007</v>
      </c>
      <c r="P22" t="n">
        <v>2008</v>
      </c>
      <c r="Q22" t="n">
        <v>2009</v>
      </c>
      <c r="R22" t="n">
        <v>2010</v>
      </c>
      <c r="S22" t="n">
        <v>2011</v>
      </c>
      <c r="T22" t="n">
        <v>2012</v>
      </c>
      <c r="U22" t="n">
        <v>2013</v>
      </c>
      <c r="V22" t="n">
        <v>2014</v>
      </c>
      <c r="W22" t="n">
        <v>2015</v>
      </c>
      <c r="X22" t="n">
        <v>2016</v>
      </c>
      <c r="Y22" t="n">
        <v>2017</v>
      </c>
      <c r="Z22" t="n">
        <v>2018</v>
      </c>
      <c r="AA22" t="n">
        <v>2019</v>
      </c>
      <c r="AB22" t="n">
        <v>2020</v>
      </c>
      <c r="AC22" t="n">
        <v>2021</v>
      </c>
      <c r="AD22" t="n">
        <v>2022</v>
      </c>
    </row>
    <row r="23">
      <c r="A23" t="inlineStr">
        <is>
          <t>Landbrug (010000)</t>
        </is>
      </c>
      <c r="B23">
        <f>B16/$B16</f>
        <v/>
      </c>
      <c r="C23">
        <f>C16/$B16</f>
        <v/>
      </c>
      <c r="D23">
        <f>D16/$B16</f>
        <v/>
      </c>
      <c r="E23">
        <f>E16/$B16</f>
        <v/>
      </c>
      <c r="F23">
        <f>F16/$B16</f>
        <v/>
      </c>
      <c r="G23">
        <f>G16/$B16</f>
        <v/>
      </c>
      <c r="H23">
        <f>H16/$B16</f>
        <v/>
      </c>
      <c r="I23">
        <f>I16/$B16</f>
        <v/>
      </c>
      <c r="J23">
        <f>J16/$B16</f>
        <v/>
      </c>
      <c r="K23">
        <f>K16/$B16</f>
        <v/>
      </c>
      <c r="L23">
        <f>L16/$B16</f>
        <v/>
      </c>
      <c r="M23">
        <f>M16/$B16</f>
        <v/>
      </c>
      <c r="N23">
        <f>N16/$B16</f>
        <v/>
      </c>
      <c r="O23">
        <f>O16/$B16</f>
        <v/>
      </c>
      <c r="P23">
        <f>P16/$B16</f>
        <v/>
      </c>
      <c r="Q23">
        <f>Q16/$B16</f>
        <v/>
      </c>
      <c r="R23">
        <f>R16/$B16</f>
        <v/>
      </c>
      <c r="S23">
        <f>S16/$B16</f>
        <v/>
      </c>
      <c r="T23">
        <f>T16/$B16</f>
        <v/>
      </c>
      <c r="U23">
        <f>U16/$B16</f>
        <v/>
      </c>
      <c r="V23">
        <f>V16/$B16</f>
        <v/>
      </c>
      <c r="W23">
        <f>W16/$B16</f>
        <v/>
      </c>
      <c r="X23">
        <f>X16/$B16</f>
        <v/>
      </c>
      <c r="Y23">
        <f>Y16/$B16</f>
        <v/>
      </c>
      <c r="Z23">
        <f>Z16/$B16</f>
        <v/>
      </c>
      <c r="AA23">
        <f>AA16/$B16</f>
        <v/>
      </c>
      <c r="AB23">
        <f>AB16/$B16</f>
        <v/>
      </c>
      <c r="AC23">
        <f>AC16/$B16</f>
        <v/>
      </c>
      <c r="AD23">
        <f>AD16/$B16</f>
        <v/>
      </c>
    </row>
    <row r="24">
      <c r="A24" t="inlineStr">
        <is>
          <t>Slagterier (100010)</t>
        </is>
      </c>
      <c r="B24">
        <f>B17/$B17</f>
        <v/>
      </c>
      <c r="C24">
        <f>C17/$B17</f>
        <v/>
      </c>
      <c r="D24">
        <f>D17/$B17</f>
        <v/>
      </c>
      <c r="E24">
        <f>E17/$B17</f>
        <v/>
      </c>
      <c r="F24">
        <f>F17/$B17</f>
        <v/>
      </c>
      <c r="G24">
        <f>G17/$B17</f>
        <v/>
      </c>
      <c r="H24">
        <f>H17/$B17</f>
        <v/>
      </c>
      <c r="I24">
        <f>I17/$B17</f>
        <v/>
      </c>
      <c r="J24">
        <f>J17/$B17</f>
        <v/>
      </c>
      <c r="K24">
        <f>K17/$B17</f>
        <v/>
      </c>
      <c r="L24">
        <f>L17/$B17</f>
        <v/>
      </c>
      <c r="M24">
        <f>M17/$B17</f>
        <v/>
      </c>
      <c r="N24">
        <f>N17/$B17</f>
        <v/>
      </c>
      <c r="O24">
        <f>O17/$B17</f>
        <v/>
      </c>
      <c r="P24">
        <f>P17/$B17</f>
        <v/>
      </c>
      <c r="Q24">
        <f>Q17/$B17</f>
        <v/>
      </c>
      <c r="R24">
        <f>R17/$B17</f>
        <v/>
      </c>
      <c r="S24">
        <f>S17/$B17</f>
        <v/>
      </c>
      <c r="T24">
        <f>T17/$B17</f>
        <v/>
      </c>
      <c r="U24">
        <f>U17/$B17</f>
        <v/>
      </c>
      <c r="V24">
        <f>V17/$B17</f>
        <v/>
      </c>
      <c r="W24">
        <f>W17/$B17</f>
        <v/>
      </c>
      <c r="X24">
        <f>X17/$B17</f>
        <v/>
      </c>
      <c r="Y24">
        <f>Y17/$B17</f>
        <v/>
      </c>
      <c r="Z24">
        <f>Z17/$B17</f>
        <v/>
      </c>
      <c r="AA24">
        <f>AA17/$B17</f>
        <v/>
      </c>
      <c r="AB24">
        <f>AB17/$B17</f>
        <v/>
      </c>
      <c r="AC24">
        <f>AC17/$B17</f>
        <v/>
      </c>
      <c r="AD24">
        <f>AD17/$B17</f>
        <v/>
      </c>
    </row>
    <row r="25">
      <c r="A25" t="inlineStr">
        <is>
          <t>Mejerier (100030)</t>
        </is>
      </c>
      <c r="B25">
        <f>B18/$B18</f>
        <v/>
      </c>
      <c r="C25">
        <f>C18/$B18</f>
        <v/>
      </c>
      <c r="D25">
        <f>D18/$B18</f>
        <v/>
      </c>
      <c r="E25">
        <f>E18/$B18</f>
        <v/>
      </c>
      <c r="F25">
        <f>F18/$B18</f>
        <v/>
      </c>
      <c r="G25">
        <f>G18/$B18</f>
        <v/>
      </c>
      <c r="H25">
        <f>H18/$B18</f>
        <v/>
      </c>
      <c r="I25">
        <f>I18/$B18</f>
        <v/>
      </c>
      <c r="J25">
        <f>J18/$B18</f>
        <v/>
      </c>
      <c r="K25">
        <f>K18/$B18</f>
        <v/>
      </c>
      <c r="L25">
        <f>L18/$B18</f>
        <v/>
      </c>
      <c r="M25">
        <f>M18/$B18</f>
        <v/>
      </c>
      <c r="N25">
        <f>N18/$B18</f>
        <v/>
      </c>
      <c r="O25">
        <f>O18/$B18</f>
        <v/>
      </c>
      <c r="P25">
        <f>P18/$B18</f>
        <v/>
      </c>
      <c r="Q25">
        <f>Q18/$B18</f>
        <v/>
      </c>
      <c r="R25">
        <f>R18/$B18</f>
        <v/>
      </c>
      <c r="S25">
        <f>S18/$B18</f>
        <v/>
      </c>
      <c r="T25">
        <f>T18/$B18</f>
        <v/>
      </c>
      <c r="U25">
        <f>U18/$B18</f>
        <v/>
      </c>
      <c r="V25">
        <f>V18/$B18</f>
        <v/>
      </c>
      <c r="W25">
        <f>W18/$B18</f>
        <v/>
      </c>
      <c r="X25">
        <f>X18/$B18</f>
        <v/>
      </c>
      <c r="Y25">
        <f>Y18/$B18</f>
        <v/>
      </c>
      <c r="Z25">
        <f>Z18/$B18</f>
        <v/>
      </c>
      <c r="AA25">
        <f>AA18/$B18</f>
        <v/>
      </c>
      <c r="AB25">
        <f>AB18/$B18</f>
        <v/>
      </c>
      <c r="AC25">
        <f>AC18/$B18</f>
        <v/>
      </c>
      <c r="AD25">
        <f>AD18/$B18</f>
        <v/>
      </c>
    </row>
    <row r="26">
      <c r="A26" t="inlineStr">
        <is>
          <t>Anden fødevareindustri (100040x100050)</t>
        </is>
      </c>
      <c r="B26">
        <f>B19/$B19</f>
        <v/>
      </c>
      <c r="C26">
        <f>C19/$B19</f>
        <v/>
      </c>
      <c r="D26">
        <f>D19/$B19</f>
        <v/>
      </c>
      <c r="E26">
        <f>E19/$B19</f>
        <v/>
      </c>
      <c r="F26">
        <f>F19/$B19</f>
        <v/>
      </c>
      <c r="G26">
        <f>G19/$B19</f>
        <v/>
      </c>
      <c r="H26">
        <f>H19/$B19</f>
        <v/>
      </c>
      <c r="I26">
        <f>I19/$B19</f>
        <v/>
      </c>
      <c r="J26">
        <f>J19/$B19</f>
        <v/>
      </c>
      <c r="K26">
        <f>K19/$B19</f>
        <v/>
      </c>
      <c r="L26">
        <f>L19/$B19</f>
        <v/>
      </c>
      <c r="M26">
        <f>M19/$B19</f>
        <v/>
      </c>
      <c r="N26">
        <f>N19/$B19</f>
        <v/>
      </c>
      <c r="O26">
        <f>O19/$B19</f>
        <v/>
      </c>
      <c r="P26">
        <f>P19/$B19</f>
        <v/>
      </c>
      <c r="Q26">
        <f>Q19/$B19</f>
        <v/>
      </c>
      <c r="R26">
        <f>R19/$B19</f>
        <v/>
      </c>
      <c r="S26">
        <f>S19/$B19</f>
        <v/>
      </c>
      <c r="T26">
        <f>T19/$B19</f>
        <v/>
      </c>
      <c r="U26">
        <f>U19/$B19</f>
        <v/>
      </c>
      <c r="V26">
        <f>V19/$B19</f>
        <v/>
      </c>
      <c r="W26">
        <f>W19/$B19</f>
        <v/>
      </c>
      <c r="X26">
        <f>X19/$B19</f>
        <v/>
      </c>
      <c r="Y26">
        <f>Y19/$B19</f>
        <v/>
      </c>
      <c r="Z26">
        <f>Z19/$B19</f>
        <v/>
      </c>
      <c r="AA26">
        <f>AA19/$B19</f>
        <v/>
      </c>
      <c r="AB26">
        <f>AB19/$B19</f>
        <v/>
      </c>
      <c r="AC26">
        <f>AC19/$B19</f>
        <v/>
      </c>
      <c r="AD26">
        <f>AD19/$B19</f>
        <v/>
      </c>
    </row>
    <row r="27">
      <c r="A27" t="inlineStr">
        <is>
          <t>REST</t>
        </is>
      </c>
      <c r="B27">
        <f>B20/$B20</f>
        <v/>
      </c>
      <c r="C27">
        <f>C20/$B20</f>
        <v/>
      </c>
      <c r="D27">
        <f>D20/$B20</f>
        <v/>
      </c>
      <c r="E27">
        <f>E20/$B20</f>
        <v/>
      </c>
      <c r="F27">
        <f>F20/$B20</f>
        <v/>
      </c>
      <c r="G27">
        <f>G20/$B20</f>
        <v/>
      </c>
      <c r="H27">
        <f>H20/$B20</f>
        <v/>
      </c>
      <c r="I27">
        <f>I20/$B20</f>
        <v/>
      </c>
      <c r="J27">
        <f>J20/$B20</f>
        <v/>
      </c>
      <c r="K27">
        <f>K20/$B20</f>
        <v/>
      </c>
      <c r="L27">
        <f>L20/$B20</f>
        <v/>
      </c>
      <c r="M27">
        <f>M20/$B20</f>
        <v/>
      </c>
      <c r="N27">
        <f>N20/$B20</f>
        <v/>
      </c>
      <c r="O27">
        <f>O20/$B20</f>
        <v/>
      </c>
      <c r="P27">
        <f>P20/$B20</f>
        <v/>
      </c>
      <c r="Q27">
        <f>Q20/$B20</f>
        <v/>
      </c>
      <c r="R27">
        <f>R20/$B20</f>
        <v/>
      </c>
      <c r="S27">
        <f>S20/$B20</f>
        <v/>
      </c>
      <c r="T27">
        <f>T20/$B20</f>
        <v/>
      </c>
      <c r="U27">
        <f>U20/$B20</f>
        <v/>
      </c>
      <c r="V27">
        <f>V20/$B20</f>
        <v/>
      </c>
      <c r="W27">
        <f>W20/$B20</f>
        <v/>
      </c>
      <c r="X27">
        <f>X20/$B20</f>
        <v/>
      </c>
      <c r="Y27">
        <f>Y20/$B20</f>
        <v/>
      </c>
      <c r="Z27">
        <f>Z20/$B20</f>
        <v/>
      </c>
      <c r="AA27">
        <f>AA20/$B20</f>
        <v/>
      </c>
      <c r="AB27">
        <f>AB20/$B20</f>
        <v/>
      </c>
      <c r="AC27">
        <f>AC20/$B20</f>
        <v/>
      </c>
      <c r="AD27">
        <f>AD20/$B20</f>
        <v/>
      </c>
    </row>
    <row r="47">
      <c r="A47">
        <f>mu_KL_L!A1</f>
        <v/>
      </c>
      <c r="B47">
        <f>mu_KL_L!AD1</f>
        <v/>
      </c>
      <c r="C47">
        <f>mu_KL_L!AE1</f>
        <v/>
      </c>
      <c r="D47">
        <f>mu_KL_L!AF1</f>
        <v/>
      </c>
      <c r="E47">
        <f>mu_KL_L!AG1</f>
        <v/>
      </c>
      <c r="F47">
        <f>mu_KL_L!AH1</f>
        <v/>
      </c>
      <c r="G47">
        <f>mu_KL_L!AI1</f>
        <v/>
      </c>
      <c r="H47">
        <f>mu_KL_L!AJ1</f>
        <v/>
      </c>
      <c r="I47">
        <f>mu_KL_L!AK1</f>
        <v/>
      </c>
      <c r="J47">
        <f>mu_KL_L!AL1</f>
        <v/>
      </c>
      <c r="K47">
        <f>mu_KL_L!AM1</f>
        <v/>
      </c>
      <c r="L47">
        <f>mu_KL_L!AN1</f>
        <v/>
      </c>
      <c r="M47">
        <f>mu_KL_L!AO1</f>
        <v/>
      </c>
      <c r="N47">
        <f>mu_KL_L!AP1</f>
        <v/>
      </c>
      <c r="O47">
        <f>mu_KL_L!AQ1</f>
        <v/>
      </c>
      <c r="P47">
        <f>mu_KL_L!AR1</f>
        <v/>
      </c>
      <c r="Q47">
        <f>mu_KL_L!AS1</f>
        <v/>
      </c>
      <c r="R47">
        <f>mu_KL_L!AT1</f>
        <v/>
      </c>
      <c r="S47">
        <f>mu_KL_L!AU1</f>
        <v/>
      </c>
      <c r="T47">
        <f>mu_KL_L!AV1</f>
        <v/>
      </c>
      <c r="U47">
        <f>mu_KL_L!AW1</f>
        <v/>
      </c>
      <c r="V47">
        <f>mu_KL_L!AX1</f>
        <v/>
      </c>
      <c r="W47">
        <f>mu_KL_L!AY1</f>
        <v/>
      </c>
      <c r="X47">
        <f>mu_KL_L!AZ1</f>
        <v/>
      </c>
      <c r="Y47">
        <f>mu_KL_L!BA1</f>
        <v/>
      </c>
      <c r="Z47">
        <f>mu_KL_L!BB1</f>
        <v/>
      </c>
      <c r="AA47">
        <f>mu_KL_L!BC1</f>
        <v/>
      </c>
      <c r="AB47">
        <f>mu_KL_L!BD1</f>
        <v/>
      </c>
      <c r="AC47">
        <f>mu_KL_L!BE1</f>
        <v/>
      </c>
      <c r="AD47">
        <f>mu_KL_L!BF1</f>
        <v/>
      </c>
    </row>
    <row r="48">
      <c r="A48">
        <f>mu_KL_L!A2</f>
        <v/>
      </c>
      <c r="B48">
        <f>mu_Y_JKL!AC2</f>
        <v/>
      </c>
      <c r="C48">
        <f>mu_Y_JKL!AD2</f>
        <v/>
      </c>
      <c r="D48">
        <f>mu_Y_JKL!AE2</f>
        <v/>
      </c>
      <c r="E48">
        <f>mu_Y_JKL!AF2</f>
        <v/>
      </c>
      <c r="F48">
        <f>mu_Y_JKL!AG2</f>
        <v/>
      </c>
      <c r="G48">
        <f>mu_Y_JKL!AH2</f>
        <v/>
      </c>
      <c r="H48">
        <f>mu_Y_JKL!AI2</f>
        <v/>
      </c>
      <c r="I48">
        <f>mu_Y_JKL!AJ2</f>
        <v/>
      </c>
      <c r="J48">
        <f>mu_Y_JKL!AK2</f>
        <v/>
      </c>
      <c r="K48">
        <f>mu_Y_JKL!AL2</f>
        <v/>
      </c>
      <c r="L48">
        <f>mu_Y_JKL!AM2</f>
        <v/>
      </c>
      <c r="M48">
        <f>mu_Y_JKL!AN2</f>
        <v/>
      </c>
      <c r="N48">
        <f>mu_Y_JKL!AO2</f>
        <v/>
      </c>
      <c r="O48">
        <f>mu_Y_JKL!AP2</f>
        <v/>
      </c>
      <c r="P48">
        <f>mu_Y_JKL!AQ2</f>
        <v/>
      </c>
      <c r="Q48">
        <f>mu_Y_JKL!AR2</f>
        <v/>
      </c>
      <c r="R48">
        <f>mu_Y_JKL!AS2</f>
        <v/>
      </c>
      <c r="S48">
        <f>mu_Y_JKL!AT2</f>
        <v/>
      </c>
      <c r="T48">
        <f>mu_Y_JKL!AU2</f>
        <v/>
      </c>
      <c r="U48">
        <f>mu_Y_JKL!AV2</f>
        <v/>
      </c>
      <c r="V48">
        <f>mu_Y_JKL!AW2</f>
        <v/>
      </c>
      <c r="W48">
        <f>mu_Y_JKL!AX2</f>
        <v/>
      </c>
      <c r="X48">
        <f>mu_Y_JKL!AY2</f>
        <v/>
      </c>
      <c r="Y48">
        <f>mu_Y_JKL!AZ2</f>
        <v/>
      </c>
      <c r="Z48">
        <f>mu_Y_JKL!BA2</f>
        <v/>
      </c>
      <c r="AA48">
        <f>mu_Y_JKL!BB2</f>
        <v/>
      </c>
      <c r="AB48">
        <f>mu_Y_JKL!BC2</f>
        <v/>
      </c>
      <c r="AC48">
        <f>mu_Y_JKL!BD2</f>
        <v/>
      </c>
      <c r="AD48">
        <f>mu_Y_JKL!BE2</f>
        <v/>
      </c>
    </row>
    <row r="49">
      <c r="A49">
        <f>mu_KL_L!A3</f>
        <v/>
      </c>
      <c r="B49">
        <f>mu_Y_KL!AC3</f>
        <v/>
      </c>
      <c r="C49">
        <f>mu_Y_KL!AD3</f>
        <v/>
      </c>
      <c r="D49">
        <f>mu_Y_KL!AE3</f>
        <v/>
      </c>
      <c r="E49">
        <f>mu_Y_KL!AF3</f>
        <v/>
      </c>
      <c r="F49">
        <f>mu_Y_KL!AG3</f>
        <v/>
      </c>
      <c r="G49">
        <f>mu_Y_KL!AH3</f>
        <v/>
      </c>
      <c r="H49">
        <f>mu_Y_KL!AI3</f>
        <v/>
      </c>
      <c r="I49">
        <f>mu_Y_KL!AJ3</f>
        <v/>
      </c>
      <c r="J49">
        <f>mu_Y_KL!AK3</f>
        <v/>
      </c>
      <c r="K49">
        <f>mu_Y_KL!AL3</f>
        <v/>
      </c>
      <c r="L49">
        <f>mu_Y_KL!AM3</f>
        <v/>
      </c>
      <c r="M49">
        <f>mu_Y_KL!AN3</f>
        <v/>
      </c>
      <c r="N49">
        <f>mu_Y_KL!AO3</f>
        <v/>
      </c>
      <c r="O49">
        <f>mu_Y_KL!AP3</f>
        <v/>
      </c>
      <c r="P49">
        <f>mu_Y_KL!AQ3</f>
        <v/>
      </c>
      <c r="Q49">
        <f>mu_Y_KL!AR3</f>
        <v/>
      </c>
      <c r="R49">
        <f>mu_Y_KL!AS3</f>
        <v/>
      </c>
      <c r="S49">
        <f>mu_Y_KL!AT3</f>
        <v/>
      </c>
      <c r="T49">
        <f>mu_Y_KL!AU3</f>
        <v/>
      </c>
      <c r="U49">
        <f>mu_Y_KL!AV3</f>
        <v/>
      </c>
      <c r="V49">
        <f>mu_Y_KL!AW3</f>
        <v/>
      </c>
      <c r="W49">
        <f>mu_Y_KL!AX3</f>
        <v/>
      </c>
      <c r="X49">
        <f>mu_Y_KL!AY3</f>
        <v/>
      </c>
      <c r="Y49">
        <f>mu_Y_KL!AZ3</f>
        <v/>
      </c>
      <c r="Z49">
        <f>mu_Y_KL!BA3</f>
        <v/>
      </c>
      <c r="AA49">
        <f>mu_Y_KL!BB3</f>
        <v/>
      </c>
      <c r="AB49">
        <f>mu_Y_KL!BC3</f>
        <v/>
      </c>
      <c r="AC49">
        <f>mu_Y_KL!BD3</f>
        <v/>
      </c>
      <c r="AD49">
        <f>mu_Y_KL!BE3</f>
        <v/>
      </c>
    </row>
    <row r="50">
      <c r="A50">
        <f>mu_KL_L!A4</f>
        <v/>
      </c>
      <c r="B50">
        <f>mu_Y_KL!AC4</f>
        <v/>
      </c>
      <c r="C50">
        <f>mu_Y_KL!AD4</f>
        <v/>
      </c>
      <c r="D50">
        <f>mu_Y_KL!AE4</f>
        <v/>
      </c>
      <c r="E50">
        <f>mu_Y_KL!AF4</f>
        <v/>
      </c>
      <c r="F50">
        <f>mu_Y_KL!AG4</f>
        <v/>
      </c>
      <c r="G50">
        <f>mu_Y_KL!AH4</f>
        <v/>
      </c>
      <c r="H50">
        <f>mu_Y_KL!AI4</f>
        <v/>
      </c>
      <c r="I50">
        <f>mu_Y_KL!AJ4</f>
        <v/>
      </c>
      <c r="J50">
        <f>mu_Y_KL!AK4</f>
        <v/>
      </c>
      <c r="K50">
        <f>mu_Y_KL!AL4</f>
        <v/>
      </c>
      <c r="L50">
        <f>mu_Y_KL!AM4</f>
        <v/>
      </c>
      <c r="M50">
        <f>mu_Y_KL!AN4</f>
        <v/>
      </c>
      <c r="N50">
        <f>mu_Y_KL!AO4</f>
        <v/>
      </c>
      <c r="O50">
        <f>mu_Y_KL!AP4</f>
        <v/>
      </c>
      <c r="P50">
        <f>mu_Y_KL!AQ4</f>
        <v/>
      </c>
      <c r="Q50">
        <f>mu_Y_KL!AR4</f>
        <v/>
      </c>
      <c r="R50">
        <f>mu_Y_KL!AS4</f>
        <v/>
      </c>
      <c r="S50">
        <f>mu_Y_KL!AT4</f>
        <v/>
      </c>
      <c r="T50">
        <f>mu_Y_KL!AU4</f>
        <v/>
      </c>
      <c r="U50">
        <f>mu_Y_KL!AV4</f>
        <v/>
      </c>
      <c r="V50">
        <f>mu_Y_KL!AW4</f>
        <v/>
      </c>
      <c r="W50">
        <f>mu_Y_KL!AX4</f>
        <v/>
      </c>
      <c r="X50">
        <f>mu_Y_KL!AY4</f>
        <v/>
      </c>
      <c r="Y50">
        <f>mu_Y_KL!AZ4</f>
        <v/>
      </c>
      <c r="Z50">
        <f>mu_Y_KL!BA4</f>
        <v/>
      </c>
      <c r="AA50">
        <f>mu_Y_KL!BB4</f>
        <v/>
      </c>
      <c r="AB50">
        <f>mu_Y_KL!BC4</f>
        <v/>
      </c>
      <c r="AC50">
        <f>mu_Y_KL!BD4</f>
        <v/>
      </c>
      <c r="AD50">
        <f>mu_Y_KL!BE4</f>
        <v/>
      </c>
    </row>
    <row r="51">
      <c r="A51">
        <f>mu_KL_L!A5</f>
        <v/>
      </c>
      <c r="B51">
        <f>mu_Y_KL!AC5</f>
        <v/>
      </c>
      <c r="C51">
        <f>mu_Y_KL!AD5</f>
        <v/>
      </c>
      <c r="D51">
        <f>mu_Y_KL!AE5</f>
        <v/>
      </c>
      <c r="E51">
        <f>mu_Y_KL!AF5</f>
        <v/>
      </c>
      <c r="F51">
        <f>mu_Y_KL!AG5</f>
        <v/>
      </c>
      <c r="G51">
        <f>mu_Y_KL!AH5</f>
        <v/>
      </c>
      <c r="H51">
        <f>mu_Y_KL!AI5</f>
        <v/>
      </c>
      <c r="I51">
        <f>mu_Y_KL!AJ5</f>
        <v/>
      </c>
      <c r="J51">
        <f>mu_Y_KL!AK5</f>
        <v/>
      </c>
      <c r="K51">
        <f>mu_Y_KL!AL5</f>
        <v/>
      </c>
      <c r="L51">
        <f>mu_Y_KL!AM5</f>
        <v/>
      </c>
      <c r="M51">
        <f>mu_Y_KL!AN5</f>
        <v/>
      </c>
      <c r="N51">
        <f>mu_Y_KL!AO5</f>
        <v/>
      </c>
      <c r="O51">
        <f>mu_Y_KL!AP5</f>
        <v/>
      </c>
      <c r="P51">
        <f>mu_Y_KL!AQ5</f>
        <v/>
      </c>
      <c r="Q51">
        <f>mu_Y_KL!AR5</f>
        <v/>
      </c>
      <c r="R51">
        <f>mu_Y_KL!AS5</f>
        <v/>
      </c>
      <c r="S51">
        <f>mu_Y_KL!AT5</f>
        <v/>
      </c>
      <c r="T51">
        <f>mu_Y_KL!AU5</f>
        <v/>
      </c>
      <c r="U51">
        <f>mu_Y_KL!AV5</f>
        <v/>
      </c>
      <c r="V51">
        <f>mu_Y_KL!AW5</f>
        <v/>
      </c>
      <c r="W51">
        <f>mu_Y_KL!AX5</f>
        <v/>
      </c>
      <c r="X51">
        <f>mu_Y_KL!AY5</f>
        <v/>
      </c>
      <c r="Y51">
        <f>mu_Y_KL!AZ5</f>
        <v/>
      </c>
      <c r="Z51">
        <f>mu_Y_KL!BA5</f>
        <v/>
      </c>
      <c r="AA51">
        <f>mu_Y_KL!BB5</f>
        <v/>
      </c>
      <c r="AB51">
        <f>mu_Y_KL!BC5</f>
        <v/>
      </c>
      <c r="AC51">
        <f>mu_Y_KL!BD5</f>
        <v/>
      </c>
      <c r="AD51">
        <f>mu_Y_KL!BE5</f>
        <v/>
      </c>
    </row>
    <row r="52">
      <c r="A52">
        <f>mu_KL_L!A6</f>
        <v/>
      </c>
      <c r="B52">
        <f>mu_Y_KL!AC6</f>
        <v/>
      </c>
      <c r="C52">
        <f>mu_Y_KL!AD6</f>
        <v/>
      </c>
      <c r="D52">
        <f>mu_Y_KL!AE6</f>
        <v/>
      </c>
      <c r="E52">
        <f>mu_Y_KL!AF6</f>
        <v/>
      </c>
      <c r="F52">
        <f>mu_Y_KL!AG6</f>
        <v/>
      </c>
      <c r="G52">
        <f>mu_Y_KL!AH6</f>
        <v/>
      </c>
      <c r="H52">
        <f>mu_Y_KL!AI6</f>
        <v/>
      </c>
      <c r="I52">
        <f>mu_Y_KL!AJ6</f>
        <v/>
      </c>
      <c r="J52">
        <f>mu_Y_KL!AK6</f>
        <v/>
      </c>
      <c r="K52">
        <f>mu_Y_KL!AL6</f>
        <v/>
      </c>
      <c r="L52">
        <f>mu_Y_KL!AM6</f>
        <v/>
      </c>
      <c r="M52">
        <f>mu_Y_KL!AN6</f>
        <v/>
      </c>
      <c r="N52">
        <f>mu_Y_KL!AO6</f>
        <v/>
      </c>
      <c r="O52">
        <f>mu_Y_KL!AP6</f>
        <v/>
      </c>
      <c r="P52">
        <f>mu_Y_KL!AQ6</f>
        <v/>
      </c>
      <c r="Q52">
        <f>mu_Y_KL!AR6</f>
        <v/>
      </c>
      <c r="R52">
        <f>mu_Y_KL!AS6</f>
        <v/>
      </c>
      <c r="S52">
        <f>mu_Y_KL!AT6</f>
        <v/>
      </c>
      <c r="T52">
        <f>mu_Y_KL!AU6</f>
        <v/>
      </c>
      <c r="U52">
        <f>mu_Y_KL!AV6</f>
        <v/>
      </c>
      <c r="V52">
        <f>mu_Y_KL!AW6</f>
        <v/>
      </c>
      <c r="W52">
        <f>mu_Y_KL!AX6</f>
        <v/>
      </c>
      <c r="X52">
        <f>mu_Y_KL!AY6</f>
        <v/>
      </c>
      <c r="Y52">
        <f>mu_Y_KL!AZ6</f>
        <v/>
      </c>
      <c r="Z52">
        <f>mu_Y_KL!BA6</f>
        <v/>
      </c>
      <c r="AA52">
        <f>mu_Y_KL!BB6</f>
        <v/>
      </c>
      <c r="AB52">
        <f>mu_Y_KL!BC6</f>
        <v/>
      </c>
      <c r="AC52">
        <f>mu_Y_KL!BD6</f>
        <v/>
      </c>
      <c r="AD52">
        <f>mu_Y_KL!BE6</f>
        <v/>
      </c>
    </row>
    <row r="54">
      <c r="A54" t="inlineStr">
        <is>
          <t>Indeks 1994=1</t>
        </is>
      </c>
      <c r="B54" t="n">
        <v>1994</v>
      </c>
      <c r="C54" t="n">
        <v>1995</v>
      </c>
      <c r="D54" t="n">
        <v>1996</v>
      </c>
      <c r="E54" t="n">
        <v>1997</v>
      </c>
      <c r="F54" t="n">
        <v>1998</v>
      </c>
      <c r="G54" t="n">
        <v>1999</v>
      </c>
      <c r="H54" t="n">
        <v>2000</v>
      </c>
      <c r="I54" t="n">
        <v>2001</v>
      </c>
      <c r="J54" t="n">
        <v>2002</v>
      </c>
      <c r="K54" t="n">
        <v>2003</v>
      </c>
      <c r="L54" t="n">
        <v>2004</v>
      </c>
      <c r="M54" t="n">
        <v>2005</v>
      </c>
      <c r="N54" t="n">
        <v>2006</v>
      </c>
      <c r="O54" t="n">
        <v>2007</v>
      </c>
      <c r="P54" t="n">
        <v>2008</v>
      </c>
      <c r="Q54" t="n">
        <v>2009</v>
      </c>
      <c r="R54" t="n">
        <v>2010</v>
      </c>
      <c r="S54" t="n">
        <v>2011</v>
      </c>
      <c r="T54" t="n">
        <v>2012</v>
      </c>
      <c r="U54" t="n">
        <v>2013</v>
      </c>
      <c r="V54" t="n">
        <v>2014</v>
      </c>
      <c r="W54" t="n">
        <v>2015</v>
      </c>
      <c r="X54" t="n">
        <v>2016</v>
      </c>
      <c r="Y54" t="n">
        <v>2017</v>
      </c>
      <c r="Z54" t="n">
        <v>2018</v>
      </c>
      <c r="AA54" t="n">
        <v>2019</v>
      </c>
      <c r="AB54" t="n">
        <v>2020</v>
      </c>
      <c r="AC54" t="n">
        <v>2021</v>
      </c>
      <c r="AD54" t="n">
        <v>2022</v>
      </c>
    </row>
    <row r="55">
      <c r="A55" t="inlineStr">
        <is>
          <t>Landbrug (010000)</t>
        </is>
      </c>
      <c r="B55">
        <f>B48/$B48</f>
        <v/>
      </c>
      <c r="C55">
        <f>C48/$B48</f>
        <v/>
      </c>
      <c r="D55">
        <f>D48/$B48</f>
        <v/>
      </c>
      <c r="E55">
        <f>E48/$B48</f>
        <v/>
      </c>
      <c r="F55">
        <f>F48/$B48</f>
        <v/>
      </c>
      <c r="G55">
        <f>G48/$B48</f>
        <v/>
      </c>
      <c r="H55">
        <f>H48/$B48</f>
        <v/>
      </c>
      <c r="I55">
        <f>I48/$B48</f>
        <v/>
      </c>
      <c r="J55">
        <f>J48/$B48</f>
        <v/>
      </c>
      <c r="K55">
        <f>K48/$B48</f>
        <v/>
      </c>
      <c r="L55">
        <f>L48/$B48</f>
        <v/>
      </c>
      <c r="M55">
        <f>M48/$B48</f>
        <v/>
      </c>
      <c r="N55">
        <f>N48/$B48</f>
        <v/>
      </c>
      <c r="O55">
        <f>O48/$B48</f>
        <v/>
      </c>
      <c r="P55">
        <f>P48/$B48</f>
        <v/>
      </c>
      <c r="Q55">
        <f>Q48/$B48</f>
        <v/>
      </c>
      <c r="R55">
        <f>R48/$B48</f>
        <v/>
      </c>
      <c r="S55">
        <f>S48/$B48</f>
        <v/>
      </c>
      <c r="T55">
        <f>T48/$B48</f>
        <v/>
      </c>
      <c r="U55">
        <f>U48/$B48</f>
        <v/>
      </c>
      <c r="V55">
        <f>V48/$B48</f>
        <v/>
      </c>
      <c r="W55">
        <f>W48/$B48</f>
        <v/>
      </c>
      <c r="X55">
        <f>X48/$B48</f>
        <v/>
      </c>
      <c r="Y55">
        <f>Y48/$B48</f>
        <v/>
      </c>
      <c r="Z55">
        <f>Z48/$B48</f>
        <v/>
      </c>
      <c r="AA55">
        <f>AA48/$B48</f>
        <v/>
      </c>
      <c r="AB55">
        <f>AB48/$B48</f>
        <v/>
      </c>
      <c r="AC55">
        <f>AC48/$B48</f>
        <v/>
      </c>
      <c r="AD55">
        <f>AD48/$B48</f>
        <v/>
      </c>
    </row>
    <row r="56">
      <c r="A56" t="inlineStr">
        <is>
          <t>Slagterier (100010)</t>
        </is>
      </c>
      <c r="B56">
        <f>B49/$B49</f>
        <v/>
      </c>
      <c r="C56">
        <f>C49/$B49</f>
        <v/>
      </c>
      <c r="D56">
        <f>D49/$B49</f>
        <v/>
      </c>
      <c r="E56">
        <f>E49/$B49</f>
        <v/>
      </c>
      <c r="F56">
        <f>F49/$B49</f>
        <v/>
      </c>
      <c r="G56">
        <f>G49/$B49</f>
        <v/>
      </c>
      <c r="H56">
        <f>H49/$B49</f>
        <v/>
      </c>
      <c r="I56">
        <f>I49/$B49</f>
        <v/>
      </c>
      <c r="J56">
        <f>J49/$B49</f>
        <v/>
      </c>
      <c r="K56">
        <f>K49/$B49</f>
        <v/>
      </c>
      <c r="L56">
        <f>L49/$B49</f>
        <v/>
      </c>
      <c r="M56">
        <f>M49/$B49</f>
        <v/>
      </c>
      <c r="N56">
        <f>N49/$B49</f>
        <v/>
      </c>
      <c r="O56">
        <f>O49/$B49</f>
        <v/>
      </c>
      <c r="P56">
        <f>P49/$B49</f>
        <v/>
      </c>
      <c r="Q56">
        <f>Q49/$B49</f>
        <v/>
      </c>
      <c r="R56">
        <f>R49/$B49</f>
        <v/>
      </c>
      <c r="S56">
        <f>S49/$B49</f>
        <v/>
      </c>
      <c r="T56">
        <f>T49/$B49</f>
        <v/>
      </c>
      <c r="U56">
        <f>U49/$B49</f>
        <v/>
      </c>
      <c r="V56">
        <f>V49/$B49</f>
        <v/>
      </c>
      <c r="W56">
        <f>W49/$B49</f>
        <v/>
      </c>
      <c r="X56">
        <f>X49/$B49</f>
        <v/>
      </c>
      <c r="Y56">
        <f>Y49/$B49</f>
        <v/>
      </c>
      <c r="Z56">
        <f>Z49/$B49</f>
        <v/>
      </c>
      <c r="AA56">
        <f>AA49/$B49</f>
        <v/>
      </c>
      <c r="AB56">
        <f>AB49/$B49</f>
        <v/>
      </c>
      <c r="AC56">
        <f>AC49/$B49</f>
        <v/>
      </c>
      <c r="AD56">
        <f>AD49/$B49</f>
        <v/>
      </c>
    </row>
    <row r="57">
      <c r="A57" t="inlineStr">
        <is>
          <t>Mejerier (100030)</t>
        </is>
      </c>
      <c r="B57">
        <f>B50/$B50</f>
        <v/>
      </c>
      <c r="C57">
        <f>C50/$B50</f>
        <v/>
      </c>
      <c r="D57">
        <f>D50/$B50</f>
        <v/>
      </c>
      <c r="E57">
        <f>E50/$B50</f>
        <v/>
      </c>
      <c r="F57">
        <f>F50/$B50</f>
        <v/>
      </c>
      <c r="G57">
        <f>G50/$B50</f>
        <v/>
      </c>
      <c r="H57">
        <f>H50/$B50</f>
        <v/>
      </c>
      <c r="I57">
        <f>I50/$B50</f>
        <v/>
      </c>
      <c r="J57">
        <f>J50/$B50</f>
        <v/>
      </c>
      <c r="K57">
        <f>K50/$B50</f>
        <v/>
      </c>
      <c r="L57">
        <f>L50/$B50</f>
        <v/>
      </c>
      <c r="M57">
        <f>M50/$B50</f>
        <v/>
      </c>
      <c r="N57">
        <f>N50/$B50</f>
        <v/>
      </c>
      <c r="O57">
        <f>O50/$B50</f>
        <v/>
      </c>
      <c r="P57">
        <f>P50/$B50</f>
        <v/>
      </c>
      <c r="Q57">
        <f>Q50/$B50</f>
        <v/>
      </c>
      <c r="R57">
        <f>R50/$B50</f>
        <v/>
      </c>
      <c r="S57">
        <f>S50/$B50</f>
        <v/>
      </c>
      <c r="T57">
        <f>T50/$B50</f>
        <v/>
      </c>
      <c r="U57">
        <f>U50/$B50</f>
        <v/>
      </c>
      <c r="V57">
        <f>V50/$B50</f>
        <v/>
      </c>
      <c r="W57">
        <f>W50/$B50</f>
        <v/>
      </c>
      <c r="X57">
        <f>X50/$B50</f>
        <v/>
      </c>
      <c r="Y57">
        <f>Y50/$B50</f>
        <v/>
      </c>
      <c r="Z57">
        <f>Z50/$B50</f>
        <v/>
      </c>
      <c r="AA57">
        <f>AA50/$B50</f>
        <v/>
      </c>
      <c r="AB57">
        <f>AB50/$B50</f>
        <v/>
      </c>
      <c r="AC57">
        <f>AC50/$B50</f>
        <v/>
      </c>
      <c r="AD57">
        <f>AD50/$B50</f>
        <v/>
      </c>
    </row>
    <row r="58">
      <c r="A58" t="inlineStr">
        <is>
          <t>Anden fødevareindustri (100040x100050)</t>
        </is>
      </c>
      <c r="B58">
        <f>B51/$B51</f>
        <v/>
      </c>
      <c r="C58">
        <f>C51/$B51</f>
        <v/>
      </c>
      <c r="D58">
        <f>D51/$B51</f>
        <v/>
      </c>
      <c r="E58">
        <f>E51/$B51</f>
        <v/>
      </c>
      <c r="F58">
        <f>F51/$B51</f>
        <v/>
      </c>
      <c r="G58">
        <f>G51/$B51</f>
        <v/>
      </c>
      <c r="H58">
        <f>H51/$B51</f>
        <v/>
      </c>
      <c r="I58">
        <f>I51/$B51</f>
        <v/>
      </c>
      <c r="J58">
        <f>J51/$B51</f>
        <v/>
      </c>
      <c r="K58">
        <f>K51/$B51</f>
        <v/>
      </c>
      <c r="L58">
        <f>L51/$B51</f>
        <v/>
      </c>
      <c r="M58">
        <f>M51/$B51</f>
        <v/>
      </c>
      <c r="N58">
        <f>N51/$B51</f>
        <v/>
      </c>
      <c r="O58">
        <f>O51/$B51</f>
        <v/>
      </c>
      <c r="P58">
        <f>P51/$B51</f>
        <v/>
      </c>
      <c r="Q58">
        <f>Q51/$B51</f>
        <v/>
      </c>
      <c r="R58">
        <f>R51/$B51</f>
        <v/>
      </c>
      <c r="S58">
        <f>S51/$B51</f>
        <v/>
      </c>
      <c r="T58">
        <f>T51/$B51</f>
        <v/>
      </c>
      <c r="U58">
        <f>U51/$B51</f>
        <v/>
      </c>
      <c r="V58">
        <f>V51/$B51</f>
        <v/>
      </c>
      <c r="W58">
        <f>W51/$B51</f>
        <v/>
      </c>
      <c r="X58">
        <f>X51/$B51</f>
        <v/>
      </c>
      <c r="Y58">
        <f>Y51/$B51</f>
        <v/>
      </c>
      <c r="Z58">
        <f>Z51/$B51</f>
        <v/>
      </c>
      <c r="AA58">
        <f>AA51/$B51</f>
        <v/>
      </c>
      <c r="AB58">
        <f>AB51/$B51</f>
        <v/>
      </c>
      <c r="AC58">
        <f>AC51/$B51</f>
        <v/>
      </c>
      <c r="AD58">
        <f>AD51/$B51</f>
        <v/>
      </c>
    </row>
    <row r="59">
      <c r="A59" t="inlineStr">
        <is>
          <t>REST</t>
        </is>
      </c>
      <c r="B59">
        <f>B52/$B52</f>
        <v/>
      </c>
      <c r="C59">
        <f>C52/$B52</f>
        <v/>
      </c>
      <c r="D59">
        <f>D52/$B52</f>
        <v/>
      </c>
      <c r="E59">
        <f>E52/$B52</f>
        <v/>
      </c>
      <c r="F59">
        <f>F52/$B52</f>
        <v/>
      </c>
      <c r="G59">
        <f>G52/$B52</f>
        <v/>
      </c>
      <c r="H59">
        <f>H52/$B52</f>
        <v/>
      </c>
      <c r="I59">
        <f>I52/$B52</f>
        <v/>
      </c>
      <c r="J59">
        <f>J52/$B52</f>
        <v/>
      </c>
      <c r="K59">
        <f>K52/$B52</f>
        <v/>
      </c>
      <c r="L59">
        <f>L52/$B52</f>
        <v/>
      </c>
      <c r="M59">
        <f>M52/$B52</f>
        <v/>
      </c>
      <c r="N59">
        <f>N52/$B52</f>
        <v/>
      </c>
      <c r="O59">
        <f>O52/$B52</f>
        <v/>
      </c>
      <c r="P59">
        <f>P52/$B52</f>
        <v/>
      </c>
      <c r="Q59">
        <f>Q52/$B52</f>
        <v/>
      </c>
      <c r="R59">
        <f>R52/$B52</f>
        <v/>
      </c>
      <c r="S59">
        <f>S52/$B52</f>
        <v/>
      </c>
      <c r="T59">
        <f>T52/$B52</f>
        <v/>
      </c>
      <c r="U59">
        <f>U52/$B52</f>
        <v/>
      </c>
      <c r="V59">
        <f>V52/$B52</f>
        <v/>
      </c>
      <c r="W59">
        <f>W52/$B52</f>
        <v/>
      </c>
      <c r="X59">
        <f>X52/$B52</f>
        <v/>
      </c>
      <c r="Y59">
        <f>Y52/$B52</f>
        <v/>
      </c>
      <c r="Z59">
        <f>Z52/$B52</f>
        <v/>
      </c>
      <c r="AA59">
        <f>AA52/$B52</f>
        <v/>
      </c>
      <c r="AB59">
        <f>AB52/$B52</f>
        <v/>
      </c>
      <c r="AC59">
        <f>AC52/$B52</f>
        <v/>
      </c>
      <c r="AD59">
        <f>AD52/$B52</f>
        <v/>
      </c>
    </row>
    <row r="61">
      <c r="A61">
        <f>mu_KL_K!A1</f>
        <v/>
      </c>
      <c r="B61">
        <f>mu_KL_K!AD1</f>
        <v/>
      </c>
      <c r="C61">
        <f>mu_KL_K!AE1</f>
        <v/>
      </c>
      <c r="D61">
        <f>mu_KL_K!AF1</f>
        <v/>
      </c>
      <c r="E61">
        <f>mu_KL_K!AG1</f>
        <v/>
      </c>
      <c r="F61">
        <f>mu_KL_K!AH1</f>
        <v/>
      </c>
      <c r="G61">
        <f>mu_KL_K!AI1</f>
        <v/>
      </c>
      <c r="H61">
        <f>mu_KL_K!AJ1</f>
        <v/>
      </c>
      <c r="I61">
        <f>mu_KL_K!AK1</f>
        <v/>
      </c>
      <c r="J61">
        <f>mu_KL_K!AL1</f>
        <v/>
      </c>
      <c r="K61">
        <f>mu_KL_K!AM1</f>
        <v/>
      </c>
      <c r="L61">
        <f>mu_KL_K!AN1</f>
        <v/>
      </c>
      <c r="M61">
        <f>mu_KL_K!AO1</f>
        <v/>
      </c>
      <c r="N61">
        <f>mu_KL_K!AP1</f>
        <v/>
      </c>
      <c r="O61">
        <f>mu_KL_K!AQ1</f>
        <v/>
      </c>
      <c r="P61">
        <f>mu_KL_K!AR1</f>
        <v/>
      </c>
      <c r="Q61">
        <f>mu_KL_K!AS1</f>
        <v/>
      </c>
      <c r="R61">
        <f>mu_KL_K!AT1</f>
        <v/>
      </c>
      <c r="S61">
        <f>mu_KL_K!AU1</f>
        <v/>
      </c>
      <c r="T61">
        <f>mu_KL_K!AV1</f>
        <v/>
      </c>
      <c r="U61">
        <f>mu_KL_K!AW1</f>
        <v/>
      </c>
      <c r="V61">
        <f>mu_KL_K!AX1</f>
        <v/>
      </c>
      <c r="W61">
        <f>mu_KL_K!AY1</f>
        <v/>
      </c>
      <c r="X61">
        <f>mu_KL_K!AZ1</f>
        <v/>
      </c>
      <c r="Y61">
        <f>mu_KL_K!BA1</f>
        <v/>
      </c>
      <c r="Z61">
        <f>mu_KL_K!BB1</f>
        <v/>
      </c>
      <c r="AA61">
        <f>mu_KL_K!BC1</f>
        <v/>
      </c>
      <c r="AB61">
        <f>mu_KL_K!BD1</f>
        <v/>
      </c>
      <c r="AC61">
        <f>mu_KL_K!BE1</f>
        <v/>
      </c>
      <c r="AD61">
        <f>mu_KL_K!BF1</f>
        <v/>
      </c>
    </row>
    <row r="62">
      <c r="A62">
        <f>mu_KL_K!A2</f>
        <v/>
      </c>
      <c r="B62">
        <f>mu_Y_Mtot!AC2</f>
        <v/>
      </c>
      <c r="C62">
        <f>mu_Y_Mtot!AD2</f>
        <v/>
      </c>
      <c r="D62">
        <f>mu_Y_Mtot!AE2</f>
        <v/>
      </c>
      <c r="E62">
        <f>mu_Y_Mtot!AF2</f>
        <v/>
      </c>
      <c r="F62">
        <f>mu_Y_Mtot!AG2</f>
        <v/>
      </c>
      <c r="G62">
        <f>mu_Y_Mtot!AH2</f>
        <v/>
      </c>
      <c r="H62">
        <f>mu_Y_Mtot!AI2</f>
        <v/>
      </c>
      <c r="I62">
        <f>mu_Y_Mtot!AJ2</f>
        <v/>
      </c>
      <c r="J62">
        <f>mu_Y_Mtot!AK2</f>
        <v/>
      </c>
      <c r="K62">
        <f>mu_Y_Mtot!AL2</f>
        <v/>
      </c>
      <c r="L62">
        <f>mu_Y_Mtot!AM2</f>
        <v/>
      </c>
      <c r="M62">
        <f>mu_Y_Mtot!AN2</f>
        <v/>
      </c>
      <c r="N62">
        <f>mu_Y_Mtot!AO2</f>
        <v/>
      </c>
      <c r="O62">
        <f>mu_Y_Mtot!AP2</f>
        <v/>
      </c>
      <c r="P62">
        <f>mu_Y_Mtot!AQ2</f>
        <v/>
      </c>
      <c r="Q62">
        <f>mu_Y_Mtot!AR2</f>
        <v/>
      </c>
      <c r="R62">
        <f>mu_Y_Mtot!AS2</f>
        <v/>
      </c>
      <c r="S62">
        <f>mu_Y_Mtot!AT2</f>
        <v/>
      </c>
      <c r="T62">
        <f>mu_Y_Mtot!AU2</f>
        <v/>
      </c>
      <c r="U62">
        <f>mu_Y_Mtot!AV2</f>
        <v/>
      </c>
      <c r="V62">
        <f>mu_Y_Mtot!AW2</f>
        <v/>
      </c>
      <c r="W62">
        <f>mu_Y_Mtot!AX2</f>
        <v/>
      </c>
      <c r="X62">
        <f>mu_Y_Mtot!AY2</f>
        <v/>
      </c>
      <c r="Y62">
        <f>mu_Y_Mtot!AZ2</f>
        <v/>
      </c>
      <c r="Z62">
        <f>mu_Y_Mtot!BA2</f>
        <v/>
      </c>
      <c r="AA62">
        <f>mu_Y_Mtot!BB2</f>
        <v/>
      </c>
      <c r="AB62">
        <f>mu_Y_Mtot!BC2</f>
        <v/>
      </c>
      <c r="AC62">
        <f>mu_Y_Mtot!BD2</f>
        <v/>
      </c>
      <c r="AD62">
        <f>mu_Y_Mtot!BE2</f>
        <v/>
      </c>
    </row>
    <row r="63">
      <c r="A63">
        <f>mu_KL_K!A3</f>
        <v/>
      </c>
      <c r="B63">
        <f>mu_Y_Mtot!AC3</f>
        <v/>
      </c>
      <c r="C63">
        <f>mu_Y_Mtot!AD3</f>
        <v/>
      </c>
      <c r="D63">
        <f>mu_Y_Mtot!AE3</f>
        <v/>
      </c>
      <c r="E63">
        <f>mu_Y_Mtot!AF3</f>
        <v/>
      </c>
      <c r="F63">
        <f>mu_Y_Mtot!AG3</f>
        <v/>
      </c>
      <c r="G63">
        <f>mu_Y_Mtot!AH3</f>
        <v/>
      </c>
      <c r="H63">
        <f>mu_Y_Mtot!AI3</f>
        <v/>
      </c>
      <c r="I63">
        <f>mu_Y_Mtot!AJ3</f>
        <v/>
      </c>
      <c r="J63">
        <f>mu_Y_Mtot!AK3</f>
        <v/>
      </c>
      <c r="K63">
        <f>mu_Y_Mtot!AL3</f>
        <v/>
      </c>
      <c r="L63">
        <f>mu_Y_Mtot!AM3</f>
        <v/>
      </c>
      <c r="M63">
        <f>mu_Y_Mtot!AN3</f>
        <v/>
      </c>
      <c r="N63">
        <f>mu_Y_Mtot!AO3</f>
        <v/>
      </c>
      <c r="O63">
        <f>mu_Y_Mtot!AP3</f>
        <v/>
      </c>
      <c r="P63">
        <f>mu_Y_Mtot!AQ3</f>
        <v/>
      </c>
      <c r="Q63">
        <f>mu_Y_Mtot!AR3</f>
        <v/>
      </c>
      <c r="R63">
        <f>mu_Y_Mtot!AS3</f>
        <v/>
      </c>
      <c r="S63">
        <f>mu_Y_Mtot!AT3</f>
        <v/>
      </c>
      <c r="T63">
        <f>mu_Y_Mtot!AU3</f>
        <v/>
      </c>
      <c r="U63">
        <f>mu_Y_Mtot!AV3</f>
        <v/>
      </c>
      <c r="V63">
        <f>mu_Y_Mtot!AW3</f>
        <v/>
      </c>
      <c r="W63">
        <f>mu_Y_Mtot!AX3</f>
        <v/>
      </c>
      <c r="X63">
        <f>mu_Y_Mtot!AY3</f>
        <v/>
      </c>
      <c r="Y63">
        <f>mu_Y_Mtot!AZ3</f>
        <v/>
      </c>
      <c r="Z63">
        <f>mu_Y_Mtot!BA3</f>
        <v/>
      </c>
      <c r="AA63">
        <f>mu_Y_Mtot!BB3</f>
        <v/>
      </c>
      <c r="AB63">
        <f>mu_Y_Mtot!BC3</f>
        <v/>
      </c>
      <c r="AC63">
        <f>mu_Y_Mtot!BD3</f>
        <v/>
      </c>
      <c r="AD63">
        <f>mu_Y_Mtot!BE3</f>
        <v/>
      </c>
    </row>
    <row r="64">
      <c r="A64">
        <f>mu_KL_K!A4</f>
        <v/>
      </c>
      <c r="B64">
        <f>mu_Y_Mtot!AC4</f>
        <v/>
      </c>
      <c r="C64">
        <f>mu_Y_Mtot!AD4</f>
        <v/>
      </c>
      <c r="D64">
        <f>mu_Y_Mtot!AE4</f>
        <v/>
      </c>
      <c r="E64">
        <f>mu_Y_Mtot!AF4</f>
        <v/>
      </c>
      <c r="F64">
        <f>mu_Y_Mtot!AG4</f>
        <v/>
      </c>
      <c r="G64">
        <f>mu_Y_Mtot!AH4</f>
        <v/>
      </c>
      <c r="H64">
        <f>mu_Y_Mtot!AI4</f>
        <v/>
      </c>
      <c r="I64">
        <f>mu_Y_Mtot!AJ4</f>
        <v/>
      </c>
      <c r="J64">
        <f>mu_Y_Mtot!AK4</f>
        <v/>
      </c>
      <c r="K64">
        <f>mu_Y_Mtot!AL4</f>
        <v/>
      </c>
      <c r="L64">
        <f>mu_Y_Mtot!AM4</f>
        <v/>
      </c>
      <c r="M64">
        <f>mu_Y_Mtot!AN4</f>
        <v/>
      </c>
      <c r="N64">
        <f>mu_Y_Mtot!AO4</f>
        <v/>
      </c>
      <c r="O64">
        <f>mu_Y_Mtot!AP4</f>
        <v/>
      </c>
      <c r="P64">
        <f>mu_Y_Mtot!AQ4</f>
        <v/>
      </c>
      <c r="Q64">
        <f>mu_Y_Mtot!AR4</f>
        <v/>
      </c>
      <c r="R64">
        <f>mu_Y_Mtot!AS4</f>
        <v/>
      </c>
      <c r="S64">
        <f>mu_Y_Mtot!AT4</f>
        <v/>
      </c>
      <c r="T64">
        <f>mu_Y_Mtot!AU4</f>
        <v/>
      </c>
      <c r="U64">
        <f>mu_Y_Mtot!AV4</f>
        <v/>
      </c>
      <c r="V64">
        <f>mu_Y_Mtot!AW4</f>
        <v/>
      </c>
      <c r="W64">
        <f>mu_Y_Mtot!AX4</f>
        <v/>
      </c>
      <c r="X64">
        <f>mu_Y_Mtot!AY4</f>
        <v/>
      </c>
      <c r="Y64">
        <f>mu_Y_Mtot!AZ4</f>
        <v/>
      </c>
      <c r="Z64">
        <f>mu_Y_Mtot!BA4</f>
        <v/>
      </c>
      <c r="AA64">
        <f>mu_Y_Mtot!BB4</f>
        <v/>
      </c>
      <c r="AB64">
        <f>mu_Y_Mtot!BC4</f>
        <v/>
      </c>
      <c r="AC64">
        <f>mu_Y_Mtot!BD4</f>
        <v/>
      </c>
      <c r="AD64">
        <f>mu_Y_Mtot!BE4</f>
        <v/>
      </c>
    </row>
    <row r="65">
      <c r="A65">
        <f>mu_KL_K!A5</f>
        <v/>
      </c>
      <c r="B65">
        <f>mu_Y_Mtot!AC5</f>
        <v/>
      </c>
      <c r="C65">
        <f>mu_Y_Mtot!AD5</f>
        <v/>
      </c>
      <c r="D65">
        <f>mu_Y_Mtot!AE5</f>
        <v/>
      </c>
      <c r="E65">
        <f>mu_Y_Mtot!AF5</f>
        <v/>
      </c>
      <c r="F65">
        <f>mu_Y_Mtot!AG5</f>
        <v/>
      </c>
      <c r="G65">
        <f>mu_Y_Mtot!AH5</f>
        <v/>
      </c>
      <c r="H65">
        <f>mu_Y_Mtot!AI5</f>
        <v/>
      </c>
      <c r="I65">
        <f>mu_Y_Mtot!AJ5</f>
        <v/>
      </c>
      <c r="J65">
        <f>mu_Y_Mtot!AK5</f>
        <v/>
      </c>
      <c r="K65">
        <f>mu_Y_Mtot!AL5</f>
        <v/>
      </c>
      <c r="L65">
        <f>mu_Y_Mtot!AM5</f>
        <v/>
      </c>
      <c r="M65">
        <f>mu_Y_Mtot!AN5</f>
        <v/>
      </c>
      <c r="N65">
        <f>mu_Y_Mtot!AO5</f>
        <v/>
      </c>
      <c r="O65">
        <f>mu_Y_Mtot!AP5</f>
        <v/>
      </c>
      <c r="P65">
        <f>mu_Y_Mtot!AQ5</f>
        <v/>
      </c>
      <c r="Q65">
        <f>mu_Y_Mtot!AR5</f>
        <v/>
      </c>
      <c r="R65">
        <f>mu_Y_Mtot!AS5</f>
        <v/>
      </c>
      <c r="S65">
        <f>mu_Y_Mtot!AT5</f>
        <v/>
      </c>
      <c r="T65">
        <f>mu_Y_Mtot!AU5</f>
        <v/>
      </c>
      <c r="U65">
        <f>mu_Y_Mtot!AV5</f>
        <v/>
      </c>
      <c r="V65">
        <f>mu_Y_Mtot!AW5</f>
        <v/>
      </c>
      <c r="W65">
        <f>mu_Y_Mtot!AX5</f>
        <v/>
      </c>
      <c r="X65">
        <f>mu_Y_Mtot!AY5</f>
        <v/>
      </c>
      <c r="Y65">
        <f>mu_Y_Mtot!AZ5</f>
        <v/>
      </c>
      <c r="Z65">
        <f>mu_Y_Mtot!BA5</f>
        <v/>
      </c>
      <c r="AA65">
        <f>mu_Y_Mtot!BB5</f>
        <v/>
      </c>
      <c r="AB65">
        <f>mu_Y_Mtot!BC5</f>
        <v/>
      </c>
      <c r="AC65">
        <f>mu_Y_Mtot!BD5</f>
        <v/>
      </c>
      <c r="AD65">
        <f>mu_Y_Mtot!BE5</f>
        <v/>
      </c>
    </row>
    <row r="66">
      <c r="A66">
        <f>mu_KL_K!A6</f>
        <v/>
      </c>
      <c r="B66">
        <f>mu_Y_Mtot!AC6</f>
        <v/>
      </c>
      <c r="C66">
        <f>mu_Y_Mtot!AD6</f>
        <v/>
      </c>
      <c r="D66">
        <f>mu_Y_Mtot!AE6</f>
        <v/>
      </c>
      <c r="E66">
        <f>mu_Y_Mtot!AF6</f>
        <v/>
      </c>
      <c r="F66">
        <f>mu_Y_Mtot!AG6</f>
        <v/>
      </c>
      <c r="G66">
        <f>mu_Y_Mtot!AH6</f>
        <v/>
      </c>
      <c r="H66">
        <f>mu_Y_Mtot!AI6</f>
        <v/>
      </c>
      <c r="I66">
        <f>mu_Y_Mtot!AJ6</f>
        <v/>
      </c>
      <c r="J66">
        <f>mu_Y_Mtot!AK6</f>
        <v/>
      </c>
      <c r="K66">
        <f>mu_Y_Mtot!AL6</f>
        <v/>
      </c>
      <c r="L66">
        <f>mu_Y_Mtot!AM6</f>
        <v/>
      </c>
      <c r="M66">
        <f>mu_Y_Mtot!AN6</f>
        <v/>
      </c>
      <c r="N66">
        <f>mu_Y_Mtot!AO6</f>
        <v/>
      </c>
      <c r="O66">
        <f>mu_Y_Mtot!AP6</f>
        <v/>
      </c>
      <c r="P66">
        <f>mu_Y_Mtot!AQ6</f>
        <v/>
      </c>
      <c r="Q66">
        <f>mu_Y_Mtot!AR6</f>
        <v/>
      </c>
      <c r="R66">
        <f>mu_Y_Mtot!AS6</f>
        <v/>
      </c>
      <c r="S66">
        <f>mu_Y_Mtot!AT6</f>
        <v/>
      </c>
      <c r="T66">
        <f>mu_Y_Mtot!AU6</f>
        <v/>
      </c>
      <c r="U66">
        <f>mu_Y_Mtot!AV6</f>
        <v/>
      </c>
      <c r="V66">
        <f>mu_Y_Mtot!AW6</f>
        <v/>
      </c>
      <c r="W66">
        <f>mu_Y_Mtot!AX6</f>
        <v/>
      </c>
      <c r="X66">
        <f>mu_Y_Mtot!AY6</f>
        <v/>
      </c>
      <c r="Y66">
        <f>mu_Y_Mtot!AZ6</f>
        <v/>
      </c>
      <c r="Z66">
        <f>mu_Y_Mtot!BA6</f>
        <v/>
      </c>
      <c r="AA66">
        <f>mu_Y_Mtot!BB6</f>
        <v/>
      </c>
      <c r="AB66">
        <f>mu_Y_Mtot!BC6</f>
        <v/>
      </c>
      <c r="AC66">
        <f>mu_Y_Mtot!BD6</f>
        <v/>
      </c>
      <c r="AD66">
        <f>mu_Y_Mtot!BE6</f>
        <v/>
      </c>
    </row>
    <row r="68">
      <c r="A68" t="inlineStr">
        <is>
          <t>Indeks 1994=1</t>
        </is>
      </c>
      <c r="B68" t="n">
        <v>1994</v>
      </c>
      <c r="C68" t="n">
        <v>1995</v>
      </c>
      <c r="D68" t="n">
        <v>1996</v>
      </c>
      <c r="E68" t="n">
        <v>1997</v>
      </c>
      <c r="F68" t="n">
        <v>1998</v>
      </c>
      <c r="G68" t="n">
        <v>1999</v>
      </c>
      <c r="H68" t="n">
        <v>2000</v>
      </c>
      <c r="I68" t="n">
        <v>2001</v>
      </c>
      <c r="J68" t="n">
        <v>2002</v>
      </c>
      <c r="K68" t="n">
        <v>2003</v>
      </c>
      <c r="L68" t="n">
        <v>2004</v>
      </c>
      <c r="M68" t="n">
        <v>2005</v>
      </c>
      <c r="N68" t="n">
        <v>2006</v>
      </c>
      <c r="O68" t="n">
        <v>2007</v>
      </c>
      <c r="P68" t="n">
        <v>2008</v>
      </c>
      <c r="Q68" t="n">
        <v>2009</v>
      </c>
      <c r="R68" t="n">
        <v>2010</v>
      </c>
      <c r="S68" t="n">
        <v>2011</v>
      </c>
      <c r="T68" t="n">
        <v>2012</v>
      </c>
      <c r="U68" t="n">
        <v>2013</v>
      </c>
      <c r="V68" t="n">
        <v>2014</v>
      </c>
      <c r="W68" t="n">
        <v>2015</v>
      </c>
      <c r="X68" t="n">
        <v>2016</v>
      </c>
      <c r="Y68" t="n">
        <v>2017</v>
      </c>
      <c r="Z68" t="n">
        <v>2018</v>
      </c>
      <c r="AA68" t="n">
        <v>2019</v>
      </c>
      <c r="AB68" t="n">
        <v>2020</v>
      </c>
      <c r="AC68" t="n">
        <v>2021</v>
      </c>
      <c r="AD68" t="n">
        <v>2022</v>
      </c>
    </row>
    <row r="69">
      <c r="A69" t="inlineStr">
        <is>
          <t>Landbrug (010000)</t>
        </is>
      </c>
      <c r="B69">
        <f>B62/$B62</f>
        <v/>
      </c>
      <c r="C69">
        <f>C62/$B62</f>
        <v/>
      </c>
      <c r="D69">
        <f>D62/$B62</f>
        <v/>
      </c>
      <c r="E69">
        <f>E62/$B62</f>
        <v/>
      </c>
      <c r="F69">
        <f>F62/$B62</f>
        <v/>
      </c>
      <c r="G69">
        <f>G62/$B62</f>
        <v/>
      </c>
      <c r="H69">
        <f>H62/$B62</f>
        <v/>
      </c>
      <c r="I69">
        <f>I62/$B62</f>
        <v/>
      </c>
      <c r="J69">
        <f>J62/$B62</f>
        <v/>
      </c>
      <c r="K69">
        <f>K62/$B62</f>
        <v/>
      </c>
      <c r="L69">
        <f>L62/$B62</f>
        <v/>
      </c>
      <c r="M69">
        <f>M62/$B62</f>
        <v/>
      </c>
      <c r="N69">
        <f>N62/$B62</f>
        <v/>
      </c>
      <c r="O69">
        <f>O62/$B62</f>
        <v/>
      </c>
      <c r="P69">
        <f>P62/$B62</f>
        <v/>
      </c>
      <c r="Q69">
        <f>Q62/$B62</f>
        <v/>
      </c>
      <c r="R69">
        <f>R62/$B62</f>
        <v/>
      </c>
      <c r="S69">
        <f>S62/$B62</f>
        <v/>
      </c>
      <c r="T69">
        <f>T62/$B62</f>
        <v/>
      </c>
      <c r="U69">
        <f>U62/$B62</f>
        <v/>
      </c>
      <c r="V69">
        <f>V62/$B62</f>
        <v/>
      </c>
      <c r="W69">
        <f>W62/$B62</f>
        <v/>
      </c>
      <c r="X69">
        <f>X62/$B62</f>
        <v/>
      </c>
      <c r="Y69">
        <f>Y62/$B62</f>
        <v/>
      </c>
      <c r="Z69">
        <f>Z62/$B62</f>
        <v/>
      </c>
      <c r="AA69">
        <f>AA62/$B62</f>
        <v/>
      </c>
      <c r="AB69">
        <f>AB62/$B62</f>
        <v/>
      </c>
      <c r="AC69">
        <f>AC62/$B62</f>
        <v/>
      </c>
      <c r="AD69">
        <f>AD62/$B62</f>
        <v/>
      </c>
    </row>
    <row r="70">
      <c r="A70" t="inlineStr">
        <is>
          <t>Slagterier (100010)</t>
        </is>
      </c>
      <c r="B70">
        <f>B63/$B63</f>
        <v/>
      </c>
      <c r="C70">
        <f>C63/$B63</f>
        <v/>
      </c>
      <c r="D70">
        <f>D63/$B63</f>
        <v/>
      </c>
      <c r="E70">
        <f>E63/$B63</f>
        <v/>
      </c>
      <c r="F70">
        <f>F63/$B63</f>
        <v/>
      </c>
      <c r="G70">
        <f>G63/$B63</f>
        <v/>
      </c>
      <c r="H70">
        <f>H63/$B63</f>
        <v/>
      </c>
      <c r="I70">
        <f>I63/$B63</f>
        <v/>
      </c>
      <c r="J70">
        <f>J63/$B63</f>
        <v/>
      </c>
      <c r="K70">
        <f>K63/$B63</f>
        <v/>
      </c>
      <c r="L70">
        <f>L63/$B63</f>
        <v/>
      </c>
      <c r="M70">
        <f>M63/$B63</f>
        <v/>
      </c>
      <c r="N70">
        <f>N63/$B63</f>
        <v/>
      </c>
      <c r="O70">
        <f>O63/$B63</f>
        <v/>
      </c>
      <c r="P70">
        <f>P63/$B63</f>
        <v/>
      </c>
      <c r="Q70">
        <f>Q63/$B63</f>
        <v/>
      </c>
      <c r="R70">
        <f>R63/$B63</f>
        <v/>
      </c>
      <c r="S70">
        <f>S63/$B63</f>
        <v/>
      </c>
      <c r="T70">
        <f>T63/$B63</f>
        <v/>
      </c>
      <c r="U70">
        <f>U63/$B63</f>
        <v/>
      </c>
      <c r="V70">
        <f>V63/$B63</f>
        <v/>
      </c>
      <c r="W70">
        <f>W63/$B63</f>
        <v/>
      </c>
      <c r="X70">
        <f>X63/$B63</f>
        <v/>
      </c>
      <c r="Y70">
        <f>Y63/$B63</f>
        <v/>
      </c>
      <c r="Z70">
        <f>Z63/$B63</f>
        <v/>
      </c>
      <c r="AA70">
        <f>AA63/$B63</f>
        <v/>
      </c>
      <c r="AB70">
        <f>AB63/$B63</f>
        <v/>
      </c>
      <c r="AC70">
        <f>AC63/$B63</f>
        <v/>
      </c>
      <c r="AD70">
        <f>AD63/$B63</f>
        <v/>
      </c>
    </row>
    <row r="71">
      <c r="A71" t="inlineStr">
        <is>
          <t>Mejerier (100030)</t>
        </is>
      </c>
      <c r="B71">
        <f>B64/$B64</f>
        <v/>
      </c>
      <c r="C71">
        <f>C64/$B64</f>
        <v/>
      </c>
      <c r="D71">
        <f>D64/$B64</f>
        <v/>
      </c>
      <c r="E71">
        <f>E64/$B64</f>
        <v/>
      </c>
      <c r="F71">
        <f>F64/$B64</f>
        <v/>
      </c>
      <c r="G71">
        <f>G64/$B64</f>
        <v/>
      </c>
      <c r="H71">
        <f>H64/$B64</f>
        <v/>
      </c>
      <c r="I71">
        <f>I64/$B64</f>
        <v/>
      </c>
      <c r="J71">
        <f>J64/$B64</f>
        <v/>
      </c>
      <c r="K71">
        <f>K64/$B64</f>
        <v/>
      </c>
      <c r="L71">
        <f>L64/$B64</f>
        <v/>
      </c>
      <c r="M71">
        <f>M64/$B64</f>
        <v/>
      </c>
      <c r="N71">
        <f>N64/$B64</f>
        <v/>
      </c>
      <c r="O71">
        <f>O64/$B64</f>
        <v/>
      </c>
      <c r="P71">
        <f>P64/$B64</f>
        <v/>
      </c>
      <c r="Q71">
        <f>Q64/$B64</f>
        <v/>
      </c>
      <c r="R71">
        <f>R64/$B64</f>
        <v/>
      </c>
      <c r="S71">
        <f>S64/$B64</f>
        <v/>
      </c>
      <c r="T71">
        <f>T64/$B64</f>
        <v/>
      </c>
      <c r="U71">
        <f>U64/$B64</f>
        <v/>
      </c>
      <c r="V71">
        <f>V64/$B64</f>
        <v/>
      </c>
      <c r="W71">
        <f>W64/$B64</f>
        <v/>
      </c>
      <c r="X71">
        <f>X64/$B64</f>
        <v/>
      </c>
      <c r="Y71">
        <f>Y64/$B64</f>
        <v/>
      </c>
      <c r="Z71">
        <f>Z64/$B64</f>
        <v/>
      </c>
      <c r="AA71">
        <f>AA64/$B64</f>
        <v/>
      </c>
      <c r="AB71">
        <f>AB64/$B64</f>
        <v/>
      </c>
      <c r="AC71">
        <f>AC64/$B64</f>
        <v/>
      </c>
      <c r="AD71">
        <f>AD64/$B64</f>
        <v/>
      </c>
    </row>
    <row r="72">
      <c r="A72" t="inlineStr">
        <is>
          <t>Anden fødevareindustri (100040x100050)</t>
        </is>
      </c>
      <c r="B72">
        <f>B65/$B65</f>
        <v/>
      </c>
      <c r="C72">
        <f>C65/$B65</f>
        <v/>
      </c>
      <c r="D72">
        <f>D65/$B65</f>
        <v/>
      </c>
      <c r="E72">
        <f>E65/$B65</f>
        <v/>
      </c>
      <c r="F72">
        <f>F65/$B65</f>
        <v/>
      </c>
      <c r="G72">
        <f>G65/$B65</f>
        <v/>
      </c>
      <c r="H72">
        <f>H65/$B65</f>
        <v/>
      </c>
      <c r="I72">
        <f>I65/$B65</f>
        <v/>
      </c>
      <c r="J72">
        <f>J65/$B65</f>
        <v/>
      </c>
      <c r="K72">
        <f>K65/$B65</f>
        <v/>
      </c>
      <c r="L72">
        <f>L65/$B65</f>
        <v/>
      </c>
      <c r="M72">
        <f>M65/$B65</f>
        <v/>
      </c>
      <c r="N72">
        <f>N65/$B65</f>
        <v/>
      </c>
      <c r="O72">
        <f>O65/$B65</f>
        <v/>
      </c>
      <c r="P72">
        <f>P65/$B65</f>
        <v/>
      </c>
      <c r="Q72">
        <f>Q65/$B65</f>
        <v/>
      </c>
      <c r="R72">
        <f>R65/$B65</f>
        <v/>
      </c>
      <c r="S72">
        <f>S65/$B65</f>
        <v/>
      </c>
      <c r="T72">
        <f>T65/$B65</f>
        <v/>
      </c>
      <c r="U72">
        <f>U65/$B65</f>
        <v/>
      </c>
      <c r="V72">
        <f>V65/$B65</f>
        <v/>
      </c>
      <c r="W72">
        <f>W65/$B65</f>
        <v/>
      </c>
      <c r="X72">
        <f>X65/$B65</f>
        <v/>
      </c>
      <c r="Y72">
        <f>Y65/$B65</f>
        <v/>
      </c>
      <c r="Z72">
        <f>Z65/$B65</f>
        <v/>
      </c>
      <c r="AA72">
        <f>AA65/$B65</f>
        <v/>
      </c>
      <c r="AB72">
        <f>AB65/$B65</f>
        <v/>
      </c>
      <c r="AC72">
        <f>AC65/$B65</f>
        <v/>
      </c>
      <c r="AD72">
        <f>AD65/$B65</f>
        <v/>
      </c>
    </row>
    <row r="73">
      <c r="A73" t="inlineStr">
        <is>
          <t>REST</t>
        </is>
      </c>
      <c r="B73">
        <f>B66/$B66</f>
        <v/>
      </c>
      <c r="C73">
        <f>C66/$B66</f>
        <v/>
      </c>
      <c r="D73">
        <f>D66/$B66</f>
        <v/>
      </c>
      <c r="E73">
        <f>E66/$B66</f>
        <v/>
      </c>
      <c r="F73">
        <f>F66/$B66</f>
        <v/>
      </c>
      <c r="G73">
        <f>G66/$B66</f>
        <v/>
      </c>
      <c r="H73">
        <f>H66/$B66</f>
        <v/>
      </c>
      <c r="I73">
        <f>I66/$B66</f>
        <v/>
      </c>
      <c r="J73">
        <f>J66/$B66</f>
        <v/>
      </c>
      <c r="K73">
        <f>K66/$B66</f>
        <v/>
      </c>
      <c r="L73">
        <f>L66/$B66</f>
        <v/>
      </c>
      <c r="M73">
        <f>M66/$B66</f>
        <v/>
      </c>
      <c r="N73">
        <f>N66/$B66</f>
        <v/>
      </c>
      <c r="O73">
        <f>O66/$B66</f>
        <v/>
      </c>
      <c r="P73">
        <f>P66/$B66</f>
        <v/>
      </c>
      <c r="Q73">
        <f>Q66/$B66</f>
        <v/>
      </c>
      <c r="R73">
        <f>R66/$B66</f>
        <v/>
      </c>
      <c r="S73">
        <f>S66/$B66</f>
        <v/>
      </c>
      <c r="T73">
        <f>T66/$B66</f>
        <v/>
      </c>
      <c r="U73">
        <f>U66/$B66</f>
        <v/>
      </c>
      <c r="V73">
        <f>V66/$B66</f>
        <v/>
      </c>
      <c r="W73">
        <f>W66/$B66</f>
        <v/>
      </c>
      <c r="X73">
        <f>X66/$B66</f>
        <v/>
      </c>
      <c r="Y73">
        <f>Y66/$B66</f>
        <v/>
      </c>
      <c r="Z73">
        <f>Z66/$B66</f>
        <v/>
      </c>
      <c r="AA73">
        <f>AA66/$B66</f>
        <v/>
      </c>
      <c r="AB73">
        <f>AB66/$B66</f>
        <v/>
      </c>
      <c r="AC73">
        <f>AC66/$B66</f>
        <v/>
      </c>
      <c r="AD73">
        <f>AD66/$B66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H1" workbookViewId="0">
      <selection activeCell="K22" sqref="K22"/>
    </sheetView>
  </sheetViews>
  <sheetFormatPr baseColWidth="8" defaultRowHeight="14.25"/>
  <cols>
    <col width="14.125" bestFit="1" customWidth="1" style="6" min="2" max="2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Y!AB2</f>
        <v/>
      </c>
      <c r="C3">
        <f>Y!AC2</f>
        <v/>
      </c>
      <c r="D3">
        <f>Y!AD2</f>
        <v/>
      </c>
      <c r="E3">
        <f>Y!AE2</f>
        <v/>
      </c>
      <c r="F3">
        <f>Y!AF2</f>
        <v/>
      </c>
      <c r="G3">
        <f>Y!AG2</f>
        <v/>
      </c>
      <c r="H3">
        <f>Y!AH2</f>
        <v/>
      </c>
      <c r="I3">
        <f>Y!AI2</f>
        <v/>
      </c>
      <c r="J3">
        <f>Y!AJ2</f>
        <v/>
      </c>
      <c r="K3">
        <f>Y!AK2</f>
        <v/>
      </c>
      <c r="L3">
        <f>Y!AL2</f>
        <v/>
      </c>
      <c r="M3">
        <f>Y!AM2</f>
        <v/>
      </c>
      <c r="N3">
        <f>Y!AN2</f>
        <v/>
      </c>
      <c r="O3">
        <f>Y!AO2</f>
        <v/>
      </c>
      <c r="P3">
        <f>Y!AP2</f>
        <v/>
      </c>
      <c r="Q3">
        <f>Y!AQ2</f>
        <v/>
      </c>
      <c r="R3">
        <f>Y!AR2</f>
        <v/>
      </c>
      <c r="S3">
        <f>Y!AS2</f>
        <v/>
      </c>
      <c r="T3">
        <f>Y!AT2</f>
        <v/>
      </c>
      <c r="U3">
        <f>Y!AU2</f>
        <v/>
      </c>
      <c r="V3">
        <f>Y!AV2</f>
        <v/>
      </c>
      <c r="W3">
        <f>Y!AW2</f>
        <v/>
      </c>
      <c r="X3">
        <f>Y!AX2</f>
        <v/>
      </c>
      <c r="Y3">
        <f>Y!AY2</f>
        <v/>
      </c>
      <c r="Z3">
        <f>Y!AZ2</f>
        <v/>
      </c>
      <c r="AA3">
        <f>Y!BA2</f>
        <v/>
      </c>
      <c r="AB3">
        <f>Y!BB2</f>
        <v/>
      </c>
      <c r="AC3">
        <f>Y!BC2</f>
        <v/>
      </c>
      <c r="AD3">
        <f>Y!BD2</f>
        <v/>
      </c>
      <c r="AE3">
        <f>Y!BE2</f>
        <v/>
      </c>
    </row>
    <row r="4">
      <c r="A4" t="inlineStr">
        <is>
          <t>K</t>
        </is>
      </c>
      <c r="B4">
        <f>K!AC2</f>
        <v/>
      </c>
      <c r="C4">
        <f>K!AD2</f>
        <v/>
      </c>
      <c r="D4">
        <f>K!AE2</f>
        <v/>
      </c>
      <c r="E4">
        <f>K!AF2</f>
        <v/>
      </c>
      <c r="F4">
        <f>K!AG2</f>
        <v/>
      </c>
      <c r="G4">
        <f>K!AH2</f>
        <v/>
      </c>
      <c r="H4">
        <f>K!AI2</f>
        <v/>
      </c>
      <c r="I4">
        <f>K!AJ2</f>
        <v/>
      </c>
      <c r="J4">
        <f>K!AK2</f>
        <v/>
      </c>
      <c r="K4">
        <f>K!AL2</f>
        <v/>
      </c>
      <c r="L4">
        <f>K!AM2</f>
        <v/>
      </c>
      <c r="M4">
        <f>K!AN2</f>
        <v/>
      </c>
      <c r="N4">
        <f>K!AO2</f>
        <v/>
      </c>
      <c r="O4">
        <f>K!AP2</f>
        <v/>
      </c>
      <c r="P4">
        <f>K!AQ2</f>
        <v/>
      </c>
      <c r="Q4">
        <f>K!AR2</f>
        <v/>
      </c>
      <c r="R4">
        <f>K!AS2</f>
        <v/>
      </c>
      <c r="S4">
        <f>K!AT2</f>
        <v/>
      </c>
      <c r="T4">
        <f>K!AU2</f>
        <v/>
      </c>
      <c r="U4">
        <f>K!AV2</f>
        <v/>
      </c>
      <c r="V4">
        <f>K!AW2</f>
        <v/>
      </c>
      <c r="W4">
        <f>K!AX2</f>
        <v/>
      </c>
      <c r="X4">
        <f>K!AY2</f>
        <v/>
      </c>
      <c r="Y4">
        <f>K!AZ2</f>
        <v/>
      </c>
      <c r="Z4">
        <f>K!BA2</f>
        <v/>
      </c>
      <c r="AA4">
        <f>K!BB2</f>
        <v/>
      </c>
      <c r="AB4">
        <f>K!BC2</f>
        <v/>
      </c>
      <c r="AC4">
        <f>K!BD2</f>
        <v/>
      </c>
      <c r="AD4">
        <f>K!BE2</f>
        <v/>
      </c>
      <c r="AE4">
        <f>K!BF2</f>
        <v/>
      </c>
    </row>
    <row r="5">
      <c r="A5" t="inlineStr">
        <is>
          <t>L</t>
        </is>
      </c>
      <c r="B5">
        <f>L!AC2</f>
        <v/>
      </c>
      <c r="C5">
        <f>L!AD2</f>
        <v/>
      </c>
      <c r="D5">
        <f>L!AE2</f>
        <v/>
      </c>
      <c r="E5">
        <f>L!AF2</f>
        <v/>
      </c>
      <c r="F5">
        <f>L!AG2</f>
        <v/>
      </c>
      <c r="G5">
        <f>L!AH2</f>
        <v/>
      </c>
      <c r="H5">
        <f>L!AI2</f>
        <v/>
      </c>
      <c r="I5">
        <f>L!AJ2</f>
        <v/>
      </c>
      <c r="J5">
        <f>L!AK2</f>
        <v/>
      </c>
      <c r="K5">
        <f>L!AL2</f>
        <v/>
      </c>
      <c r="L5">
        <f>L!AM2</f>
        <v/>
      </c>
      <c r="M5">
        <f>L!AN2</f>
        <v/>
      </c>
      <c r="N5">
        <f>L!AO2</f>
        <v/>
      </c>
      <c r="O5">
        <f>L!AP2</f>
        <v/>
      </c>
      <c r="P5">
        <f>L!AQ2</f>
        <v/>
      </c>
      <c r="Q5">
        <f>L!AR2</f>
        <v/>
      </c>
      <c r="R5">
        <f>L!AS2</f>
        <v/>
      </c>
      <c r="S5">
        <f>L!AT2</f>
        <v/>
      </c>
      <c r="T5">
        <f>L!AU2</f>
        <v/>
      </c>
      <c r="U5">
        <f>L!AV2</f>
        <v/>
      </c>
      <c r="V5">
        <f>L!AW2</f>
        <v/>
      </c>
      <c r="W5">
        <f>L!AX2</f>
        <v/>
      </c>
      <c r="X5">
        <f>L!AY2</f>
        <v/>
      </c>
      <c r="Y5">
        <f>L!AZ2</f>
        <v/>
      </c>
      <c r="Z5">
        <f>L!BA2</f>
        <v/>
      </c>
      <c r="AA5">
        <f>L!BB2</f>
        <v/>
      </c>
      <c r="AB5">
        <f>L!BC2</f>
        <v/>
      </c>
      <c r="AC5">
        <f>L!BD2</f>
        <v/>
      </c>
      <c r="AD5">
        <f>L!BE2</f>
        <v/>
      </c>
      <c r="AE5">
        <f>L!BF2</f>
        <v/>
      </c>
    </row>
    <row r="6">
      <c r="A6" t="inlineStr">
        <is>
          <t>Mtot</t>
        </is>
      </c>
      <c r="B6">
        <f>Mtot!AB2</f>
        <v/>
      </c>
      <c r="C6">
        <f>Mtot!AC2</f>
        <v/>
      </c>
      <c r="D6">
        <f>Mtot!AD2</f>
        <v/>
      </c>
      <c r="E6">
        <f>Mtot!AE2</f>
        <v/>
      </c>
      <c r="F6">
        <f>Mtot!AF2</f>
        <v/>
      </c>
      <c r="G6">
        <f>Mtot!AG2</f>
        <v/>
      </c>
      <c r="H6">
        <f>Mtot!AH2</f>
        <v/>
      </c>
      <c r="I6">
        <f>Mtot!AI2</f>
        <v/>
      </c>
      <c r="J6">
        <f>Mtot!AJ2</f>
        <v/>
      </c>
      <c r="K6">
        <f>Mtot!AK2</f>
        <v/>
      </c>
      <c r="L6">
        <f>Mtot!AL2</f>
        <v/>
      </c>
      <c r="M6">
        <f>Mtot!AM2</f>
        <v/>
      </c>
      <c r="N6">
        <f>Mtot!AN2</f>
        <v/>
      </c>
      <c r="O6">
        <f>Mtot!AO2</f>
        <v/>
      </c>
      <c r="P6">
        <f>Mtot!AP2</f>
        <v/>
      </c>
      <c r="Q6">
        <f>Mtot!AQ2</f>
        <v/>
      </c>
      <c r="R6">
        <f>Mtot!AR2</f>
        <v/>
      </c>
      <c r="S6">
        <f>Mtot!AS2</f>
        <v/>
      </c>
      <c r="T6">
        <f>Mtot!AT2</f>
        <v/>
      </c>
      <c r="U6">
        <f>Mtot!AU2</f>
        <v/>
      </c>
      <c r="V6">
        <f>Mtot!AV2</f>
        <v/>
      </c>
      <c r="W6">
        <f>Mtot!AW2</f>
        <v/>
      </c>
      <c r="X6">
        <f>Mtot!AX2</f>
        <v/>
      </c>
      <c r="Y6">
        <f>Mtot!AY2</f>
        <v/>
      </c>
      <c r="Z6">
        <f>Mtot!AZ2</f>
        <v/>
      </c>
      <c r="AA6">
        <f>Mtot!BA2</f>
        <v/>
      </c>
      <c r="AB6">
        <f>Mtot!BB2</f>
        <v/>
      </c>
      <c r="AC6">
        <f>Mtot!BC2</f>
        <v/>
      </c>
      <c r="AD6">
        <f>Mtot!BD2</f>
        <v/>
      </c>
      <c r="AE6">
        <f>Mtot!BE2</f>
        <v/>
      </c>
    </row>
    <row r="7">
      <c r="A7" t="inlineStr">
        <is>
          <t>J</t>
        </is>
      </c>
      <c r="B7">
        <f>J!M2</f>
        <v/>
      </c>
      <c r="C7">
        <f>J!N2</f>
        <v/>
      </c>
      <c r="D7">
        <f>J!O2</f>
        <v/>
      </c>
      <c r="E7">
        <f>J!P2</f>
        <v/>
      </c>
      <c r="F7">
        <f>J!Q2</f>
        <v/>
      </c>
      <c r="G7">
        <f>J!R2</f>
        <v/>
      </c>
      <c r="H7">
        <f>J!S2</f>
        <v/>
      </c>
      <c r="I7">
        <f>J!T2</f>
        <v/>
      </c>
      <c r="J7">
        <f>J!U2</f>
        <v/>
      </c>
      <c r="K7">
        <f>J!V2</f>
        <v/>
      </c>
      <c r="L7">
        <f>J!W2</f>
        <v/>
      </c>
      <c r="M7">
        <f>J!X2</f>
        <v/>
      </c>
      <c r="N7">
        <f>J!Y2</f>
        <v/>
      </c>
      <c r="O7">
        <f>J!Z2</f>
        <v/>
      </c>
      <c r="P7">
        <f>J!AA2</f>
        <v/>
      </c>
      <c r="Q7">
        <f>J!AB2</f>
        <v/>
      </c>
      <c r="R7">
        <f>J!AC2</f>
        <v/>
      </c>
      <c r="S7">
        <f>J!AD2</f>
        <v/>
      </c>
      <c r="T7">
        <f>J!AE2</f>
        <v/>
      </c>
      <c r="U7">
        <f>J!AF2</f>
        <v/>
      </c>
      <c r="V7">
        <f>J!AG2</f>
        <v/>
      </c>
      <c r="W7">
        <f>J!AH2</f>
        <v/>
      </c>
      <c r="X7">
        <f>J!AI2</f>
        <v/>
      </c>
      <c r="Y7">
        <f>J!AJ2</f>
        <v/>
      </c>
      <c r="Z7">
        <f>J!AK2</f>
        <v/>
      </c>
      <c r="AA7">
        <f>J!AL2</f>
        <v/>
      </c>
      <c r="AB7">
        <f>J!AM2</f>
        <v/>
      </c>
      <c r="AC7">
        <f>J!AN2</f>
        <v/>
      </c>
      <c r="AD7">
        <f>J!AO2</f>
        <v/>
      </c>
      <c r="AE7">
        <f>J!AP2</f>
        <v/>
      </c>
    </row>
    <row r="8" s="6">
      <c r="A8" t="inlineStr">
        <is>
          <t>I</t>
        </is>
      </c>
      <c r="B8">
        <f>I!AC2</f>
        <v/>
      </c>
      <c r="C8">
        <f>I!AD2</f>
        <v/>
      </c>
      <c r="D8">
        <f>I!AE2</f>
        <v/>
      </c>
      <c r="E8">
        <f>I!AF2</f>
        <v/>
      </c>
      <c r="F8">
        <f>I!AG2</f>
        <v/>
      </c>
      <c r="G8">
        <f>I!AH2</f>
        <v/>
      </c>
      <c r="H8">
        <f>I!AI2</f>
        <v/>
      </c>
      <c r="I8">
        <f>I!AJ2</f>
        <v/>
      </c>
      <c r="J8">
        <f>I!AK2</f>
        <v/>
      </c>
      <c r="K8">
        <f>I!AL2</f>
        <v/>
      </c>
      <c r="L8">
        <f>I!AM2</f>
        <v/>
      </c>
      <c r="M8">
        <f>I!AN2</f>
        <v/>
      </c>
      <c r="N8">
        <f>I!AO2</f>
        <v/>
      </c>
      <c r="O8">
        <f>I!AP2</f>
        <v/>
      </c>
      <c r="P8">
        <f>I!AQ2</f>
        <v/>
      </c>
      <c r="Q8">
        <f>I!AR2</f>
        <v/>
      </c>
      <c r="R8">
        <f>I!AS2</f>
        <v/>
      </c>
      <c r="S8">
        <f>I!AT2</f>
        <v/>
      </c>
      <c r="T8">
        <f>I!AU2</f>
        <v/>
      </c>
      <c r="U8">
        <f>I!AV2</f>
        <v/>
      </c>
      <c r="V8">
        <f>I!AW2</f>
        <v/>
      </c>
      <c r="W8">
        <f>I!AX2</f>
        <v/>
      </c>
      <c r="X8">
        <f>I!AY2</f>
        <v/>
      </c>
      <c r="Y8">
        <f>I!AZ2</f>
        <v/>
      </c>
      <c r="Z8">
        <f>I!BA2</f>
        <v/>
      </c>
      <c r="AA8">
        <f>I!BB2</f>
        <v/>
      </c>
      <c r="AB8">
        <f>I!BC2</f>
        <v/>
      </c>
      <c r="AC8">
        <f>I!BD2</f>
        <v/>
      </c>
      <c r="AD8">
        <f>I!BE2</f>
        <v/>
      </c>
      <c r="AE8">
        <f>I!BF2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P!AB2</f>
        <v/>
      </c>
      <c r="C11">
        <f>P!AC2</f>
        <v/>
      </c>
      <c r="D11">
        <f>P!AD2</f>
        <v/>
      </c>
      <c r="E11">
        <f>P!AE2</f>
        <v/>
      </c>
      <c r="F11">
        <f>P!AF2</f>
        <v/>
      </c>
      <c r="G11">
        <f>P!AG2</f>
        <v/>
      </c>
      <c r="H11">
        <f>P!AH2</f>
        <v/>
      </c>
      <c r="I11">
        <f>P!AI2</f>
        <v/>
      </c>
      <c r="J11">
        <f>P!AJ2</f>
        <v/>
      </c>
      <c r="K11">
        <f>P!AK2</f>
        <v/>
      </c>
      <c r="L11">
        <f>P!AL2</f>
        <v/>
      </c>
      <c r="M11">
        <f>P!AM2</f>
        <v/>
      </c>
      <c r="N11">
        <f>P!AN2</f>
        <v/>
      </c>
      <c r="O11">
        <f>P!AO2</f>
        <v/>
      </c>
      <c r="P11">
        <f>P!AP2</f>
        <v/>
      </c>
      <c r="Q11">
        <f>P!AQ2</f>
        <v/>
      </c>
      <c r="R11">
        <f>P!AR2</f>
        <v/>
      </c>
      <c r="S11">
        <f>P!AS2</f>
        <v/>
      </c>
      <c r="T11">
        <f>P!AT2</f>
        <v/>
      </c>
      <c r="U11">
        <f>P!AU2</f>
        <v/>
      </c>
      <c r="V11">
        <f>P!AV2</f>
        <v/>
      </c>
      <c r="W11">
        <f>P!AW2</f>
        <v/>
      </c>
      <c r="X11">
        <f>P!AX2</f>
        <v/>
      </c>
      <c r="Y11">
        <f>P!AY2</f>
        <v/>
      </c>
      <c r="Z11">
        <f>P!AZ2</f>
        <v/>
      </c>
      <c r="AA11">
        <f>P!BA2</f>
        <v/>
      </c>
      <c r="AB11">
        <f>P!BB2</f>
        <v/>
      </c>
      <c r="AC11">
        <f>P!BC2</f>
        <v/>
      </c>
      <c r="AD11">
        <f>P!BD2</f>
        <v/>
      </c>
      <c r="AE11">
        <f>P!BE2</f>
        <v/>
      </c>
    </row>
    <row r="12">
      <c r="A12" t="inlineStr">
        <is>
          <t>P_K</t>
        </is>
      </c>
      <c r="B12">
        <f>P_K!AC2</f>
        <v/>
      </c>
      <c r="C12">
        <f>P_K!AD2</f>
        <v/>
      </c>
      <c r="D12">
        <f>P_K!AE2</f>
        <v/>
      </c>
      <c r="E12">
        <f>P_K!AF2</f>
        <v/>
      </c>
      <c r="F12">
        <f>P_K!AG2</f>
        <v/>
      </c>
      <c r="G12">
        <f>P_K!AH2</f>
        <v/>
      </c>
      <c r="H12">
        <f>P_K!AI2</f>
        <v/>
      </c>
      <c r="I12">
        <f>P_K!AJ2</f>
        <v/>
      </c>
      <c r="J12">
        <f>P_K!AK2</f>
        <v/>
      </c>
      <c r="K12">
        <f>P_K!AL2</f>
        <v/>
      </c>
      <c r="L12">
        <f>P_K!AM2</f>
        <v/>
      </c>
      <c r="M12">
        <f>P_K!AN2</f>
        <v/>
      </c>
      <c r="N12">
        <f>P_K!AO2</f>
        <v/>
      </c>
      <c r="O12">
        <f>P_K!AP2</f>
        <v/>
      </c>
      <c r="P12">
        <f>P_K!AQ2</f>
        <v/>
      </c>
      <c r="Q12">
        <f>P_K!AR2</f>
        <v/>
      </c>
      <c r="R12">
        <f>P_K!AS2</f>
        <v/>
      </c>
      <c r="S12">
        <f>P_K!AT2</f>
        <v/>
      </c>
      <c r="T12">
        <f>P_K!AU2</f>
        <v/>
      </c>
      <c r="U12">
        <f>P_K!AV2</f>
        <v/>
      </c>
      <c r="V12">
        <f>P_K!AW2</f>
        <v/>
      </c>
      <c r="W12">
        <f>P_K!AX2</f>
        <v/>
      </c>
      <c r="X12">
        <f>P_K!AY2</f>
        <v/>
      </c>
      <c r="Y12">
        <f>P_K!AZ2</f>
        <v/>
      </c>
      <c r="Z12">
        <f>P_K!BA2</f>
        <v/>
      </c>
      <c r="AA12">
        <f>P_K!BB2</f>
        <v/>
      </c>
      <c r="AB12">
        <f>P_K!BC2</f>
        <v/>
      </c>
      <c r="AC12">
        <f>P_K!BD2</f>
        <v/>
      </c>
      <c r="AD12">
        <f>P_K!BE2</f>
        <v/>
      </c>
      <c r="AE12">
        <f>P_K!BF2</f>
        <v/>
      </c>
    </row>
    <row r="13">
      <c r="A13" t="inlineStr">
        <is>
          <t>w</t>
        </is>
      </c>
      <c r="B13">
        <f>w!AC2</f>
        <v/>
      </c>
      <c r="C13">
        <f>w!AD2</f>
        <v/>
      </c>
      <c r="D13">
        <f>w!AE2</f>
        <v/>
      </c>
      <c r="E13">
        <f>w!AF2</f>
        <v/>
      </c>
      <c r="F13">
        <f>w!AG2</f>
        <v/>
      </c>
      <c r="G13">
        <f>w!AH2</f>
        <v/>
      </c>
      <c r="H13">
        <f>w!AI2</f>
        <v/>
      </c>
      <c r="I13">
        <f>w!AJ2</f>
        <v/>
      </c>
      <c r="J13">
        <f>w!AK2</f>
        <v/>
      </c>
      <c r="K13">
        <f>w!AL2</f>
        <v/>
      </c>
      <c r="L13">
        <f>w!AM2</f>
        <v/>
      </c>
      <c r="M13">
        <f>w!AN2</f>
        <v/>
      </c>
      <c r="N13">
        <f>w!AO2</f>
        <v/>
      </c>
      <c r="O13">
        <f>w!AP2</f>
        <v/>
      </c>
      <c r="P13">
        <f>w!AQ2</f>
        <v/>
      </c>
      <c r="Q13">
        <f>w!AR2</f>
        <v/>
      </c>
      <c r="R13">
        <f>w!AS2</f>
        <v/>
      </c>
      <c r="S13">
        <f>w!AT2</f>
        <v/>
      </c>
      <c r="T13">
        <f>w!AU2</f>
        <v/>
      </c>
      <c r="U13">
        <f>w!AV2</f>
        <v/>
      </c>
      <c r="V13">
        <f>w!AW2</f>
        <v/>
      </c>
      <c r="W13">
        <f>w!AX2</f>
        <v/>
      </c>
      <c r="X13">
        <f>w!AY2</f>
        <v/>
      </c>
      <c r="Y13">
        <f>w!AZ2</f>
        <v/>
      </c>
      <c r="Z13">
        <f>w!BA2</f>
        <v/>
      </c>
      <c r="AA13">
        <f>w!BB2</f>
        <v/>
      </c>
      <c r="AB13">
        <f>w!BC2</f>
        <v/>
      </c>
      <c r="AC13">
        <f>w!BD2</f>
        <v/>
      </c>
      <c r="AD13">
        <f>w!BE2</f>
        <v/>
      </c>
      <c r="AE13">
        <f>w!BF2</f>
        <v/>
      </c>
    </row>
    <row r="14">
      <c r="A14" t="inlineStr">
        <is>
          <t>P_Mtot</t>
        </is>
      </c>
      <c r="B14">
        <f>P_Mtot!AB2</f>
        <v/>
      </c>
      <c r="C14">
        <f>P_Mtot!AC2</f>
        <v/>
      </c>
      <c r="D14">
        <f>P_Mtot!AD2</f>
        <v/>
      </c>
      <c r="E14">
        <f>P_Mtot!AE2</f>
        <v/>
      </c>
      <c r="F14">
        <f>P_Mtot!AF2</f>
        <v/>
      </c>
      <c r="G14">
        <f>P_Mtot!AG2</f>
        <v/>
      </c>
      <c r="H14">
        <f>P_Mtot!AH2</f>
        <v/>
      </c>
      <c r="I14">
        <f>P_Mtot!AI2</f>
        <v/>
      </c>
      <c r="J14">
        <f>P_Mtot!AJ2</f>
        <v/>
      </c>
      <c r="K14">
        <f>P_Mtot!AK2</f>
        <v/>
      </c>
      <c r="L14">
        <f>P_Mtot!AL2</f>
        <v/>
      </c>
      <c r="M14">
        <f>P_Mtot!AM2</f>
        <v/>
      </c>
      <c r="N14">
        <f>P_Mtot!AN2</f>
        <v/>
      </c>
      <c r="O14">
        <f>P_Mtot!AO2</f>
        <v/>
      </c>
      <c r="P14">
        <f>P_Mtot!AP2</f>
        <v/>
      </c>
      <c r="Q14">
        <f>P_Mtot!AQ2</f>
        <v/>
      </c>
      <c r="R14">
        <f>P_Mtot!AR2</f>
        <v/>
      </c>
      <c r="S14">
        <f>P_Mtot!AS2</f>
        <v/>
      </c>
      <c r="T14">
        <f>P_Mtot!AT2</f>
        <v/>
      </c>
      <c r="U14">
        <f>P_Mtot!AU2</f>
        <v/>
      </c>
      <c r="V14">
        <f>P_Mtot!AV2</f>
        <v/>
      </c>
      <c r="W14">
        <f>P_Mtot!AW2</f>
        <v/>
      </c>
      <c r="X14">
        <f>P_Mtot!AX2</f>
        <v/>
      </c>
      <c r="Y14">
        <f>P_Mtot!AY2</f>
        <v/>
      </c>
      <c r="Z14">
        <f>P_Mtot!AZ2</f>
        <v/>
      </c>
      <c r="AA14">
        <f>P_Mtot!BA2</f>
        <v/>
      </c>
      <c r="AB14">
        <f>P_Mtot!BB2</f>
        <v/>
      </c>
      <c r="AC14">
        <f>P_Mtot!BC2</f>
        <v/>
      </c>
      <c r="AD14">
        <f>P_Mtot!BD2</f>
        <v/>
      </c>
      <c r="AE14">
        <f>P_Mtot!BE2</f>
        <v/>
      </c>
    </row>
    <row r="15">
      <c r="A15" t="inlineStr">
        <is>
          <t>P_J</t>
        </is>
      </c>
      <c r="B15">
        <f>P_J!AC2</f>
        <v/>
      </c>
      <c r="C15">
        <f>P_J!AD2</f>
        <v/>
      </c>
      <c r="D15">
        <f>P_J!AE2</f>
        <v/>
      </c>
      <c r="E15">
        <f>P_J!AF2</f>
        <v/>
      </c>
      <c r="F15">
        <f>P_J!AG2</f>
        <v/>
      </c>
      <c r="G15">
        <f>P_J!AH2</f>
        <v/>
      </c>
      <c r="H15">
        <f>P_J!AI2</f>
        <v/>
      </c>
      <c r="I15">
        <f>P_J!AJ2</f>
        <v/>
      </c>
      <c r="J15">
        <f>P_J!AK2</f>
        <v/>
      </c>
      <c r="K15">
        <f>P_J!AL2</f>
        <v/>
      </c>
      <c r="L15">
        <f>P_J!AM2</f>
        <v/>
      </c>
      <c r="M15">
        <f>P_J!AN2</f>
        <v/>
      </c>
      <c r="N15">
        <f>P_J!AO2</f>
        <v/>
      </c>
      <c r="O15">
        <f>P_J!AP2</f>
        <v/>
      </c>
      <c r="P15">
        <f>P_J!AQ2</f>
        <v/>
      </c>
      <c r="Q15">
        <f>P_J!AR2</f>
        <v/>
      </c>
      <c r="R15">
        <f>P_J!AS2</f>
        <v/>
      </c>
      <c r="S15">
        <f>P_J!AT2</f>
        <v/>
      </c>
      <c r="T15">
        <f>P_J!AU2</f>
        <v/>
      </c>
      <c r="U15">
        <f>P_J!AV2</f>
        <v/>
      </c>
      <c r="V15">
        <f>P_J!AW2</f>
        <v/>
      </c>
      <c r="W15">
        <f>P_J!AX2</f>
        <v/>
      </c>
      <c r="X15">
        <f>P_J!AY2</f>
        <v/>
      </c>
      <c r="Y15">
        <f>P_J!AZ2</f>
        <v/>
      </c>
      <c r="Z15">
        <f>P_J!BA2</f>
        <v/>
      </c>
      <c r="AA15">
        <f>P_J!BB2</f>
        <v/>
      </c>
      <c r="AB15">
        <f>P_J!BC2</f>
        <v/>
      </c>
      <c r="AC15">
        <f>P_J!BD2</f>
        <v/>
      </c>
      <c r="AD15">
        <f>P_J!BE2</f>
        <v/>
      </c>
      <c r="AE15">
        <f>P_J!BF2</f>
        <v/>
      </c>
    </row>
    <row r="16">
      <c r="A16" t="inlineStr">
        <is>
          <t>P_I</t>
        </is>
      </c>
      <c r="B16">
        <f>P_I!C2</f>
        <v/>
      </c>
      <c r="C16">
        <f>P_I!D2</f>
        <v/>
      </c>
      <c r="D16">
        <f>P_I!E2</f>
        <v/>
      </c>
      <c r="E16">
        <f>P_I!F2</f>
        <v/>
      </c>
      <c r="F16">
        <f>P_I!G2</f>
        <v/>
      </c>
      <c r="G16">
        <f>P_I!H2</f>
        <v/>
      </c>
      <c r="H16">
        <f>P_I!I2</f>
        <v/>
      </c>
      <c r="I16">
        <f>P_I!J2</f>
        <v/>
      </c>
      <c r="J16">
        <f>P_I!K2</f>
        <v/>
      </c>
      <c r="K16">
        <f>P_I!L2</f>
        <v/>
      </c>
      <c r="L16">
        <f>P_I!M2</f>
        <v/>
      </c>
      <c r="M16">
        <f>P_I!N2</f>
        <v/>
      </c>
      <c r="N16">
        <f>P_I!O2</f>
        <v/>
      </c>
      <c r="O16">
        <f>P_I!P2</f>
        <v/>
      </c>
      <c r="P16">
        <f>P_I!Q2</f>
        <v/>
      </c>
      <c r="Q16">
        <f>P_I!R2</f>
        <v/>
      </c>
      <c r="R16">
        <f>P_I!S2</f>
        <v/>
      </c>
      <c r="S16">
        <f>P_I!T2</f>
        <v/>
      </c>
      <c r="T16">
        <f>P_I!U2</f>
        <v/>
      </c>
      <c r="U16">
        <f>P_I!V2</f>
        <v/>
      </c>
      <c r="V16">
        <f>P_I!W2</f>
        <v/>
      </c>
      <c r="W16">
        <f>P_I!X2</f>
        <v/>
      </c>
      <c r="X16">
        <f>P_I!Y2</f>
        <v/>
      </c>
      <c r="Y16">
        <f>P_I!Z2</f>
        <v/>
      </c>
      <c r="Z16">
        <f>P_I!AA2</f>
        <v/>
      </c>
      <c r="AA16">
        <f>P_I!AB2</f>
        <v/>
      </c>
      <c r="AB16">
        <f>P_I!AC2</f>
        <v/>
      </c>
      <c r="AC16">
        <f>P_I!AD2</f>
        <v/>
      </c>
      <c r="AD16">
        <f>P_I!AE2</f>
        <v/>
      </c>
      <c r="AE16">
        <f>P_I!AF2</f>
        <v/>
      </c>
    </row>
    <row r="17">
      <c r="A17" t="inlineStr">
        <is>
          <t>P_Jord</t>
        </is>
      </c>
      <c r="B17">
        <f>P_Jord!M2</f>
        <v/>
      </c>
      <c r="C17">
        <f>P_Jord!N2</f>
        <v/>
      </c>
      <c r="D17">
        <f>P_Jord!O2</f>
        <v/>
      </c>
      <c r="E17">
        <f>P_Jord!P2</f>
        <v/>
      </c>
      <c r="F17">
        <f>P_Jord!Q2</f>
        <v/>
      </c>
      <c r="G17">
        <f>P_Jord!R2</f>
        <v/>
      </c>
      <c r="H17">
        <f>P_Jord!S2</f>
        <v/>
      </c>
      <c r="I17">
        <f>P_Jord!T2</f>
        <v/>
      </c>
      <c r="J17">
        <f>P_Jord!U2</f>
        <v/>
      </c>
      <c r="K17">
        <f>P_Jord!V2</f>
        <v/>
      </c>
      <c r="L17">
        <f>P_Jord!W2</f>
        <v/>
      </c>
      <c r="M17">
        <f>P_Jord!X2</f>
        <v/>
      </c>
      <c r="N17">
        <f>P_Jord!Y2</f>
        <v/>
      </c>
      <c r="O17">
        <f>P_Jord!Z2</f>
        <v/>
      </c>
      <c r="P17">
        <f>P_Jord!AA2</f>
        <v/>
      </c>
      <c r="Q17">
        <f>P_Jord!AB2</f>
        <v/>
      </c>
      <c r="R17">
        <f>P_Jord!AC2</f>
        <v/>
      </c>
      <c r="S17">
        <f>P_Jord!AD2</f>
        <v/>
      </c>
      <c r="T17">
        <f>P_Jord!AE2</f>
        <v/>
      </c>
      <c r="U17">
        <f>P_Jord!AF2</f>
        <v/>
      </c>
      <c r="V17">
        <f>P_Jord!AG2</f>
        <v/>
      </c>
      <c r="W17">
        <f>P_Jord!AH2</f>
        <v/>
      </c>
      <c r="X17">
        <f>P_Jord!AI2</f>
        <v/>
      </c>
      <c r="Y17">
        <f>P_Jord!AJ2</f>
        <v/>
      </c>
      <c r="Z17">
        <f>P_Jord!AK2</f>
        <v/>
      </c>
      <c r="AA17">
        <f>P_Jord!AL2</f>
        <v/>
      </c>
      <c r="AB17">
        <f>P_Jord!AM2</f>
        <v/>
      </c>
      <c r="AC17">
        <f>P_Jord!AN2</f>
        <v/>
      </c>
      <c r="AD17">
        <f>P_Jord!AO2</f>
        <v/>
      </c>
      <c r="AE17">
        <f>P_Jord!AP2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tau_Y!AC2</f>
        <v/>
      </c>
      <c r="C20">
        <f>tau_Y!AD2</f>
        <v/>
      </c>
      <c r="D20">
        <f>tau_Y!AE2</f>
        <v/>
      </c>
      <c r="E20">
        <f>tau_Y!AF2</f>
        <v/>
      </c>
      <c r="F20">
        <f>tau_Y!AG2</f>
        <v/>
      </c>
      <c r="G20">
        <f>tau_Y!AH2</f>
        <v/>
      </c>
      <c r="H20">
        <f>tau_Y!AI2</f>
        <v/>
      </c>
      <c r="I20">
        <f>tau_Y!AJ2</f>
        <v/>
      </c>
      <c r="J20">
        <f>tau_Y!AK2</f>
        <v/>
      </c>
      <c r="K20">
        <f>tau_Y!AL2</f>
        <v/>
      </c>
      <c r="L20">
        <f>tau_Y!AM2</f>
        <v/>
      </c>
      <c r="M20">
        <f>tau_Y!AN2</f>
        <v/>
      </c>
      <c r="N20">
        <f>tau_Y!AO2</f>
        <v/>
      </c>
      <c r="O20">
        <f>tau_Y!AP2</f>
        <v/>
      </c>
      <c r="P20">
        <f>tau_Y!AQ2</f>
        <v/>
      </c>
      <c r="Q20">
        <f>tau_Y!AR2</f>
        <v/>
      </c>
      <c r="R20">
        <f>tau_Y!AS2</f>
        <v/>
      </c>
      <c r="S20">
        <f>tau_Y!AT2</f>
        <v/>
      </c>
      <c r="T20">
        <f>tau_Y!AU2</f>
        <v/>
      </c>
      <c r="U20">
        <f>tau_Y!AV2</f>
        <v/>
      </c>
      <c r="V20">
        <f>tau_Y!AW2</f>
        <v/>
      </c>
      <c r="W20">
        <f>tau_Y!AX2</f>
        <v/>
      </c>
      <c r="X20">
        <f>tau_Y!AY2</f>
        <v/>
      </c>
      <c r="Y20">
        <f>tau_Y!AZ2</f>
        <v/>
      </c>
      <c r="Z20">
        <f>tau_Y!BA2</f>
        <v/>
      </c>
      <c r="AA20">
        <f>tau_Y!BB2</f>
        <v/>
      </c>
      <c r="AB20">
        <f>tau_Y!BC2</f>
        <v/>
      </c>
      <c r="AC20">
        <f>tau_Y!BD2</f>
        <v/>
      </c>
      <c r="AD20">
        <f>tau_Y!BE2</f>
        <v/>
      </c>
      <c r="AE20">
        <f>tau_Y!BF2</f>
        <v/>
      </c>
    </row>
    <row r="21">
      <c r="A21" t="inlineStr">
        <is>
          <t>Afgift indenlandsk</t>
        </is>
      </c>
      <c r="B21">
        <f>tau_MD!AB2</f>
        <v/>
      </c>
      <c r="C21">
        <f>tau_MD!AC2</f>
        <v/>
      </c>
      <c r="D21">
        <f>tau_MD!AD2</f>
        <v/>
      </c>
      <c r="E21">
        <f>tau_MD!AE2</f>
        <v/>
      </c>
      <c r="F21">
        <f>tau_MD!AF2</f>
        <v/>
      </c>
      <c r="G21">
        <f>tau_MD!AG2</f>
        <v/>
      </c>
      <c r="H21">
        <f>tau_MD!AH2</f>
        <v/>
      </c>
      <c r="I21">
        <f>tau_MD!AI2</f>
        <v/>
      </c>
      <c r="J21">
        <f>tau_MD!AJ2</f>
        <v/>
      </c>
      <c r="K21">
        <f>tau_MD!AK2</f>
        <v/>
      </c>
      <c r="L21">
        <f>tau_MD!AL2</f>
        <v/>
      </c>
      <c r="M21">
        <f>tau_MD!AM2</f>
        <v/>
      </c>
      <c r="N21">
        <f>tau_MD!AN2</f>
        <v/>
      </c>
      <c r="O21">
        <f>tau_MD!AO2</f>
        <v/>
      </c>
      <c r="P21">
        <f>tau_MD!AP2</f>
        <v/>
      </c>
      <c r="Q21">
        <f>tau_MD!AQ2</f>
        <v/>
      </c>
      <c r="R21">
        <f>tau_MD!AR2</f>
        <v/>
      </c>
      <c r="S21">
        <f>tau_MD!AS2</f>
        <v/>
      </c>
      <c r="T21">
        <f>tau_MD!AT2</f>
        <v/>
      </c>
      <c r="U21">
        <f>tau_MD!AU2</f>
        <v/>
      </c>
      <c r="V21">
        <f>tau_MD!AV2</f>
        <v/>
      </c>
      <c r="W21">
        <f>tau_MD!AW2</f>
        <v/>
      </c>
      <c r="X21">
        <f>tau_MD!AX2</f>
        <v/>
      </c>
      <c r="Y21">
        <f>tau_MD!AY2</f>
        <v/>
      </c>
      <c r="Z21">
        <f>tau_MD!AZ2</f>
        <v/>
      </c>
      <c r="AA21">
        <f>tau_MD!BA2</f>
        <v/>
      </c>
      <c r="AB21">
        <f>tau_MD!BB2</f>
        <v/>
      </c>
      <c r="AC21">
        <f>tau_MD!BC2</f>
        <v/>
      </c>
      <c r="AD21">
        <f>tau_MD!BD2</f>
        <v/>
      </c>
      <c r="AE21">
        <f>tau_MD!BE2</f>
        <v/>
      </c>
    </row>
    <row r="22">
      <c r="A22" t="inlineStr">
        <is>
          <t>Markup</t>
        </is>
      </c>
      <c r="B22">
        <f>markup!AC2</f>
        <v/>
      </c>
      <c r="C22">
        <f>markup!AD2</f>
        <v/>
      </c>
      <c r="D22">
        <f>markup!AE2</f>
        <v/>
      </c>
      <c r="E22">
        <f>markup!AF2</f>
        <v/>
      </c>
      <c r="F22">
        <f>markup!AG2</f>
        <v/>
      </c>
      <c r="G22">
        <f>markup!AH2</f>
        <v/>
      </c>
      <c r="H22">
        <f>markup!AI2</f>
        <v/>
      </c>
      <c r="I22">
        <f>markup!AJ2</f>
        <v/>
      </c>
      <c r="J22">
        <f>markup!AK2</f>
        <v/>
      </c>
      <c r="K22">
        <f>markup!AL2</f>
        <v/>
      </c>
      <c r="L22">
        <f>markup!AM2</f>
        <v/>
      </c>
      <c r="M22">
        <f>markup!AN2</f>
        <v/>
      </c>
      <c r="N22">
        <f>markup!AO2</f>
        <v/>
      </c>
      <c r="O22">
        <f>markup!AP2</f>
        <v/>
      </c>
      <c r="P22">
        <f>markup!AQ2</f>
        <v/>
      </c>
      <c r="Q22">
        <f>markup!AR2</f>
        <v/>
      </c>
      <c r="R22">
        <f>markup!AS2</f>
        <v/>
      </c>
      <c r="S22">
        <f>markup!AT2</f>
        <v/>
      </c>
      <c r="T22">
        <f>markup!AU2</f>
        <v/>
      </c>
      <c r="U22">
        <f>markup!AV2</f>
        <v/>
      </c>
      <c r="V22">
        <f>markup!AW2</f>
        <v/>
      </c>
      <c r="W22">
        <f>markup!AX2</f>
        <v/>
      </c>
      <c r="X22">
        <f>markup!AY2</f>
        <v/>
      </c>
      <c r="Y22">
        <f>markup!AZ2</f>
        <v/>
      </c>
      <c r="Z22">
        <f>markup!BA2</f>
        <v/>
      </c>
      <c r="AA22">
        <f>markup!BB2</f>
        <v/>
      </c>
      <c r="AB22">
        <f>markup!BC2</f>
        <v/>
      </c>
      <c r="AC22">
        <f>markup!BD2</f>
        <v/>
      </c>
      <c r="AD22">
        <f>markup!BE2</f>
        <v/>
      </c>
      <c r="AE22">
        <f>markup!BF2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G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4"/>
    <col width="9" customWidth="1" style="6" min="5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Y!AB3</f>
        <v/>
      </c>
      <c r="C3">
        <f>Y!AC3</f>
        <v/>
      </c>
      <c r="D3">
        <f>Y!AD3</f>
        <v/>
      </c>
      <c r="E3">
        <f>Y!AE3</f>
        <v/>
      </c>
      <c r="F3">
        <f>Y!AF3</f>
        <v/>
      </c>
      <c r="G3">
        <f>Y!AG3</f>
        <v/>
      </c>
      <c r="H3">
        <f>Y!AH3</f>
        <v/>
      </c>
      <c r="I3">
        <f>Y!AI3</f>
        <v/>
      </c>
      <c r="J3">
        <f>Y!AJ3</f>
        <v/>
      </c>
      <c r="K3">
        <f>Y!AK3</f>
        <v/>
      </c>
      <c r="L3">
        <f>Y!AL3</f>
        <v/>
      </c>
      <c r="M3">
        <f>Y!AM3</f>
        <v/>
      </c>
      <c r="N3">
        <f>Y!AN3</f>
        <v/>
      </c>
      <c r="O3">
        <f>Y!AO3</f>
        <v/>
      </c>
      <c r="P3">
        <f>Y!AP3</f>
        <v/>
      </c>
      <c r="Q3">
        <f>Y!AQ3</f>
        <v/>
      </c>
      <c r="R3">
        <f>Y!AR3</f>
        <v/>
      </c>
      <c r="S3">
        <f>Y!AS3</f>
        <v/>
      </c>
      <c r="T3">
        <f>Y!AT3</f>
        <v/>
      </c>
      <c r="U3">
        <f>Y!AU3</f>
        <v/>
      </c>
      <c r="V3">
        <f>Y!AV3</f>
        <v/>
      </c>
      <c r="W3">
        <f>Y!AW3</f>
        <v/>
      </c>
      <c r="X3">
        <f>Y!AX3</f>
        <v/>
      </c>
      <c r="Y3">
        <f>Y!AY3</f>
        <v/>
      </c>
      <c r="Z3">
        <f>Y!AZ3</f>
        <v/>
      </c>
      <c r="AA3">
        <f>Y!BA3</f>
        <v/>
      </c>
      <c r="AB3">
        <f>Y!BB3</f>
        <v/>
      </c>
      <c r="AC3">
        <f>Y!BC3</f>
        <v/>
      </c>
      <c r="AD3">
        <f>Y!BD3</f>
        <v/>
      </c>
      <c r="AE3">
        <f>Y!BE3</f>
        <v/>
      </c>
    </row>
    <row r="4">
      <c r="A4" t="inlineStr">
        <is>
          <t>K</t>
        </is>
      </c>
      <c r="B4">
        <f>K!AC3</f>
        <v/>
      </c>
      <c r="C4">
        <f>K!AD3</f>
        <v/>
      </c>
      <c r="D4">
        <f>K!AE3</f>
        <v/>
      </c>
      <c r="E4">
        <f>K!AF3</f>
        <v/>
      </c>
      <c r="F4">
        <f>K!AG3</f>
        <v/>
      </c>
      <c r="G4">
        <f>K!AH3</f>
        <v/>
      </c>
      <c r="H4">
        <f>K!AI3</f>
        <v/>
      </c>
      <c r="I4">
        <f>K!AJ3</f>
        <v/>
      </c>
      <c r="J4">
        <f>K!AK3</f>
        <v/>
      </c>
      <c r="K4">
        <f>K!AL3</f>
        <v/>
      </c>
      <c r="L4">
        <f>K!AM3</f>
        <v/>
      </c>
      <c r="M4">
        <f>K!AN3</f>
        <v/>
      </c>
      <c r="N4">
        <f>K!AO3</f>
        <v/>
      </c>
      <c r="O4">
        <f>K!AP3</f>
        <v/>
      </c>
      <c r="P4">
        <f>K!AQ3</f>
        <v/>
      </c>
      <c r="Q4">
        <f>K!AR3</f>
        <v/>
      </c>
      <c r="R4">
        <f>K!AS3</f>
        <v/>
      </c>
      <c r="S4">
        <f>K!AT3</f>
        <v/>
      </c>
      <c r="T4">
        <f>K!AU3</f>
        <v/>
      </c>
      <c r="U4">
        <f>K!AV3</f>
        <v/>
      </c>
      <c r="V4">
        <f>K!AW3</f>
        <v/>
      </c>
      <c r="W4">
        <f>K!AX3</f>
        <v/>
      </c>
      <c r="X4">
        <f>K!AY3</f>
        <v/>
      </c>
      <c r="Y4">
        <f>K!AZ3</f>
        <v/>
      </c>
      <c r="Z4">
        <f>K!BA3</f>
        <v/>
      </c>
      <c r="AA4">
        <f>K!BB3</f>
        <v/>
      </c>
      <c r="AB4">
        <f>K!BC3</f>
        <v/>
      </c>
      <c r="AC4">
        <f>K!BD3</f>
        <v/>
      </c>
      <c r="AD4">
        <f>K!BE3</f>
        <v/>
      </c>
      <c r="AE4">
        <f>K!BF3</f>
        <v/>
      </c>
    </row>
    <row r="5">
      <c r="A5" t="inlineStr">
        <is>
          <t>L</t>
        </is>
      </c>
      <c r="B5">
        <f>L!AC3</f>
        <v/>
      </c>
      <c r="C5">
        <f>L!AD3</f>
        <v/>
      </c>
      <c r="D5">
        <f>L!AE3</f>
        <v/>
      </c>
      <c r="E5">
        <f>L!AF3</f>
        <v/>
      </c>
      <c r="F5">
        <f>L!AG3</f>
        <v/>
      </c>
      <c r="G5">
        <f>L!AH3</f>
        <v/>
      </c>
      <c r="H5">
        <f>L!AI3</f>
        <v/>
      </c>
      <c r="I5">
        <f>L!AJ3</f>
        <v/>
      </c>
      <c r="J5">
        <f>L!AK3</f>
        <v/>
      </c>
      <c r="K5">
        <f>L!AL3</f>
        <v/>
      </c>
      <c r="L5">
        <f>L!AM3</f>
        <v/>
      </c>
      <c r="M5">
        <f>L!AN3</f>
        <v/>
      </c>
      <c r="N5">
        <f>L!AO3</f>
        <v/>
      </c>
      <c r="O5">
        <f>L!AP3</f>
        <v/>
      </c>
      <c r="P5">
        <f>L!AQ3</f>
        <v/>
      </c>
      <c r="Q5">
        <f>L!AR3</f>
        <v/>
      </c>
      <c r="R5">
        <f>L!AS3</f>
        <v/>
      </c>
      <c r="S5">
        <f>L!AT3</f>
        <v/>
      </c>
      <c r="T5">
        <f>L!AU3</f>
        <v/>
      </c>
      <c r="U5">
        <f>L!AV3</f>
        <v/>
      </c>
      <c r="V5">
        <f>L!AW3</f>
        <v/>
      </c>
      <c r="W5">
        <f>L!AX3</f>
        <v/>
      </c>
      <c r="X5">
        <f>L!AY3</f>
        <v/>
      </c>
      <c r="Y5">
        <f>L!AZ3</f>
        <v/>
      </c>
      <c r="Z5">
        <f>L!BA3</f>
        <v/>
      </c>
      <c r="AA5">
        <f>L!BB3</f>
        <v/>
      </c>
      <c r="AB5">
        <f>L!BC3</f>
        <v/>
      </c>
      <c r="AC5">
        <f>L!BD3</f>
        <v/>
      </c>
      <c r="AD5">
        <f>L!BE3</f>
        <v/>
      </c>
      <c r="AE5">
        <f>L!BF3</f>
        <v/>
      </c>
    </row>
    <row r="6">
      <c r="A6" t="inlineStr">
        <is>
          <t>Mtot</t>
        </is>
      </c>
      <c r="B6">
        <f>Mtot!AB3</f>
        <v/>
      </c>
      <c r="C6">
        <f>Mtot!AC3</f>
        <v/>
      </c>
      <c r="D6">
        <f>Mtot!AD3</f>
        <v/>
      </c>
      <c r="E6">
        <f>Mtot!AE3</f>
        <v/>
      </c>
      <c r="F6">
        <f>Mtot!AF3</f>
        <v/>
      </c>
      <c r="G6">
        <f>Mtot!AG3</f>
        <v/>
      </c>
      <c r="H6">
        <f>Mtot!AH3</f>
        <v/>
      </c>
      <c r="I6">
        <f>Mtot!AI3</f>
        <v/>
      </c>
      <c r="J6">
        <f>Mtot!AJ3</f>
        <v/>
      </c>
      <c r="K6">
        <f>Mtot!AK3</f>
        <v/>
      </c>
      <c r="L6">
        <f>Mtot!AL3</f>
        <v/>
      </c>
      <c r="M6">
        <f>Mtot!AM3</f>
        <v/>
      </c>
      <c r="N6">
        <f>Mtot!AN3</f>
        <v/>
      </c>
      <c r="O6">
        <f>Mtot!AO3</f>
        <v/>
      </c>
      <c r="P6">
        <f>Mtot!AP3</f>
        <v/>
      </c>
      <c r="Q6">
        <f>Mtot!AQ3</f>
        <v/>
      </c>
      <c r="R6">
        <f>Mtot!AR3</f>
        <v/>
      </c>
      <c r="S6">
        <f>Mtot!AS3</f>
        <v/>
      </c>
      <c r="T6">
        <f>Mtot!AT3</f>
        <v/>
      </c>
      <c r="U6">
        <f>Mtot!AU3</f>
        <v/>
      </c>
      <c r="V6">
        <f>Mtot!AV3</f>
        <v/>
      </c>
      <c r="W6">
        <f>Mtot!AW3</f>
        <v/>
      </c>
      <c r="X6">
        <f>Mtot!AX3</f>
        <v/>
      </c>
      <c r="Y6">
        <f>Mtot!AY3</f>
        <v/>
      </c>
      <c r="Z6">
        <f>Mtot!AZ3</f>
        <v/>
      </c>
      <c r="AA6">
        <f>Mtot!BA3</f>
        <v/>
      </c>
      <c r="AB6">
        <f>Mtot!BB3</f>
        <v/>
      </c>
      <c r="AC6">
        <f>Mtot!BC3</f>
        <v/>
      </c>
      <c r="AD6">
        <f>Mtot!BD3</f>
        <v/>
      </c>
      <c r="AE6">
        <f>Mtot!BE3</f>
        <v/>
      </c>
    </row>
    <row r="7">
      <c r="A7" t="inlineStr">
        <is>
          <t>J</t>
        </is>
      </c>
      <c r="B7">
        <f>J!M3</f>
        <v/>
      </c>
      <c r="C7">
        <f>J!N3</f>
        <v/>
      </c>
      <c r="D7">
        <f>J!O3</f>
        <v/>
      </c>
      <c r="E7">
        <f>J!P3</f>
        <v/>
      </c>
      <c r="F7">
        <f>J!Q3</f>
        <v/>
      </c>
      <c r="G7">
        <f>J!R3</f>
        <v/>
      </c>
      <c r="H7">
        <f>J!S3</f>
        <v/>
      </c>
      <c r="I7">
        <f>J!T3</f>
        <v/>
      </c>
      <c r="J7">
        <f>J!U3</f>
        <v/>
      </c>
      <c r="K7">
        <f>J!V3</f>
        <v/>
      </c>
      <c r="L7">
        <f>J!W3</f>
        <v/>
      </c>
      <c r="M7">
        <f>J!X3</f>
        <v/>
      </c>
      <c r="N7">
        <f>J!Y3</f>
        <v/>
      </c>
      <c r="O7">
        <f>J!Z3</f>
        <v/>
      </c>
      <c r="P7">
        <f>J!AA3</f>
        <v/>
      </c>
      <c r="Q7">
        <f>J!AB3</f>
        <v/>
      </c>
      <c r="R7">
        <f>J!AC3</f>
        <v/>
      </c>
      <c r="S7">
        <f>J!AD3</f>
        <v/>
      </c>
      <c r="T7">
        <f>J!AE3</f>
        <v/>
      </c>
      <c r="U7">
        <f>J!AF3</f>
        <v/>
      </c>
      <c r="V7">
        <f>J!AG3</f>
        <v/>
      </c>
      <c r="W7">
        <f>J!AH3</f>
        <v/>
      </c>
      <c r="X7">
        <f>J!AI3</f>
        <v/>
      </c>
      <c r="Y7">
        <f>J!AJ3</f>
        <v/>
      </c>
      <c r="Z7">
        <f>J!AK3</f>
        <v/>
      </c>
      <c r="AA7">
        <f>J!AL3</f>
        <v/>
      </c>
      <c r="AB7">
        <f>J!AM3</f>
        <v/>
      </c>
      <c r="AC7">
        <f>J!AN3</f>
        <v/>
      </c>
      <c r="AD7">
        <f>J!AO3</f>
        <v/>
      </c>
      <c r="AE7">
        <f>J!AP3</f>
        <v/>
      </c>
    </row>
    <row r="8">
      <c r="A8" t="inlineStr">
        <is>
          <t>I</t>
        </is>
      </c>
      <c r="B8">
        <f>I!AC3</f>
        <v/>
      </c>
      <c r="C8">
        <f>I!AD3</f>
        <v/>
      </c>
      <c r="D8">
        <f>I!AE3</f>
        <v/>
      </c>
      <c r="E8">
        <f>I!AF3</f>
        <v/>
      </c>
      <c r="F8">
        <f>I!AG3</f>
        <v/>
      </c>
      <c r="G8">
        <f>I!AH3</f>
        <v/>
      </c>
      <c r="H8">
        <f>I!AI3</f>
        <v/>
      </c>
      <c r="I8">
        <f>I!AJ3</f>
        <v/>
      </c>
      <c r="J8">
        <f>I!AK3</f>
        <v/>
      </c>
      <c r="K8">
        <f>I!AL3</f>
        <v/>
      </c>
      <c r="L8">
        <f>I!AM3</f>
        <v/>
      </c>
      <c r="M8">
        <f>I!AN3</f>
        <v/>
      </c>
      <c r="N8">
        <f>I!AO3</f>
        <v/>
      </c>
      <c r="O8">
        <f>I!AP3</f>
        <v/>
      </c>
      <c r="P8">
        <f>I!AQ3</f>
        <v/>
      </c>
      <c r="Q8">
        <f>I!AR3</f>
        <v/>
      </c>
      <c r="R8">
        <f>I!AS3</f>
        <v/>
      </c>
      <c r="S8">
        <f>I!AT3</f>
        <v/>
      </c>
      <c r="T8">
        <f>I!AU3</f>
        <v/>
      </c>
      <c r="U8">
        <f>I!AV3</f>
        <v/>
      </c>
      <c r="V8">
        <f>I!AW3</f>
        <v/>
      </c>
      <c r="W8">
        <f>I!AX3</f>
        <v/>
      </c>
      <c r="X8">
        <f>I!AY3</f>
        <v/>
      </c>
      <c r="Y8">
        <f>I!AZ3</f>
        <v/>
      </c>
      <c r="Z8">
        <f>I!BA3</f>
        <v/>
      </c>
      <c r="AA8">
        <f>I!BB3</f>
        <v/>
      </c>
      <c r="AB8">
        <f>I!BC3</f>
        <v/>
      </c>
      <c r="AC8">
        <f>I!BD3</f>
        <v/>
      </c>
      <c r="AD8">
        <f>I!BE3</f>
        <v/>
      </c>
      <c r="AE8">
        <f>I!BF3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P!AB3</f>
        <v/>
      </c>
      <c r="C11">
        <f>P!AC3</f>
        <v/>
      </c>
      <c r="D11">
        <f>P!AD3</f>
        <v/>
      </c>
      <c r="E11">
        <f>P!AE3</f>
        <v/>
      </c>
      <c r="F11">
        <f>P!AF3</f>
        <v/>
      </c>
      <c r="G11">
        <f>P!AG3</f>
        <v/>
      </c>
      <c r="H11">
        <f>P!AH3</f>
        <v/>
      </c>
      <c r="I11">
        <f>P!AI3</f>
        <v/>
      </c>
      <c r="J11">
        <f>P!AJ3</f>
        <v/>
      </c>
      <c r="K11">
        <f>P!AK3</f>
        <v/>
      </c>
      <c r="L11">
        <f>P!AL3</f>
        <v/>
      </c>
      <c r="M11">
        <f>P!AM3</f>
        <v/>
      </c>
      <c r="N11">
        <f>P!AN3</f>
        <v/>
      </c>
      <c r="O11">
        <f>P!AO3</f>
        <v/>
      </c>
      <c r="P11">
        <f>P!AP3</f>
        <v/>
      </c>
      <c r="Q11">
        <f>P!AQ3</f>
        <v/>
      </c>
      <c r="R11">
        <f>P!AR3</f>
        <v/>
      </c>
      <c r="S11">
        <f>P!AS3</f>
        <v/>
      </c>
      <c r="T11">
        <f>P!AT3</f>
        <v/>
      </c>
      <c r="U11">
        <f>P!AU3</f>
        <v/>
      </c>
      <c r="V11">
        <f>P!AV3</f>
        <v/>
      </c>
      <c r="W11">
        <f>P!AW3</f>
        <v/>
      </c>
      <c r="X11">
        <f>P!AX3</f>
        <v/>
      </c>
      <c r="Y11">
        <f>P!AY3</f>
        <v/>
      </c>
      <c r="Z11">
        <f>P!AZ3</f>
        <v/>
      </c>
      <c r="AA11">
        <f>P!BA3</f>
        <v/>
      </c>
      <c r="AB11">
        <f>P!BB3</f>
        <v/>
      </c>
      <c r="AC11">
        <f>P!BC3</f>
        <v/>
      </c>
      <c r="AD11">
        <f>P!BD3</f>
        <v/>
      </c>
      <c r="AE11">
        <f>P!BE3</f>
        <v/>
      </c>
    </row>
    <row r="12">
      <c r="A12" t="inlineStr">
        <is>
          <t>P_K</t>
        </is>
      </c>
      <c r="B12">
        <f>P_K!AC3</f>
        <v/>
      </c>
      <c r="C12">
        <f>P_K!AD3</f>
        <v/>
      </c>
      <c r="D12">
        <f>P_K!AE3</f>
        <v/>
      </c>
      <c r="E12">
        <f>P_K!AF3</f>
        <v/>
      </c>
      <c r="F12">
        <f>P_K!AG3</f>
        <v/>
      </c>
      <c r="G12">
        <f>P_K!AH3</f>
        <v/>
      </c>
      <c r="H12">
        <f>P_K!AI3</f>
        <v/>
      </c>
      <c r="I12">
        <f>P_K!AJ3</f>
        <v/>
      </c>
      <c r="J12">
        <f>P_K!AK3</f>
        <v/>
      </c>
      <c r="K12">
        <f>P_K!AL3</f>
        <v/>
      </c>
      <c r="L12">
        <f>P_K!AM3</f>
        <v/>
      </c>
      <c r="M12">
        <f>P_K!AN3</f>
        <v/>
      </c>
      <c r="N12">
        <f>P_K!AO3</f>
        <v/>
      </c>
      <c r="O12">
        <f>P_K!AP3</f>
        <v/>
      </c>
      <c r="P12">
        <f>P_K!AQ3</f>
        <v/>
      </c>
      <c r="Q12">
        <f>P_K!AR3</f>
        <v/>
      </c>
      <c r="R12">
        <f>P_K!AS3</f>
        <v/>
      </c>
      <c r="S12">
        <f>P_K!AT3</f>
        <v/>
      </c>
      <c r="T12">
        <f>P_K!AU3</f>
        <v/>
      </c>
      <c r="U12">
        <f>P_K!AV3</f>
        <v/>
      </c>
      <c r="V12">
        <f>P_K!AW3</f>
        <v/>
      </c>
      <c r="W12">
        <f>P_K!AX3</f>
        <v/>
      </c>
      <c r="X12">
        <f>P_K!AY3</f>
        <v/>
      </c>
      <c r="Y12">
        <f>P_K!AZ3</f>
        <v/>
      </c>
      <c r="Z12">
        <f>P_K!BA3</f>
        <v/>
      </c>
      <c r="AA12">
        <f>P_K!BB3</f>
        <v/>
      </c>
      <c r="AB12">
        <f>P_K!BC3</f>
        <v/>
      </c>
      <c r="AC12">
        <f>P_K!BD3</f>
        <v/>
      </c>
      <c r="AD12">
        <f>P_K!BE3</f>
        <v/>
      </c>
      <c r="AE12">
        <f>P_K!BF3</f>
        <v/>
      </c>
    </row>
    <row r="13">
      <c r="A13" t="inlineStr">
        <is>
          <t>w</t>
        </is>
      </c>
      <c r="B13">
        <f>w!AC3</f>
        <v/>
      </c>
      <c r="C13">
        <f>w!AD3</f>
        <v/>
      </c>
      <c r="D13">
        <f>w!AE3</f>
        <v/>
      </c>
      <c r="E13">
        <f>w!AF3</f>
        <v/>
      </c>
      <c r="F13">
        <f>w!AG3</f>
        <v/>
      </c>
      <c r="G13">
        <f>w!AH3</f>
        <v/>
      </c>
      <c r="H13">
        <f>w!AI3</f>
        <v/>
      </c>
      <c r="I13">
        <f>w!AJ3</f>
        <v/>
      </c>
      <c r="J13">
        <f>w!AK3</f>
        <v/>
      </c>
      <c r="K13">
        <f>w!AL3</f>
        <v/>
      </c>
      <c r="L13">
        <f>w!AM3</f>
        <v/>
      </c>
      <c r="M13">
        <f>w!AN3</f>
        <v/>
      </c>
      <c r="N13">
        <f>w!AO3</f>
        <v/>
      </c>
      <c r="O13">
        <f>w!AP3</f>
        <v/>
      </c>
      <c r="P13">
        <f>w!AQ3</f>
        <v/>
      </c>
      <c r="Q13">
        <f>w!AR3</f>
        <v/>
      </c>
      <c r="R13">
        <f>w!AS3</f>
        <v/>
      </c>
      <c r="S13">
        <f>w!AT3</f>
        <v/>
      </c>
      <c r="T13">
        <f>w!AU3</f>
        <v/>
      </c>
      <c r="U13">
        <f>w!AV3</f>
        <v/>
      </c>
      <c r="V13">
        <f>w!AW3</f>
        <v/>
      </c>
      <c r="W13">
        <f>w!AX3</f>
        <v/>
      </c>
      <c r="X13">
        <f>w!AY3</f>
        <v/>
      </c>
      <c r="Y13">
        <f>w!AZ3</f>
        <v/>
      </c>
      <c r="Z13">
        <f>w!BA3</f>
        <v/>
      </c>
      <c r="AA13">
        <f>w!BB3</f>
        <v/>
      </c>
      <c r="AB13">
        <f>w!BC3</f>
        <v/>
      </c>
      <c r="AC13">
        <f>w!BD3</f>
        <v/>
      </c>
      <c r="AD13">
        <f>w!BE3</f>
        <v/>
      </c>
      <c r="AE13">
        <f>w!BF3</f>
        <v/>
      </c>
    </row>
    <row r="14">
      <c r="A14" t="inlineStr">
        <is>
          <t>P_Mtot</t>
        </is>
      </c>
      <c r="B14">
        <f>P_Mtot!AB3</f>
        <v/>
      </c>
      <c r="C14">
        <f>P_Mtot!AC3</f>
        <v/>
      </c>
      <c r="D14">
        <f>P_Mtot!AD3</f>
        <v/>
      </c>
      <c r="E14">
        <f>P_Mtot!AE3</f>
        <v/>
      </c>
      <c r="F14">
        <f>P_Mtot!AF3</f>
        <v/>
      </c>
      <c r="G14">
        <f>P_Mtot!AG3</f>
        <v/>
      </c>
      <c r="H14">
        <f>P_Mtot!AH3</f>
        <v/>
      </c>
      <c r="I14">
        <f>P_Mtot!AI3</f>
        <v/>
      </c>
      <c r="J14">
        <f>P_Mtot!AJ3</f>
        <v/>
      </c>
      <c r="K14">
        <f>P_Mtot!AK3</f>
        <v/>
      </c>
      <c r="L14">
        <f>P_Mtot!AL3</f>
        <v/>
      </c>
      <c r="M14">
        <f>P_Mtot!AM3</f>
        <v/>
      </c>
      <c r="N14">
        <f>P_Mtot!AN3</f>
        <v/>
      </c>
      <c r="O14">
        <f>P_Mtot!AO3</f>
        <v/>
      </c>
      <c r="P14">
        <f>P_Mtot!AP3</f>
        <v/>
      </c>
      <c r="Q14">
        <f>P_Mtot!AQ3</f>
        <v/>
      </c>
      <c r="R14">
        <f>P_Mtot!AR3</f>
        <v/>
      </c>
      <c r="S14">
        <f>P_Mtot!AS3</f>
        <v/>
      </c>
      <c r="T14">
        <f>P_Mtot!AT3</f>
        <v/>
      </c>
      <c r="U14">
        <f>P_Mtot!AU3</f>
        <v/>
      </c>
      <c r="V14">
        <f>P_Mtot!AV3</f>
        <v/>
      </c>
      <c r="W14">
        <f>P_Mtot!AW3</f>
        <v/>
      </c>
      <c r="X14">
        <f>P_Mtot!AX3</f>
        <v/>
      </c>
      <c r="Y14">
        <f>P_Mtot!AY3</f>
        <v/>
      </c>
      <c r="Z14">
        <f>P_Mtot!AZ3</f>
        <v/>
      </c>
      <c r="AA14">
        <f>P_Mtot!BA3</f>
        <v/>
      </c>
      <c r="AB14">
        <f>P_Mtot!BB3</f>
        <v/>
      </c>
      <c r="AC14">
        <f>P_Mtot!BC3</f>
        <v/>
      </c>
      <c r="AD14">
        <f>P_Mtot!BD3</f>
        <v/>
      </c>
      <c r="AE14">
        <f>P_Mtot!BE3</f>
        <v/>
      </c>
    </row>
    <row r="15">
      <c r="A15" t="inlineStr">
        <is>
          <t>P_J</t>
        </is>
      </c>
      <c r="B15">
        <f>P_J!AC3</f>
        <v/>
      </c>
      <c r="C15">
        <f>P_J!AD3</f>
        <v/>
      </c>
      <c r="D15">
        <f>P_J!AE3</f>
        <v/>
      </c>
      <c r="E15">
        <f>P_J!AF3</f>
        <v/>
      </c>
      <c r="F15">
        <f>P_J!AG3</f>
        <v/>
      </c>
      <c r="G15">
        <f>P_J!AH3</f>
        <v/>
      </c>
      <c r="H15">
        <f>P_J!AI3</f>
        <v/>
      </c>
      <c r="I15">
        <f>P_J!AJ3</f>
        <v/>
      </c>
      <c r="J15">
        <f>P_J!AK3</f>
        <v/>
      </c>
      <c r="K15">
        <f>P_J!AL3</f>
        <v/>
      </c>
      <c r="L15">
        <f>P_J!AM3</f>
        <v/>
      </c>
      <c r="M15">
        <f>P_J!AN3</f>
        <v/>
      </c>
      <c r="N15">
        <f>P_J!AO3</f>
        <v/>
      </c>
      <c r="O15">
        <f>P_J!AP3</f>
        <v/>
      </c>
      <c r="P15">
        <f>P_J!AQ3</f>
        <v/>
      </c>
      <c r="Q15">
        <f>P_J!AR3</f>
        <v/>
      </c>
      <c r="R15">
        <f>P_J!AS3</f>
        <v/>
      </c>
      <c r="S15">
        <f>P_J!AT3</f>
        <v/>
      </c>
      <c r="T15">
        <f>P_J!AU3</f>
        <v/>
      </c>
      <c r="U15">
        <f>P_J!AV3</f>
        <v/>
      </c>
      <c r="V15">
        <f>P_J!AW3</f>
        <v/>
      </c>
      <c r="W15">
        <f>P_J!AX3</f>
        <v/>
      </c>
      <c r="X15">
        <f>P_J!AY3</f>
        <v/>
      </c>
      <c r="Y15">
        <f>P_J!AZ3</f>
        <v/>
      </c>
      <c r="Z15">
        <f>P_J!BA3</f>
        <v/>
      </c>
      <c r="AA15">
        <f>P_J!BB3</f>
        <v/>
      </c>
      <c r="AB15">
        <f>P_J!BC3</f>
        <v/>
      </c>
      <c r="AC15">
        <f>P_J!BD3</f>
        <v/>
      </c>
      <c r="AD15">
        <f>P_J!BE3</f>
        <v/>
      </c>
      <c r="AE15">
        <f>P_J!BF3</f>
        <v/>
      </c>
    </row>
    <row r="16">
      <c r="A16" t="inlineStr">
        <is>
          <t>P_I</t>
        </is>
      </c>
      <c r="B16">
        <f>P_I!C3</f>
        <v/>
      </c>
      <c r="C16">
        <f>P_I!D3</f>
        <v/>
      </c>
      <c r="D16">
        <f>P_I!E3</f>
        <v/>
      </c>
      <c r="E16">
        <f>P_I!F3</f>
        <v/>
      </c>
      <c r="F16">
        <f>P_I!G3</f>
        <v/>
      </c>
      <c r="G16">
        <f>P_I!H3</f>
        <v/>
      </c>
      <c r="H16">
        <f>P_I!I3</f>
        <v/>
      </c>
      <c r="I16">
        <f>P_I!J3</f>
        <v/>
      </c>
      <c r="J16">
        <f>P_I!K3</f>
        <v/>
      </c>
      <c r="K16">
        <f>P_I!L3</f>
        <v/>
      </c>
      <c r="L16">
        <f>P_I!M3</f>
        <v/>
      </c>
      <c r="M16">
        <f>P_I!N3</f>
        <v/>
      </c>
      <c r="N16">
        <f>P_I!O3</f>
        <v/>
      </c>
      <c r="O16">
        <f>P_I!P3</f>
        <v/>
      </c>
      <c r="P16">
        <f>P_I!Q3</f>
        <v/>
      </c>
      <c r="Q16">
        <f>P_I!R3</f>
        <v/>
      </c>
      <c r="R16">
        <f>P_I!S3</f>
        <v/>
      </c>
      <c r="S16">
        <f>P_I!T3</f>
        <v/>
      </c>
      <c r="T16">
        <f>P_I!U3</f>
        <v/>
      </c>
      <c r="U16">
        <f>P_I!V3</f>
        <v/>
      </c>
      <c r="V16">
        <f>P_I!W3</f>
        <v/>
      </c>
      <c r="W16">
        <f>P_I!X3</f>
        <v/>
      </c>
      <c r="X16">
        <f>P_I!Y3</f>
        <v/>
      </c>
      <c r="Y16">
        <f>P_I!Z3</f>
        <v/>
      </c>
      <c r="Z16">
        <f>P_I!AA3</f>
        <v/>
      </c>
      <c r="AA16">
        <f>P_I!AB3</f>
        <v/>
      </c>
      <c r="AB16">
        <f>P_I!AC3</f>
        <v/>
      </c>
      <c r="AC16">
        <f>P_I!AD3</f>
        <v/>
      </c>
      <c r="AD16">
        <f>P_I!AE3</f>
        <v/>
      </c>
      <c r="AE16">
        <f>P_I!AF3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tau_Y!AC3</f>
        <v/>
      </c>
      <c r="C20">
        <f>tau_Y!AD3</f>
        <v/>
      </c>
      <c r="D20">
        <f>tau_Y!AE3</f>
        <v/>
      </c>
      <c r="E20">
        <f>tau_Y!AF3</f>
        <v/>
      </c>
      <c r="F20">
        <f>tau_Y!AG3</f>
        <v/>
      </c>
      <c r="G20">
        <f>tau_Y!AH3</f>
        <v/>
      </c>
      <c r="H20">
        <f>tau_Y!AI3</f>
        <v/>
      </c>
      <c r="I20">
        <f>tau_Y!AJ3</f>
        <v/>
      </c>
      <c r="J20">
        <f>tau_Y!AK3</f>
        <v/>
      </c>
      <c r="K20">
        <f>tau_Y!AL3</f>
        <v/>
      </c>
      <c r="L20">
        <f>tau_Y!AM3</f>
        <v/>
      </c>
      <c r="M20">
        <f>tau_Y!AN3</f>
        <v/>
      </c>
      <c r="N20">
        <f>tau_Y!AO3</f>
        <v/>
      </c>
      <c r="O20">
        <f>tau_Y!AP3</f>
        <v/>
      </c>
      <c r="P20">
        <f>tau_Y!AQ3</f>
        <v/>
      </c>
      <c r="Q20">
        <f>tau_Y!AR3</f>
        <v/>
      </c>
      <c r="R20">
        <f>tau_Y!AS3</f>
        <v/>
      </c>
      <c r="S20">
        <f>tau_Y!AT3</f>
        <v/>
      </c>
      <c r="T20">
        <f>tau_Y!AU3</f>
        <v/>
      </c>
      <c r="U20">
        <f>tau_Y!AV3</f>
        <v/>
      </c>
      <c r="V20">
        <f>tau_Y!AW3</f>
        <v/>
      </c>
      <c r="W20">
        <f>tau_Y!AX3</f>
        <v/>
      </c>
      <c r="X20">
        <f>tau_Y!AY3</f>
        <v/>
      </c>
      <c r="Y20">
        <f>tau_Y!AZ3</f>
        <v/>
      </c>
      <c r="Z20">
        <f>tau_Y!BA3</f>
        <v/>
      </c>
      <c r="AA20">
        <f>tau_Y!BB3</f>
        <v/>
      </c>
      <c r="AB20">
        <f>tau_Y!BC3</f>
        <v/>
      </c>
      <c r="AC20">
        <f>tau_Y!BD3</f>
        <v/>
      </c>
      <c r="AD20">
        <f>tau_Y!BE3</f>
        <v/>
      </c>
      <c r="AE20">
        <f>tau_Y!BF3</f>
        <v/>
      </c>
    </row>
    <row r="21">
      <c r="A21" t="inlineStr">
        <is>
          <t>Afgift indenlandsk</t>
        </is>
      </c>
      <c r="B21">
        <f>tau_MD!AB3</f>
        <v/>
      </c>
      <c r="C21">
        <f>tau_MD!AC3</f>
        <v/>
      </c>
      <c r="D21">
        <f>tau_MD!AD3</f>
        <v/>
      </c>
      <c r="E21">
        <f>tau_MD!AE3</f>
        <v/>
      </c>
      <c r="F21">
        <f>tau_MD!AF3</f>
        <v/>
      </c>
      <c r="G21">
        <f>tau_MD!AG3</f>
        <v/>
      </c>
      <c r="H21">
        <f>tau_MD!AH3</f>
        <v/>
      </c>
      <c r="I21">
        <f>tau_MD!AI3</f>
        <v/>
      </c>
      <c r="J21">
        <f>tau_MD!AJ3</f>
        <v/>
      </c>
      <c r="K21">
        <f>tau_MD!AK3</f>
        <v/>
      </c>
      <c r="L21">
        <f>tau_MD!AL3</f>
        <v/>
      </c>
      <c r="M21">
        <f>tau_MD!AM3</f>
        <v/>
      </c>
      <c r="N21">
        <f>tau_MD!AN3</f>
        <v/>
      </c>
      <c r="O21">
        <f>tau_MD!AO3</f>
        <v/>
      </c>
      <c r="P21">
        <f>tau_MD!AP3</f>
        <v/>
      </c>
      <c r="Q21">
        <f>tau_MD!AQ3</f>
        <v/>
      </c>
      <c r="R21">
        <f>tau_MD!AR3</f>
        <v/>
      </c>
      <c r="S21">
        <f>tau_MD!AS3</f>
        <v/>
      </c>
      <c r="T21">
        <f>tau_MD!AT3</f>
        <v/>
      </c>
      <c r="U21">
        <f>tau_MD!AU3</f>
        <v/>
      </c>
      <c r="V21">
        <f>tau_MD!AV3</f>
        <v/>
      </c>
      <c r="W21">
        <f>tau_MD!AW3</f>
        <v/>
      </c>
      <c r="X21">
        <f>tau_MD!AX3</f>
        <v/>
      </c>
      <c r="Y21">
        <f>tau_MD!AY3</f>
        <v/>
      </c>
      <c r="Z21">
        <f>tau_MD!AZ3</f>
        <v/>
      </c>
      <c r="AA21">
        <f>tau_MD!BA3</f>
        <v/>
      </c>
      <c r="AB21">
        <f>tau_MD!BB3</f>
        <v/>
      </c>
      <c r="AC21">
        <f>tau_MD!BC3</f>
        <v/>
      </c>
      <c r="AD21">
        <f>tau_MD!BD3</f>
        <v/>
      </c>
      <c r="AE21">
        <f>tau_MD!BE3</f>
        <v/>
      </c>
    </row>
    <row r="22">
      <c r="A22" t="inlineStr">
        <is>
          <t>Markup</t>
        </is>
      </c>
      <c r="B22">
        <f>markup!AC3</f>
        <v/>
      </c>
      <c r="C22">
        <f>markup!AD3</f>
        <v/>
      </c>
      <c r="D22">
        <f>markup!AE3</f>
        <v/>
      </c>
      <c r="E22">
        <f>markup!AF3</f>
        <v/>
      </c>
      <c r="F22">
        <f>markup!AG3</f>
        <v/>
      </c>
      <c r="G22">
        <f>markup!AH3</f>
        <v/>
      </c>
      <c r="H22">
        <f>markup!AI3</f>
        <v/>
      </c>
      <c r="I22">
        <f>markup!AJ3</f>
        <v/>
      </c>
      <c r="J22">
        <f>markup!AK3</f>
        <v/>
      </c>
      <c r="K22">
        <f>markup!AL3</f>
        <v/>
      </c>
      <c r="L22">
        <f>markup!AM3</f>
        <v/>
      </c>
      <c r="M22">
        <f>markup!AN3</f>
        <v/>
      </c>
      <c r="N22">
        <f>markup!AO3</f>
        <v/>
      </c>
      <c r="O22">
        <f>markup!AP3</f>
        <v/>
      </c>
      <c r="P22">
        <f>markup!AQ3</f>
        <v/>
      </c>
      <c r="Q22">
        <f>markup!AR3</f>
        <v/>
      </c>
      <c r="R22">
        <f>markup!AS3</f>
        <v/>
      </c>
      <c r="S22">
        <f>markup!AT3</f>
        <v/>
      </c>
      <c r="T22">
        <f>markup!AU3</f>
        <v/>
      </c>
      <c r="U22">
        <f>markup!AV3</f>
        <v/>
      </c>
      <c r="V22">
        <f>markup!AW3</f>
        <v/>
      </c>
      <c r="W22">
        <f>markup!AX3</f>
        <v/>
      </c>
      <c r="X22">
        <f>markup!AY3</f>
        <v/>
      </c>
      <c r="Y22">
        <f>markup!AZ3</f>
        <v/>
      </c>
      <c r="Z22">
        <f>markup!BA3</f>
        <v/>
      </c>
      <c r="AA22">
        <f>markup!BB3</f>
        <v/>
      </c>
      <c r="AB22">
        <f>markup!BC3</f>
        <v/>
      </c>
      <c r="AC22">
        <f>markup!BD3</f>
        <v/>
      </c>
      <c r="AD22">
        <f>markup!BE3</f>
        <v/>
      </c>
      <c r="AE22">
        <f>markup!BF3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G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4"/>
    <col width="9" customWidth="1" style="6" min="5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Y!AB4</f>
        <v/>
      </c>
      <c r="C3">
        <f>Y!AC4</f>
        <v/>
      </c>
      <c r="D3">
        <f>Y!AD4</f>
        <v/>
      </c>
      <c r="E3">
        <f>Y!AE4</f>
        <v/>
      </c>
      <c r="F3">
        <f>Y!AF4</f>
        <v/>
      </c>
      <c r="G3">
        <f>Y!AG4</f>
        <v/>
      </c>
      <c r="H3">
        <f>Y!AH4</f>
        <v/>
      </c>
      <c r="I3">
        <f>Y!AI4</f>
        <v/>
      </c>
      <c r="J3">
        <f>Y!AJ4</f>
        <v/>
      </c>
      <c r="K3">
        <f>Y!AK4</f>
        <v/>
      </c>
      <c r="L3">
        <f>Y!AL4</f>
        <v/>
      </c>
      <c r="M3">
        <f>Y!AM4</f>
        <v/>
      </c>
      <c r="N3">
        <f>Y!AN4</f>
        <v/>
      </c>
      <c r="O3">
        <f>Y!AO4</f>
        <v/>
      </c>
      <c r="P3">
        <f>Y!AP4</f>
        <v/>
      </c>
      <c r="Q3">
        <f>Y!AQ4</f>
        <v/>
      </c>
      <c r="R3">
        <f>Y!AR4</f>
        <v/>
      </c>
      <c r="S3">
        <f>Y!AS4</f>
        <v/>
      </c>
      <c r="T3">
        <f>Y!AT4</f>
        <v/>
      </c>
      <c r="U3">
        <f>Y!AU4</f>
        <v/>
      </c>
      <c r="V3">
        <f>Y!AV4</f>
        <v/>
      </c>
      <c r="W3">
        <f>Y!AW4</f>
        <v/>
      </c>
      <c r="X3">
        <f>Y!AX4</f>
        <v/>
      </c>
      <c r="Y3">
        <f>Y!AY4</f>
        <v/>
      </c>
      <c r="Z3">
        <f>Y!AZ4</f>
        <v/>
      </c>
      <c r="AA3">
        <f>Y!BA4</f>
        <v/>
      </c>
      <c r="AB3">
        <f>Y!BB4</f>
        <v/>
      </c>
      <c r="AC3">
        <f>Y!BC4</f>
        <v/>
      </c>
      <c r="AD3">
        <f>Y!BD4</f>
        <v/>
      </c>
      <c r="AE3">
        <f>Y!BE4</f>
        <v/>
      </c>
    </row>
    <row r="4">
      <c r="A4" t="inlineStr">
        <is>
          <t>K</t>
        </is>
      </c>
      <c r="B4">
        <f>K!AC4</f>
        <v/>
      </c>
      <c r="C4">
        <f>K!AD4</f>
        <v/>
      </c>
      <c r="D4">
        <f>K!AE4</f>
        <v/>
      </c>
      <c r="E4">
        <f>K!AF4</f>
        <v/>
      </c>
      <c r="F4">
        <f>K!AG4</f>
        <v/>
      </c>
      <c r="G4">
        <f>K!AH4</f>
        <v/>
      </c>
      <c r="H4">
        <f>K!AI4</f>
        <v/>
      </c>
      <c r="I4">
        <f>K!AJ4</f>
        <v/>
      </c>
      <c r="J4">
        <f>K!AK4</f>
        <v/>
      </c>
      <c r="K4">
        <f>K!AL4</f>
        <v/>
      </c>
      <c r="L4">
        <f>K!AM4</f>
        <v/>
      </c>
      <c r="M4">
        <f>K!AN4</f>
        <v/>
      </c>
      <c r="N4">
        <f>K!AO4</f>
        <v/>
      </c>
      <c r="O4">
        <f>K!AP4</f>
        <v/>
      </c>
      <c r="P4">
        <f>K!AQ4</f>
        <v/>
      </c>
      <c r="Q4">
        <f>K!AR4</f>
        <v/>
      </c>
      <c r="R4">
        <f>K!AS4</f>
        <v/>
      </c>
      <c r="S4">
        <f>K!AT4</f>
        <v/>
      </c>
      <c r="T4">
        <f>K!AU4</f>
        <v/>
      </c>
      <c r="U4">
        <f>K!AV4</f>
        <v/>
      </c>
      <c r="V4">
        <f>K!AW4</f>
        <v/>
      </c>
      <c r="W4">
        <f>K!AX4</f>
        <v/>
      </c>
      <c r="X4">
        <f>K!AY4</f>
        <v/>
      </c>
      <c r="Y4">
        <f>K!AZ4</f>
        <v/>
      </c>
      <c r="Z4">
        <f>K!BA4</f>
        <v/>
      </c>
      <c r="AA4">
        <f>K!BB4</f>
        <v/>
      </c>
      <c r="AB4">
        <f>K!BC4</f>
        <v/>
      </c>
      <c r="AC4">
        <f>K!BD4</f>
        <v/>
      </c>
      <c r="AD4">
        <f>K!BE4</f>
        <v/>
      </c>
      <c r="AE4">
        <f>K!BF4</f>
        <v/>
      </c>
    </row>
    <row r="5">
      <c r="A5" t="inlineStr">
        <is>
          <t>L</t>
        </is>
      </c>
      <c r="B5">
        <f>L!AC4</f>
        <v/>
      </c>
      <c r="C5">
        <f>L!AD4</f>
        <v/>
      </c>
      <c r="D5">
        <f>L!AE4</f>
        <v/>
      </c>
      <c r="E5">
        <f>L!AF4</f>
        <v/>
      </c>
      <c r="F5">
        <f>L!AG4</f>
        <v/>
      </c>
      <c r="G5">
        <f>L!AH4</f>
        <v/>
      </c>
      <c r="H5">
        <f>L!AI4</f>
        <v/>
      </c>
      <c r="I5">
        <f>L!AJ4</f>
        <v/>
      </c>
      <c r="J5">
        <f>L!AK4</f>
        <v/>
      </c>
      <c r="K5">
        <f>L!AL4</f>
        <v/>
      </c>
      <c r="L5">
        <f>L!AM4</f>
        <v/>
      </c>
      <c r="M5">
        <f>L!AN4</f>
        <v/>
      </c>
      <c r="N5">
        <f>L!AO4</f>
        <v/>
      </c>
      <c r="O5">
        <f>L!AP4</f>
        <v/>
      </c>
      <c r="P5">
        <f>L!AQ4</f>
        <v/>
      </c>
      <c r="Q5">
        <f>L!AR4</f>
        <v/>
      </c>
      <c r="R5">
        <f>L!AS4</f>
        <v/>
      </c>
      <c r="S5">
        <f>L!AT4</f>
        <v/>
      </c>
      <c r="T5">
        <f>L!AU4</f>
        <v/>
      </c>
      <c r="U5">
        <f>L!AV4</f>
        <v/>
      </c>
      <c r="V5">
        <f>L!AW4</f>
        <v/>
      </c>
      <c r="W5">
        <f>L!AX4</f>
        <v/>
      </c>
      <c r="X5">
        <f>L!AY4</f>
        <v/>
      </c>
      <c r="Y5">
        <f>L!AZ4</f>
        <v/>
      </c>
      <c r="Z5">
        <f>L!BA4</f>
        <v/>
      </c>
      <c r="AA5">
        <f>L!BB4</f>
        <v/>
      </c>
      <c r="AB5">
        <f>L!BC4</f>
        <v/>
      </c>
      <c r="AC5">
        <f>L!BD4</f>
        <v/>
      </c>
      <c r="AD5">
        <f>L!BE4</f>
        <v/>
      </c>
      <c r="AE5">
        <f>L!BF4</f>
        <v/>
      </c>
    </row>
    <row r="6">
      <c r="A6" t="inlineStr">
        <is>
          <t>Mtot</t>
        </is>
      </c>
      <c r="B6">
        <f>Mtot!AB4</f>
        <v/>
      </c>
      <c r="C6">
        <f>Mtot!AC4</f>
        <v/>
      </c>
      <c r="D6">
        <f>Mtot!AD4</f>
        <v/>
      </c>
      <c r="E6">
        <f>Mtot!AE4</f>
        <v/>
      </c>
      <c r="F6">
        <f>Mtot!AF4</f>
        <v/>
      </c>
      <c r="G6">
        <f>Mtot!AG4</f>
        <v/>
      </c>
      <c r="H6">
        <f>Mtot!AH4</f>
        <v/>
      </c>
      <c r="I6">
        <f>Mtot!AI4</f>
        <v/>
      </c>
      <c r="J6">
        <f>Mtot!AJ4</f>
        <v/>
      </c>
      <c r="K6">
        <f>Mtot!AK4</f>
        <v/>
      </c>
      <c r="L6">
        <f>Mtot!AL4</f>
        <v/>
      </c>
      <c r="M6">
        <f>Mtot!AM4</f>
        <v/>
      </c>
      <c r="N6">
        <f>Mtot!AN4</f>
        <v/>
      </c>
      <c r="O6">
        <f>Mtot!AO4</f>
        <v/>
      </c>
      <c r="P6">
        <f>Mtot!AP4</f>
        <v/>
      </c>
      <c r="Q6">
        <f>Mtot!AQ4</f>
        <v/>
      </c>
      <c r="R6">
        <f>Mtot!AR4</f>
        <v/>
      </c>
      <c r="S6">
        <f>Mtot!AS4</f>
        <v/>
      </c>
      <c r="T6">
        <f>Mtot!AT4</f>
        <v/>
      </c>
      <c r="U6">
        <f>Mtot!AU4</f>
        <v/>
      </c>
      <c r="V6">
        <f>Mtot!AV4</f>
        <v/>
      </c>
      <c r="W6">
        <f>Mtot!AW4</f>
        <v/>
      </c>
      <c r="X6">
        <f>Mtot!AX4</f>
        <v/>
      </c>
      <c r="Y6">
        <f>Mtot!AY4</f>
        <v/>
      </c>
      <c r="Z6">
        <f>Mtot!AZ4</f>
        <v/>
      </c>
      <c r="AA6">
        <f>Mtot!BA4</f>
        <v/>
      </c>
      <c r="AB6">
        <f>Mtot!BB4</f>
        <v/>
      </c>
      <c r="AC6">
        <f>Mtot!BC4</f>
        <v/>
      </c>
      <c r="AD6">
        <f>Mtot!BD4</f>
        <v/>
      </c>
      <c r="AE6">
        <f>Mtot!BE4</f>
        <v/>
      </c>
    </row>
    <row r="7">
      <c r="A7" t="inlineStr">
        <is>
          <t>J</t>
        </is>
      </c>
      <c r="B7">
        <f>J!M4</f>
        <v/>
      </c>
      <c r="C7">
        <f>J!N4</f>
        <v/>
      </c>
      <c r="D7">
        <f>J!O4</f>
        <v/>
      </c>
      <c r="E7">
        <f>J!P4</f>
        <v/>
      </c>
      <c r="F7">
        <f>J!Q4</f>
        <v/>
      </c>
      <c r="G7">
        <f>J!R4</f>
        <v/>
      </c>
      <c r="H7">
        <f>J!S4</f>
        <v/>
      </c>
      <c r="I7">
        <f>J!T4</f>
        <v/>
      </c>
      <c r="J7">
        <f>J!U4</f>
        <v/>
      </c>
      <c r="K7">
        <f>J!V4</f>
        <v/>
      </c>
      <c r="L7">
        <f>J!W4</f>
        <v/>
      </c>
      <c r="M7">
        <f>J!X4</f>
        <v/>
      </c>
      <c r="N7">
        <f>J!Y4</f>
        <v/>
      </c>
      <c r="O7">
        <f>J!Z4</f>
        <v/>
      </c>
      <c r="P7">
        <f>J!AA4</f>
        <v/>
      </c>
      <c r="Q7">
        <f>J!AB4</f>
        <v/>
      </c>
      <c r="R7">
        <f>J!AC4</f>
        <v/>
      </c>
      <c r="S7">
        <f>J!AD4</f>
        <v/>
      </c>
      <c r="T7">
        <f>J!AE4</f>
        <v/>
      </c>
      <c r="U7">
        <f>J!AF4</f>
        <v/>
      </c>
      <c r="V7">
        <f>J!AG4</f>
        <v/>
      </c>
      <c r="W7">
        <f>J!AH4</f>
        <v/>
      </c>
      <c r="X7">
        <f>J!AI4</f>
        <v/>
      </c>
      <c r="Y7">
        <f>J!AJ4</f>
        <v/>
      </c>
      <c r="Z7">
        <f>J!AK4</f>
        <v/>
      </c>
      <c r="AA7">
        <f>J!AL4</f>
        <v/>
      </c>
      <c r="AB7">
        <f>J!AM4</f>
        <v/>
      </c>
      <c r="AC7">
        <f>J!AN4</f>
        <v/>
      </c>
      <c r="AD7">
        <f>J!AO4</f>
        <v/>
      </c>
      <c r="AE7">
        <f>J!AP4</f>
        <v/>
      </c>
    </row>
    <row r="8">
      <c r="A8" t="inlineStr">
        <is>
          <t>I</t>
        </is>
      </c>
      <c r="B8">
        <f>I!AC4</f>
        <v/>
      </c>
      <c r="C8">
        <f>I!AD4</f>
        <v/>
      </c>
      <c r="D8">
        <f>I!AE4</f>
        <v/>
      </c>
      <c r="E8">
        <f>I!AF4</f>
        <v/>
      </c>
      <c r="F8">
        <f>I!AG4</f>
        <v/>
      </c>
      <c r="G8">
        <f>I!AH4</f>
        <v/>
      </c>
      <c r="H8">
        <f>I!AI4</f>
        <v/>
      </c>
      <c r="I8">
        <f>I!AJ4</f>
        <v/>
      </c>
      <c r="J8">
        <f>I!AK4</f>
        <v/>
      </c>
      <c r="K8">
        <f>I!AL4</f>
        <v/>
      </c>
      <c r="L8">
        <f>I!AM4</f>
        <v/>
      </c>
      <c r="M8">
        <f>I!AN4</f>
        <v/>
      </c>
      <c r="N8">
        <f>I!AO4</f>
        <v/>
      </c>
      <c r="O8">
        <f>I!AP4</f>
        <v/>
      </c>
      <c r="P8">
        <f>I!AQ4</f>
        <v/>
      </c>
      <c r="Q8">
        <f>I!AR4</f>
        <v/>
      </c>
      <c r="R8">
        <f>I!AS4</f>
        <v/>
      </c>
      <c r="S8">
        <f>I!AT4</f>
        <v/>
      </c>
      <c r="T8">
        <f>I!AU4</f>
        <v/>
      </c>
      <c r="U8">
        <f>I!AV4</f>
        <v/>
      </c>
      <c r="V8">
        <f>I!AW4</f>
        <v/>
      </c>
      <c r="W8">
        <f>I!AX4</f>
        <v/>
      </c>
      <c r="X8">
        <f>I!AY4</f>
        <v/>
      </c>
      <c r="Y8">
        <f>I!AZ4</f>
        <v/>
      </c>
      <c r="Z8">
        <f>I!BA4</f>
        <v/>
      </c>
      <c r="AA8">
        <f>I!BB4</f>
        <v/>
      </c>
      <c r="AB8">
        <f>I!BC4</f>
        <v/>
      </c>
      <c r="AC8">
        <f>I!BD4</f>
        <v/>
      </c>
      <c r="AD8">
        <f>I!BE4</f>
        <v/>
      </c>
      <c r="AE8">
        <f>I!BF4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P!AB4</f>
        <v/>
      </c>
      <c r="C11">
        <f>P!AC4</f>
        <v/>
      </c>
      <c r="D11">
        <f>P!AD4</f>
        <v/>
      </c>
      <c r="E11">
        <f>P!AE4</f>
        <v/>
      </c>
      <c r="F11">
        <f>P!AF4</f>
        <v/>
      </c>
      <c r="G11">
        <f>P!AG4</f>
        <v/>
      </c>
      <c r="H11">
        <f>P!AH4</f>
        <v/>
      </c>
      <c r="I11">
        <f>P!AI4</f>
        <v/>
      </c>
      <c r="J11">
        <f>P!AJ4</f>
        <v/>
      </c>
      <c r="K11">
        <f>P!AK4</f>
        <v/>
      </c>
      <c r="L11">
        <f>P!AL4</f>
        <v/>
      </c>
      <c r="M11">
        <f>P!AM4</f>
        <v/>
      </c>
      <c r="N11">
        <f>P!AN4</f>
        <v/>
      </c>
      <c r="O11">
        <f>P!AO4</f>
        <v/>
      </c>
      <c r="P11">
        <f>P!AP4</f>
        <v/>
      </c>
      <c r="Q11">
        <f>P!AQ4</f>
        <v/>
      </c>
      <c r="R11">
        <f>P!AR4</f>
        <v/>
      </c>
      <c r="S11">
        <f>P!AS4</f>
        <v/>
      </c>
      <c r="T11">
        <f>P!AT4</f>
        <v/>
      </c>
      <c r="U11">
        <f>P!AU4</f>
        <v/>
      </c>
      <c r="V11">
        <f>P!AV4</f>
        <v/>
      </c>
      <c r="W11">
        <f>P!AW4</f>
        <v/>
      </c>
      <c r="X11">
        <f>P!AX4</f>
        <v/>
      </c>
      <c r="Y11">
        <f>P!AY4</f>
        <v/>
      </c>
      <c r="Z11">
        <f>P!AZ4</f>
        <v/>
      </c>
      <c r="AA11">
        <f>P!BA4</f>
        <v/>
      </c>
      <c r="AB11">
        <f>P!BB4</f>
        <v/>
      </c>
      <c r="AC11">
        <f>P!BC4</f>
        <v/>
      </c>
      <c r="AD11">
        <f>P!BD4</f>
        <v/>
      </c>
      <c r="AE11">
        <f>P!BE4</f>
        <v/>
      </c>
    </row>
    <row r="12">
      <c r="A12" t="inlineStr">
        <is>
          <t>P_K</t>
        </is>
      </c>
      <c r="B12">
        <f>P_K!AC4</f>
        <v/>
      </c>
      <c r="C12">
        <f>P_K!AD4</f>
        <v/>
      </c>
      <c r="D12">
        <f>P_K!AE4</f>
        <v/>
      </c>
      <c r="E12">
        <f>P_K!AF4</f>
        <v/>
      </c>
      <c r="F12">
        <f>P_K!AG4</f>
        <v/>
      </c>
      <c r="G12">
        <f>P_K!AH4</f>
        <v/>
      </c>
      <c r="H12">
        <f>P_K!AI4</f>
        <v/>
      </c>
      <c r="I12">
        <f>P_K!AJ4</f>
        <v/>
      </c>
      <c r="J12">
        <f>P_K!AK4</f>
        <v/>
      </c>
      <c r="K12">
        <f>P_K!AL4</f>
        <v/>
      </c>
      <c r="L12">
        <f>P_K!AM4</f>
        <v/>
      </c>
      <c r="M12">
        <f>P_K!AN4</f>
        <v/>
      </c>
      <c r="N12">
        <f>P_K!AO4</f>
        <v/>
      </c>
      <c r="O12">
        <f>P_K!AP4</f>
        <v/>
      </c>
      <c r="P12">
        <f>P_K!AQ4</f>
        <v/>
      </c>
      <c r="Q12">
        <f>P_K!AR4</f>
        <v/>
      </c>
      <c r="R12">
        <f>P_K!AS4</f>
        <v/>
      </c>
      <c r="S12">
        <f>P_K!AT4</f>
        <v/>
      </c>
      <c r="T12">
        <f>P_K!AU4</f>
        <v/>
      </c>
      <c r="U12">
        <f>P_K!AV4</f>
        <v/>
      </c>
      <c r="V12">
        <f>P_K!AW4</f>
        <v/>
      </c>
      <c r="W12">
        <f>P_K!AX4</f>
        <v/>
      </c>
      <c r="X12">
        <f>P_K!AY4</f>
        <v/>
      </c>
      <c r="Y12">
        <f>P_K!AZ4</f>
        <v/>
      </c>
      <c r="Z12">
        <f>P_K!BA4</f>
        <v/>
      </c>
      <c r="AA12">
        <f>P_K!BB4</f>
        <v/>
      </c>
      <c r="AB12">
        <f>P_K!BC4</f>
        <v/>
      </c>
      <c r="AC12">
        <f>P_K!BD4</f>
        <v/>
      </c>
      <c r="AD12">
        <f>P_K!BE4</f>
        <v/>
      </c>
      <c r="AE12">
        <f>P_K!BF4</f>
        <v/>
      </c>
    </row>
    <row r="13">
      <c r="A13" t="inlineStr">
        <is>
          <t>w</t>
        </is>
      </c>
      <c r="B13">
        <f>w!AC4</f>
        <v/>
      </c>
      <c r="C13">
        <f>w!AD4</f>
        <v/>
      </c>
      <c r="D13">
        <f>w!AE4</f>
        <v/>
      </c>
      <c r="E13">
        <f>w!AF4</f>
        <v/>
      </c>
      <c r="F13">
        <f>w!AG4</f>
        <v/>
      </c>
      <c r="G13">
        <f>w!AH4</f>
        <v/>
      </c>
      <c r="H13">
        <f>w!AI4</f>
        <v/>
      </c>
      <c r="I13">
        <f>w!AJ4</f>
        <v/>
      </c>
      <c r="J13">
        <f>w!AK4</f>
        <v/>
      </c>
      <c r="K13">
        <f>w!AL4</f>
        <v/>
      </c>
      <c r="L13">
        <f>w!AM4</f>
        <v/>
      </c>
      <c r="M13">
        <f>w!AN4</f>
        <v/>
      </c>
      <c r="N13">
        <f>w!AO4</f>
        <v/>
      </c>
      <c r="O13">
        <f>w!AP4</f>
        <v/>
      </c>
      <c r="P13">
        <f>w!AQ4</f>
        <v/>
      </c>
      <c r="Q13">
        <f>w!AR4</f>
        <v/>
      </c>
      <c r="R13">
        <f>w!AS4</f>
        <v/>
      </c>
      <c r="S13">
        <f>w!AT4</f>
        <v/>
      </c>
      <c r="T13">
        <f>w!AU4</f>
        <v/>
      </c>
      <c r="U13">
        <f>w!AV4</f>
        <v/>
      </c>
      <c r="V13">
        <f>w!AW4</f>
        <v/>
      </c>
      <c r="W13">
        <f>w!AX4</f>
        <v/>
      </c>
      <c r="X13">
        <f>w!AY4</f>
        <v/>
      </c>
      <c r="Y13">
        <f>w!AZ4</f>
        <v/>
      </c>
      <c r="Z13">
        <f>w!BA4</f>
        <v/>
      </c>
      <c r="AA13">
        <f>w!BB4</f>
        <v/>
      </c>
      <c r="AB13">
        <f>w!BC4</f>
        <v/>
      </c>
      <c r="AC13">
        <f>w!BD4</f>
        <v/>
      </c>
      <c r="AD13">
        <f>w!BE4</f>
        <v/>
      </c>
      <c r="AE13">
        <f>w!BF4</f>
        <v/>
      </c>
    </row>
    <row r="14">
      <c r="A14" t="inlineStr">
        <is>
          <t>P_Mtot</t>
        </is>
      </c>
      <c r="B14">
        <f>P_Mtot!AB4</f>
        <v/>
      </c>
      <c r="C14">
        <f>P_Mtot!AC4</f>
        <v/>
      </c>
      <c r="D14">
        <f>P_Mtot!AD4</f>
        <v/>
      </c>
      <c r="E14">
        <f>P_Mtot!AE4</f>
        <v/>
      </c>
      <c r="F14">
        <f>P_Mtot!AF4</f>
        <v/>
      </c>
      <c r="G14">
        <f>P_Mtot!AG4</f>
        <v/>
      </c>
      <c r="H14">
        <f>P_Mtot!AH4</f>
        <v/>
      </c>
      <c r="I14">
        <f>P_Mtot!AI4</f>
        <v/>
      </c>
      <c r="J14">
        <f>P_Mtot!AJ4</f>
        <v/>
      </c>
      <c r="K14">
        <f>P_Mtot!AK4</f>
        <v/>
      </c>
      <c r="L14">
        <f>P_Mtot!AL4</f>
        <v/>
      </c>
      <c r="M14">
        <f>P_Mtot!AM4</f>
        <v/>
      </c>
      <c r="N14">
        <f>P_Mtot!AN4</f>
        <v/>
      </c>
      <c r="O14">
        <f>P_Mtot!AO4</f>
        <v/>
      </c>
      <c r="P14">
        <f>P_Mtot!AP4</f>
        <v/>
      </c>
      <c r="Q14">
        <f>P_Mtot!AQ4</f>
        <v/>
      </c>
      <c r="R14">
        <f>P_Mtot!AR4</f>
        <v/>
      </c>
      <c r="S14">
        <f>P_Mtot!AS4</f>
        <v/>
      </c>
      <c r="T14">
        <f>P_Mtot!AT4</f>
        <v/>
      </c>
      <c r="U14">
        <f>P_Mtot!AU4</f>
        <v/>
      </c>
      <c r="V14">
        <f>P_Mtot!AV4</f>
        <v/>
      </c>
      <c r="W14">
        <f>P_Mtot!AW4</f>
        <v/>
      </c>
      <c r="X14">
        <f>P_Mtot!AX4</f>
        <v/>
      </c>
      <c r="Y14">
        <f>P_Mtot!AY4</f>
        <v/>
      </c>
      <c r="Z14">
        <f>P_Mtot!AZ4</f>
        <v/>
      </c>
      <c r="AA14">
        <f>P_Mtot!BA4</f>
        <v/>
      </c>
      <c r="AB14">
        <f>P_Mtot!BB4</f>
        <v/>
      </c>
      <c r="AC14">
        <f>P_Mtot!BC4</f>
        <v/>
      </c>
      <c r="AD14">
        <f>P_Mtot!BD4</f>
        <v/>
      </c>
      <c r="AE14">
        <f>P_Mtot!BE4</f>
        <v/>
      </c>
    </row>
    <row r="15">
      <c r="A15" t="inlineStr">
        <is>
          <t>P_J</t>
        </is>
      </c>
      <c r="B15">
        <f>P_J!AC4</f>
        <v/>
      </c>
      <c r="C15">
        <f>P_J!AD4</f>
        <v/>
      </c>
      <c r="D15">
        <f>P_J!AE4</f>
        <v/>
      </c>
      <c r="E15">
        <f>P_J!AF4</f>
        <v/>
      </c>
      <c r="F15">
        <f>P_J!AG4</f>
        <v/>
      </c>
      <c r="G15">
        <f>P_J!AH4</f>
        <v/>
      </c>
      <c r="H15">
        <f>P_J!AI4</f>
        <v/>
      </c>
      <c r="I15">
        <f>P_J!AJ4</f>
        <v/>
      </c>
      <c r="J15">
        <f>P_J!AK4</f>
        <v/>
      </c>
      <c r="K15">
        <f>P_J!AL4</f>
        <v/>
      </c>
      <c r="L15">
        <f>P_J!AM4</f>
        <v/>
      </c>
      <c r="M15">
        <f>P_J!AN4</f>
        <v/>
      </c>
      <c r="N15">
        <f>P_J!AO4</f>
        <v/>
      </c>
      <c r="O15">
        <f>P_J!AP4</f>
        <v/>
      </c>
      <c r="P15">
        <f>P_J!AQ4</f>
        <v/>
      </c>
      <c r="Q15">
        <f>P_J!AR4</f>
        <v/>
      </c>
      <c r="R15">
        <f>P_J!AS4</f>
        <v/>
      </c>
      <c r="S15">
        <f>P_J!AT4</f>
        <v/>
      </c>
      <c r="T15">
        <f>P_J!AU4</f>
        <v/>
      </c>
      <c r="U15">
        <f>P_J!AV4</f>
        <v/>
      </c>
      <c r="V15">
        <f>P_J!AW4</f>
        <v/>
      </c>
      <c r="W15">
        <f>P_J!AX4</f>
        <v/>
      </c>
      <c r="X15">
        <f>P_J!AY4</f>
        <v/>
      </c>
      <c r="Y15">
        <f>P_J!AZ4</f>
        <v/>
      </c>
      <c r="Z15">
        <f>P_J!BA4</f>
        <v/>
      </c>
      <c r="AA15">
        <f>P_J!BB4</f>
        <v/>
      </c>
      <c r="AB15">
        <f>P_J!BC4</f>
        <v/>
      </c>
      <c r="AC15">
        <f>P_J!BD4</f>
        <v/>
      </c>
      <c r="AD15">
        <f>P_J!BE4</f>
        <v/>
      </c>
      <c r="AE15">
        <f>P_J!BF4</f>
        <v/>
      </c>
    </row>
    <row r="16">
      <c r="A16" t="inlineStr">
        <is>
          <t>P_I</t>
        </is>
      </c>
      <c r="B16">
        <f>P_I!C4</f>
        <v/>
      </c>
      <c r="C16">
        <f>P_I!D4</f>
        <v/>
      </c>
      <c r="D16">
        <f>P_I!E4</f>
        <v/>
      </c>
      <c r="E16">
        <f>P_I!F4</f>
        <v/>
      </c>
      <c r="F16">
        <f>P_I!G4</f>
        <v/>
      </c>
      <c r="G16">
        <f>P_I!H4</f>
        <v/>
      </c>
      <c r="H16">
        <f>P_I!I4</f>
        <v/>
      </c>
      <c r="I16">
        <f>P_I!J4</f>
        <v/>
      </c>
      <c r="J16">
        <f>P_I!K4</f>
        <v/>
      </c>
      <c r="K16">
        <f>P_I!L4</f>
        <v/>
      </c>
      <c r="L16">
        <f>P_I!M4</f>
        <v/>
      </c>
      <c r="M16">
        <f>P_I!N4</f>
        <v/>
      </c>
      <c r="N16">
        <f>P_I!O4</f>
        <v/>
      </c>
      <c r="O16">
        <f>P_I!P4</f>
        <v/>
      </c>
      <c r="P16">
        <f>P_I!Q4</f>
        <v/>
      </c>
      <c r="Q16">
        <f>P_I!R4</f>
        <v/>
      </c>
      <c r="R16">
        <f>P_I!S4</f>
        <v/>
      </c>
      <c r="S16">
        <f>P_I!T4</f>
        <v/>
      </c>
      <c r="T16">
        <f>P_I!U4</f>
        <v/>
      </c>
      <c r="U16">
        <f>P_I!V4</f>
        <v/>
      </c>
      <c r="V16">
        <f>P_I!W4</f>
        <v/>
      </c>
      <c r="W16">
        <f>P_I!X4</f>
        <v/>
      </c>
      <c r="X16">
        <f>P_I!Y4</f>
        <v/>
      </c>
      <c r="Y16">
        <f>P_I!Z4</f>
        <v/>
      </c>
      <c r="Z16">
        <f>P_I!AA4</f>
        <v/>
      </c>
      <c r="AA16">
        <f>P_I!AB4</f>
        <v/>
      </c>
      <c r="AB16">
        <f>P_I!AC4</f>
        <v/>
      </c>
      <c r="AC16">
        <f>P_I!AD4</f>
        <v/>
      </c>
      <c r="AD16">
        <f>P_I!AE4</f>
        <v/>
      </c>
      <c r="AE16">
        <f>P_I!AF4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tau_Y!AC4</f>
        <v/>
      </c>
      <c r="C20">
        <f>tau_Y!AD4</f>
        <v/>
      </c>
      <c r="D20">
        <f>tau_Y!AE4</f>
        <v/>
      </c>
      <c r="E20">
        <f>tau_Y!AF4</f>
        <v/>
      </c>
      <c r="F20">
        <f>tau_Y!AG4</f>
        <v/>
      </c>
      <c r="G20">
        <f>tau_Y!AH4</f>
        <v/>
      </c>
      <c r="H20">
        <f>tau_Y!AI4</f>
        <v/>
      </c>
      <c r="I20">
        <f>tau_Y!AJ4</f>
        <v/>
      </c>
      <c r="J20">
        <f>tau_Y!AK4</f>
        <v/>
      </c>
      <c r="K20">
        <f>tau_Y!AL4</f>
        <v/>
      </c>
      <c r="L20">
        <f>tau_Y!AM4</f>
        <v/>
      </c>
      <c r="M20">
        <f>tau_Y!AN4</f>
        <v/>
      </c>
      <c r="N20">
        <f>tau_Y!AO4</f>
        <v/>
      </c>
      <c r="O20">
        <f>tau_Y!AP4</f>
        <v/>
      </c>
      <c r="P20">
        <f>tau_Y!AQ4</f>
        <v/>
      </c>
      <c r="Q20">
        <f>tau_Y!AR4</f>
        <v/>
      </c>
      <c r="R20">
        <f>tau_Y!AS4</f>
        <v/>
      </c>
      <c r="S20">
        <f>tau_Y!AT4</f>
        <v/>
      </c>
      <c r="T20">
        <f>tau_Y!AU4</f>
        <v/>
      </c>
      <c r="U20">
        <f>tau_Y!AV4</f>
        <v/>
      </c>
      <c r="V20">
        <f>tau_Y!AW4</f>
        <v/>
      </c>
      <c r="W20">
        <f>tau_Y!AX4</f>
        <v/>
      </c>
      <c r="X20">
        <f>tau_Y!AY4</f>
        <v/>
      </c>
      <c r="Y20">
        <f>tau_Y!AZ4</f>
        <v/>
      </c>
      <c r="Z20">
        <f>tau_Y!BA4</f>
        <v/>
      </c>
      <c r="AA20">
        <f>tau_Y!BB4</f>
        <v/>
      </c>
      <c r="AB20">
        <f>tau_Y!BC4</f>
        <v/>
      </c>
      <c r="AC20">
        <f>tau_Y!BD4</f>
        <v/>
      </c>
      <c r="AD20">
        <f>tau_Y!BE4</f>
        <v/>
      </c>
      <c r="AE20">
        <f>tau_Y!BF4</f>
        <v/>
      </c>
    </row>
    <row r="21">
      <c r="A21" t="inlineStr">
        <is>
          <t>Afgift indenlandsk</t>
        </is>
      </c>
      <c r="B21">
        <f>tau_MD!AB4</f>
        <v/>
      </c>
      <c r="C21">
        <f>tau_MD!AC4</f>
        <v/>
      </c>
      <c r="D21">
        <f>tau_MD!AD4</f>
        <v/>
      </c>
      <c r="E21">
        <f>tau_MD!AE4</f>
        <v/>
      </c>
      <c r="F21">
        <f>tau_MD!AF4</f>
        <v/>
      </c>
      <c r="G21">
        <f>tau_MD!AG4</f>
        <v/>
      </c>
      <c r="H21">
        <f>tau_MD!AH4</f>
        <v/>
      </c>
      <c r="I21">
        <f>tau_MD!AI4</f>
        <v/>
      </c>
      <c r="J21">
        <f>tau_MD!AJ4</f>
        <v/>
      </c>
      <c r="K21">
        <f>tau_MD!AK4</f>
        <v/>
      </c>
      <c r="L21">
        <f>tau_MD!AL4</f>
        <v/>
      </c>
      <c r="M21">
        <f>tau_MD!AM4</f>
        <v/>
      </c>
      <c r="N21">
        <f>tau_MD!AN4</f>
        <v/>
      </c>
      <c r="O21">
        <f>tau_MD!AO4</f>
        <v/>
      </c>
      <c r="P21">
        <f>tau_MD!AP4</f>
        <v/>
      </c>
      <c r="Q21">
        <f>tau_MD!AQ4</f>
        <v/>
      </c>
      <c r="R21">
        <f>tau_MD!AR4</f>
        <v/>
      </c>
      <c r="S21">
        <f>tau_MD!AS4</f>
        <v/>
      </c>
      <c r="T21">
        <f>tau_MD!AT4</f>
        <v/>
      </c>
      <c r="U21">
        <f>tau_MD!AU4</f>
        <v/>
      </c>
      <c r="V21">
        <f>tau_MD!AV4</f>
        <v/>
      </c>
      <c r="W21">
        <f>tau_MD!AW4</f>
        <v/>
      </c>
      <c r="X21">
        <f>tau_MD!AX4</f>
        <v/>
      </c>
      <c r="Y21">
        <f>tau_MD!AY4</f>
        <v/>
      </c>
      <c r="Z21">
        <f>tau_MD!AZ4</f>
        <v/>
      </c>
      <c r="AA21">
        <f>tau_MD!BA4</f>
        <v/>
      </c>
      <c r="AB21">
        <f>tau_MD!BB4</f>
        <v/>
      </c>
      <c r="AC21">
        <f>tau_MD!BC4</f>
        <v/>
      </c>
      <c r="AD21">
        <f>tau_MD!BD4</f>
        <v/>
      </c>
      <c r="AE21">
        <f>tau_MD!BE4</f>
        <v/>
      </c>
    </row>
    <row r="22">
      <c r="A22" t="inlineStr">
        <is>
          <t>Markup</t>
        </is>
      </c>
      <c r="B22">
        <f>markup!AC4</f>
        <v/>
      </c>
      <c r="C22">
        <f>markup!AD4</f>
        <v/>
      </c>
      <c r="D22">
        <f>markup!AE4</f>
        <v/>
      </c>
      <c r="E22">
        <f>markup!AF4</f>
        <v/>
      </c>
      <c r="F22">
        <f>markup!AG4</f>
        <v/>
      </c>
      <c r="G22">
        <f>markup!AH4</f>
        <v/>
      </c>
      <c r="H22">
        <f>markup!AI4</f>
        <v/>
      </c>
      <c r="I22">
        <f>markup!AJ4</f>
        <v/>
      </c>
      <c r="J22">
        <f>markup!AK4</f>
        <v/>
      </c>
      <c r="K22">
        <f>markup!AL4</f>
        <v/>
      </c>
      <c r="L22">
        <f>markup!AM4</f>
        <v/>
      </c>
      <c r="M22">
        <f>markup!AN4</f>
        <v/>
      </c>
      <c r="N22">
        <f>markup!AO4</f>
        <v/>
      </c>
      <c r="O22">
        <f>markup!AP4</f>
        <v/>
      </c>
      <c r="P22">
        <f>markup!AQ4</f>
        <v/>
      </c>
      <c r="Q22">
        <f>markup!AR4</f>
        <v/>
      </c>
      <c r="R22">
        <f>markup!AS4</f>
        <v/>
      </c>
      <c r="S22">
        <f>markup!AT4</f>
        <v/>
      </c>
      <c r="T22">
        <f>markup!AU4</f>
        <v/>
      </c>
      <c r="U22">
        <f>markup!AV4</f>
        <v/>
      </c>
      <c r="V22">
        <f>markup!AW4</f>
        <v/>
      </c>
      <c r="W22">
        <f>markup!AX4</f>
        <v/>
      </c>
      <c r="X22">
        <f>markup!AY4</f>
        <v/>
      </c>
      <c r="Y22">
        <f>markup!AZ4</f>
        <v/>
      </c>
      <c r="Z22">
        <f>markup!BA4</f>
        <v/>
      </c>
      <c r="AA22">
        <f>markup!BB4</f>
        <v/>
      </c>
      <c r="AB22">
        <f>markup!BC4</f>
        <v/>
      </c>
      <c r="AC22">
        <f>markup!BD4</f>
        <v/>
      </c>
      <c r="AD22">
        <f>markup!BE4</f>
        <v/>
      </c>
      <c r="AE22">
        <f>markup!BF4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22"/>
  <sheetViews>
    <sheetView topLeftCell="H1" workbookViewId="0">
      <selection activeCell="K22" sqref="K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4"/>
    <col width="9" customWidth="1" style="6" min="5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Y!AB5</f>
        <v/>
      </c>
      <c r="C3">
        <f>Y!AC5</f>
        <v/>
      </c>
      <c r="D3">
        <f>Y!AD5</f>
        <v/>
      </c>
      <c r="E3">
        <f>Y!AE5</f>
        <v/>
      </c>
      <c r="F3">
        <f>Y!AF5</f>
        <v/>
      </c>
      <c r="G3">
        <f>Y!AG5</f>
        <v/>
      </c>
      <c r="H3">
        <f>Y!AH5</f>
        <v/>
      </c>
      <c r="I3">
        <f>Y!AI5</f>
        <v/>
      </c>
      <c r="J3">
        <f>Y!AJ5</f>
        <v/>
      </c>
      <c r="K3">
        <f>Y!AK5</f>
        <v/>
      </c>
      <c r="L3">
        <f>Y!AL5</f>
        <v/>
      </c>
      <c r="M3">
        <f>Y!AM5</f>
        <v/>
      </c>
      <c r="N3">
        <f>Y!AN5</f>
        <v/>
      </c>
      <c r="O3">
        <f>Y!AO5</f>
        <v/>
      </c>
      <c r="P3">
        <f>Y!AP5</f>
        <v/>
      </c>
      <c r="Q3">
        <f>Y!AQ5</f>
        <v/>
      </c>
      <c r="R3">
        <f>Y!AR5</f>
        <v/>
      </c>
      <c r="S3">
        <f>Y!AS5</f>
        <v/>
      </c>
      <c r="T3">
        <f>Y!AT5</f>
        <v/>
      </c>
      <c r="U3">
        <f>Y!AU5</f>
        <v/>
      </c>
      <c r="V3">
        <f>Y!AV5</f>
        <v/>
      </c>
      <c r="W3">
        <f>Y!AW5</f>
        <v/>
      </c>
      <c r="X3">
        <f>Y!AX5</f>
        <v/>
      </c>
      <c r="Y3">
        <f>Y!AY5</f>
        <v/>
      </c>
      <c r="Z3">
        <f>Y!AZ5</f>
        <v/>
      </c>
      <c r="AA3">
        <f>Y!BA5</f>
        <v/>
      </c>
      <c r="AB3">
        <f>Y!BB5</f>
        <v/>
      </c>
      <c r="AC3">
        <f>Y!BC5</f>
        <v/>
      </c>
      <c r="AD3">
        <f>Y!BD5</f>
        <v/>
      </c>
      <c r="AE3">
        <f>Y!BE5</f>
        <v/>
      </c>
    </row>
    <row r="4">
      <c r="A4" t="inlineStr">
        <is>
          <t>K</t>
        </is>
      </c>
      <c r="B4">
        <f>K!AC5</f>
        <v/>
      </c>
      <c r="C4">
        <f>K!AD5</f>
        <v/>
      </c>
      <c r="D4">
        <f>K!AE5</f>
        <v/>
      </c>
      <c r="E4">
        <f>K!AF5</f>
        <v/>
      </c>
      <c r="F4">
        <f>K!AG5</f>
        <v/>
      </c>
      <c r="G4">
        <f>K!AH5</f>
        <v/>
      </c>
      <c r="H4">
        <f>K!AI5</f>
        <v/>
      </c>
      <c r="I4">
        <f>K!AJ5</f>
        <v/>
      </c>
      <c r="J4">
        <f>K!AK5</f>
        <v/>
      </c>
      <c r="K4">
        <f>K!AL5</f>
        <v/>
      </c>
      <c r="L4">
        <f>K!AM5</f>
        <v/>
      </c>
      <c r="M4">
        <f>K!AN5</f>
        <v/>
      </c>
      <c r="N4">
        <f>K!AO5</f>
        <v/>
      </c>
      <c r="O4">
        <f>K!AP5</f>
        <v/>
      </c>
      <c r="P4">
        <f>K!AQ5</f>
        <v/>
      </c>
      <c r="Q4">
        <f>K!AR5</f>
        <v/>
      </c>
      <c r="R4">
        <f>K!AS5</f>
        <v/>
      </c>
      <c r="S4">
        <f>K!AT5</f>
        <v/>
      </c>
      <c r="T4">
        <f>K!AU5</f>
        <v/>
      </c>
      <c r="U4">
        <f>K!AV5</f>
        <v/>
      </c>
      <c r="V4">
        <f>K!AW5</f>
        <v/>
      </c>
      <c r="W4">
        <f>K!AX5</f>
        <v/>
      </c>
      <c r="X4">
        <f>K!AY5</f>
        <v/>
      </c>
      <c r="Y4">
        <f>K!AZ5</f>
        <v/>
      </c>
      <c r="Z4">
        <f>K!BA5</f>
        <v/>
      </c>
      <c r="AA4">
        <f>K!BB5</f>
        <v/>
      </c>
      <c r="AB4">
        <f>K!BC5</f>
        <v/>
      </c>
      <c r="AC4">
        <f>K!BD5</f>
        <v/>
      </c>
      <c r="AD4">
        <f>K!BE5</f>
        <v/>
      </c>
      <c r="AE4">
        <f>K!BF5</f>
        <v/>
      </c>
    </row>
    <row r="5">
      <c r="A5" t="inlineStr">
        <is>
          <t>L</t>
        </is>
      </c>
      <c r="B5">
        <f>L!AC5</f>
        <v/>
      </c>
      <c r="C5">
        <f>L!AD5</f>
        <v/>
      </c>
      <c r="D5">
        <f>L!AE5</f>
        <v/>
      </c>
      <c r="E5">
        <f>L!AF5</f>
        <v/>
      </c>
      <c r="F5">
        <f>L!AG5</f>
        <v/>
      </c>
      <c r="G5">
        <f>L!AH5</f>
        <v/>
      </c>
      <c r="H5">
        <f>L!AI5</f>
        <v/>
      </c>
      <c r="I5">
        <f>L!AJ5</f>
        <v/>
      </c>
      <c r="J5">
        <f>L!AK5</f>
        <v/>
      </c>
      <c r="K5">
        <f>L!AL5</f>
        <v/>
      </c>
      <c r="L5">
        <f>L!AM5</f>
        <v/>
      </c>
      <c r="M5">
        <f>L!AN5</f>
        <v/>
      </c>
      <c r="N5">
        <f>L!AO5</f>
        <v/>
      </c>
      <c r="O5">
        <f>L!AP5</f>
        <v/>
      </c>
      <c r="P5">
        <f>L!AQ5</f>
        <v/>
      </c>
      <c r="Q5">
        <f>L!AR5</f>
        <v/>
      </c>
      <c r="R5">
        <f>L!AS5</f>
        <v/>
      </c>
      <c r="S5">
        <f>L!AT5</f>
        <v/>
      </c>
      <c r="T5">
        <f>L!AU5</f>
        <v/>
      </c>
      <c r="U5">
        <f>L!AV5</f>
        <v/>
      </c>
      <c r="V5">
        <f>L!AW5</f>
        <v/>
      </c>
      <c r="W5">
        <f>L!AX5</f>
        <v/>
      </c>
      <c r="X5">
        <f>L!AY5</f>
        <v/>
      </c>
      <c r="Y5">
        <f>L!AZ5</f>
        <v/>
      </c>
      <c r="Z5">
        <f>L!BA5</f>
        <v/>
      </c>
      <c r="AA5">
        <f>L!BB5</f>
        <v/>
      </c>
      <c r="AB5">
        <f>L!BC5</f>
        <v/>
      </c>
      <c r="AC5">
        <f>L!BD5</f>
        <v/>
      </c>
      <c r="AD5">
        <f>L!BE5</f>
        <v/>
      </c>
      <c r="AE5">
        <f>L!BF5</f>
        <v/>
      </c>
    </row>
    <row r="6">
      <c r="A6" t="inlineStr">
        <is>
          <t>Mtot</t>
        </is>
      </c>
      <c r="B6">
        <f>Mtot!AB5</f>
        <v/>
      </c>
      <c r="C6">
        <f>Mtot!AC5</f>
        <v/>
      </c>
      <c r="D6">
        <f>Mtot!AD5</f>
        <v/>
      </c>
      <c r="E6">
        <f>Mtot!AE5</f>
        <v/>
      </c>
      <c r="F6">
        <f>Mtot!AF5</f>
        <v/>
      </c>
      <c r="G6">
        <f>Mtot!AG5</f>
        <v/>
      </c>
      <c r="H6">
        <f>Mtot!AH5</f>
        <v/>
      </c>
      <c r="I6">
        <f>Mtot!AI5</f>
        <v/>
      </c>
      <c r="J6">
        <f>Mtot!AJ5</f>
        <v/>
      </c>
      <c r="K6">
        <f>Mtot!AK5</f>
        <v/>
      </c>
      <c r="L6">
        <f>Mtot!AL5</f>
        <v/>
      </c>
      <c r="M6">
        <f>Mtot!AM5</f>
        <v/>
      </c>
      <c r="N6">
        <f>Mtot!AN5</f>
        <v/>
      </c>
      <c r="O6">
        <f>Mtot!AO5</f>
        <v/>
      </c>
      <c r="P6">
        <f>Mtot!AP5</f>
        <v/>
      </c>
      <c r="Q6">
        <f>Mtot!AQ5</f>
        <v/>
      </c>
      <c r="R6">
        <f>Mtot!AR5</f>
        <v/>
      </c>
      <c r="S6">
        <f>Mtot!AS5</f>
        <v/>
      </c>
      <c r="T6">
        <f>Mtot!AT5</f>
        <v/>
      </c>
      <c r="U6">
        <f>Mtot!AU5</f>
        <v/>
      </c>
      <c r="V6">
        <f>Mtot!AV5</f>
        <v/>
      </c>
      <c r="W6">
        <f>Mtot!AW5</f>
        <v/>
      </c>
      <c r="X6">
        <f>Mtot!AX5</f>
        <v/>
      </c>
      <c r="Y6">
        <f>Mtot!AY5</f>
        <v/>
      </c>
      <c r="Z6">
        <f>Mtot!AZ5</f>
        <v/>
      </c>
      <c r="AA6">
        <f>Mtot!BA5</f>
        <v/>
      </c>
      <c r="AB6">
        <f>Mtot!BB5</f>
        <v/>
      </c>
      <c r="AC6">
        <f>Mtot!BC5</f>
        <v/>
      </c>
      <c r="AD6">
        <f>Mtot!BD5</f>
        <v/>
      </c>
      <c r="AE6">
        <f>Mtot!BE5</f>
        <v/>
      </c>
    </row>
    <row r="7">
      <c r="A7" t="inlineStr">
        <is>
          <t>J</t>
        </is>
      </c>
      <c r="B7">
        <f>J!M5</f>
        <v/>
      </c>
      <c r="C7">
        <f>J!N5</f>
        <v/>
      </c>
      <c r="D7">
        <f>J!O5</f>
        <v/>
      </c>
      <c r="E7">
        <f>J!P5</f>
        <v/>
      </c>
      <c r="F7">
        <f>J!Q5</f>
        <v/>
      </c>
      <c r="G7">
        <f>J!R5</f>
        <v/>
      </c>
      <c r="H7">
        <f>J!S5</f>
        <v/>
      </c>
      <c r="I7">
        <f>J!T5</f>
        <v/>
      </c>
      <c r="J7">
        <f>J!U5</f>
        <v/>
      </c>
      <c r="K7">
        <f>J!V5</f>
        <v/>
      </c>
      <c r="L7">
        <f>J!W5</f>
        <v/>
      </c>
      <c r="M7">
        <f>J!X5</f>
        <v/>
      </c>
      <c r="N7">
        <f>J!Y5</f>
        <v/>
      </c>
      <c r="O7">
        <f>J!Z5</f>
        <v/>
      </c>
      <c r="P7">
        <f>J!AA5</f>
        <v/>
      </c>
      <c r="Q7">
        <f>J!AB5</f>
        <v/>
      </c>
      <c r="R7">
        <f>J!AC5</f>
        <v/>
      </c>
      <c r="S7">
        <f>J!AD5</f>
        <v/>
      </c>
      <c r="T7">
        <f>J!AE5</f>
        <v/>
      </c>
      <c r="U7">
        <f>J!AF5</f>
        <v/>
      </c>
      <c r="V7">
        <f>J!AG5</f>
        <v/>
      </c>
      <c r="W7">
        <f>J!AH5</f>
        <v/>
      </c>
      <c r="X7">
        <f>J!AI5</f>
        <v/>
      </c>
      <c r="Y7">
        <f>J!AJ5</f>
        <v/>
      </c>
      <c r="Z7">
        <f>J!AK5</f>
        <v/>
      </c>
      <c r="AA7">
        <f>J!AL5</f>
        <v/>
      </c>
      <c r="AB7">
        <f>J!AM5</f>
        <v/>
      </c>
      <c r="AC7">
        <f>J!AN5</f>
        <v/>
      </c>
      <c r="AD7">
        <f>J!AO5</f>
        <v/>
      </c>
      <c r="AE7">
        <f>J!AP5</f>
        <v/>
      </c>
    </row>
    <row r="8">
      <c r="A8" t="inlineStr">
        <is>
          <t>I</t>
        </is>
      </c>
      <c r="B8">
        <f>I!AC5</f>
        <v/>
      </c>
      <c r="C8">
        <f>I!AD5</f>
        <v/>
      </c>
      <c r="D8">
        <f>I!AE5</f>
        <v/>
      </c>
      <c r="E8">
        <f>I!AF5</f>
        <v/>
      </c>
      <c r="F8">
        <f>I!AG5</f>
        <v/>
      </c>
      <c r="G8">
        <f>I!AH5</f>
        <v/>
      </c>
      <c r="H8">
        <f>I!AI5</f>
        <v/>
      </c>
      <c r="I8">
        <f>I!AJ5</f>
        <v/>
      </c>
      <c r="J8">
        <f>I!AK5</f>
        <v/>
      </c>
      <c r="K8">
        <f>I!AL5</f>
        <v/>
      </c>
      <c r="L8">
        <f>I!AM5</f>
        <v/>
      </c>
      <c r="M8">
        <f>I!AN5</f>
        <v/>
      </c>
      <c r="N8">
        <f>I!AO5</f>
        <v/>
      </c>
      <c r="O8">
        <f>I!AP5</f>
        <v/>
      </c>
      <c r="P8">
        <f>I!AQ5</f>
        <v/>
      </c>
      <c r="Q8">
        <f>I!AR5</f>
        <v/>
      </c>
      <c r="R8">
        <f>I!AS5</f>
        <v/>
      </c>
      <c r="S8">
        <f>I!AT5</f>
        <v/>
      </c>
      <c r="T8">
        <f>I!AU5</f>
        <v/>
      </c>
      <c r="U8">
        <f>I!AV5</f>
        <v/>
      </c>
      <c r="V8">
        <f>I!AW5</f>
        <v/>
      </c>
      <c r="W8">
        <f>I!AX5</f>
        <v/>
      </c>
      <c r="X8">
        <f>I!AY5</f>
        <v/>
      </c>
      <c r="Y8">
        <f>I!AZ5</f>
        <v/>
      </c>
      <c r="Z8">
        <f>I!BA5</f>
        <v/>
      </c>
      <c r="AA8">
        <f>I!BB5</f>
        <v/>
      </c>
      <c r="AB8">
        <f>I!BC5</f>
        <v/>
      </c>
      <c r="AC8">
        <f>I!BD5</f>
        <v/>
      </c>
      <c r="AD8">
        <f>I!BE5</f>
        <v/>
      </c>
      <c r="AE8">
        <f>I!BF5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P!AB5</f>
        <v/>
      </c>
      <c r="C11">
        <f>P!AC5</f>
        <v/>
      </c>
      <c r="D11">
        <f>P!AD5</f>
        <v/>
      </c>
      <c r="E11">
        <f>P!AE5</f>
        <v/>
      </c>
      <c r="F11">
        <f>P!AF5</f>
        <v/>
      </c>
      <c r="G11">
        <f>P!AG5</f>
        <v/>
      </c>
      <c r="H11">
        <f>P!AH5</f>
        <v/>
      </c>
      <c r="I11">
        <f>P!AI5</f>
        <v/>
      </c>
      <c r="J11">
        <f>P!AJ5</f>
        <v/>
      </c>
      <c r="K11">
        <f>P!AK5</f>
        <v/>
      </c>
      <c r="L11">
        <f>P!AL5</f>
        <v/>
      </c>
      <c r="M11">
        <f>P!AM5</f>
        <v/>
      </c>
      <c r="N11">
        <f>P!AN5</f>
        <v/>
      </c>
      <c r="O11">
        <f>P!AO5</f>
        <v/>
      </c>
      <c r="P11">
        <f>P!AP5</f>
        <v/>
      </c>
      <c r="Q11">
        <f>P!AQ5</f>
        <v/>
      </c>
      <c r="R11">
        <f>P!AR5</f>
        <v/>
      </c>
      <c r="S11">
        <f>P!AS5</f>
        <v/>
      </c>
      <c r="T11">
        <f>P!AT5</f>
        <v/>
      </c>
      <c r="U11">
        <f>P!AU5</f>
        <v/>
      </c>
      <c r="V11">
        <f>P!AV5</f>
        <v/>
      </c>
      <c r="W11">
        <f>P!AW5</f>
        <v/>
      </c>
      <c r="X11">
        <f>P!AX5</f>
        <v/>
      </c>
      <c r="Y11">
        <f>P!AY5</f>
        <v/>
      </c>
      <c r="Z11">
        <f>P!AZ5</f>
        <v/>
      </c>
      <c r="AA11">
        <f>P!BA5</f>
        <v/>
      </c>
      <c r="AB11">
        <f>P!BB5</f>
        <v/>
      </c>
      <c r="AC11">
        <f>P!BC5</f>
        <v/>
      </c>
      <c r="AD11">
        <f>P!BD5</f>
        <v/>
      </c>
      <c r="AE11">
        <f>P!BE5</f>
        <v/>
      </c>
    </row>
    <row r="12">
      <c r="A12" t="inlineStr">
        <is>
          <t>P_K</t>
        </is>
      </c>
      <c r="B12">
        <f>P_K!AC5</f>
        <v/>
      </c>
      <c r="C12">
        <f>P_K!AD5</f>
        <v/>
      </c>
      <c r="D12">
        <f>P_K!AE5</f>
        <v/>
      </c>
      <c r="E12">
        <f>P_K!AF5</f>
        <v/>
      </c>
      <c r="F12">
        <f>P_K!AG5</f>
        <v/>
      </c>
      <c r="G12">
        <f>P_K!AH5</f>
        <v/>
      </c>
      <c r="H12">
        <f>P_K!AI5</f>
        <v/>
      </c>
      <c r="I12">
        <f>P_K!AJ5</f>
        <v/>
      </c>
      <c r="J12">
        <f>P_K!AK5</f>
        <v/>
      </c>
      <c r="K12">
        <f>P_K!AL5</f>
        <v/>
      </c>
      <c r="L12">
        <f>P_K!AM5</f>
        <v/>
      </c>
      <c r="M12">
        <f>P_K!AN5</f>
        <v/>
      </c>
      <c r="N12">
        <f>P_K!AO5</f>
        <v/>
      </c>
      <c r="O12">
        <f>P_K!AP5</f>
        <v/>
      </c>
      <c r="P12">
        <f>P_K!AQ5</f>
        <v/>
      </c>
      <c r="Q12">
        <f>P_K!AR5</f>
        <v/>
      </c>
      <c r="R12">
        <f>P_K!AS5</f>
        <v/>
      </c>
      <c r="S12">
        <f>P_K!AT5</f>
        <v/>
      </c>
      <c r="T12">
        <f>P_K!AU5</f>
        <v/>
      </c>
      <c r="U12">
        <f>P_K!AV5</f>
        <v/>
      </c>
      <c r="V12">
        <f>P_K!AW5</f>
        <v/>
      </c>
      <c r="W12">
        <f>P_K!AX5</f>
        <v/>
      </c>
      <c r="X12">
        <f>P_K!AY5</f>
        <v/>
      </c>
      <c r="Y12">
        <f>P_K!AZ5</f>
        <v/>
      </c>
      <c r="Z12">
        <f>P_K!BA5</f>
        <v/>
      </c>
      <c r="AA12">
        <f>P_K!BB5</f>
        <v/>
      </c>
      <c r="AB12">
        <f>P_K!BC5</f>
        <v/>
      </c>
      <c r="AC12">
        <f>P_K!BD5</f>
        <v/>
      </c>
      <c r="AD12">
        <f>P_K!BE5</f>
        <v/>
      </c>
      <c r="AE12">
        <f>P_K!BF5</f>
        <v/>
      </c>
    </row>
    <row r="13">
      <c r="A13" t="inlineStr">
        <is>
          <t>w</t>
        </is>
      </c>
      <c r="B13">
        <f>w!AC5</f>
        <v/>
      </c>
      <c r="C13">
        <f>w!AD5</f>
        <v/>
      </c>
      <c r="D13">
        <f>w!AE5</f>
        <v/>
      </c>
      <c r="E13">
        <f>w!AF5</f>
        <v/>
      </c>
      <c r="F13">
        <f>w!AG5</f>
        <v/>
      </c>
      <c r="G13">
        <f>w!AH5</f>
        <v/>
      </c>
      <c r="H13">
        <f>w!AI5</f>
        <v/>
      </c>
      <c r="I13">
        <f>w!AJ5</f>
        <v/>
      </c>
      <c r="J13">
        <f>w!AK5</f>
        <v/>
      </c>
      <c r="K13">
        <f>w!AL5</f>
        <v/>
      </c>
      <c r="L13">
        <f>w!AM5</f>
        <v/>
      </c>
      <c r="M13">
        <f>w!AN5</f>
        <v/>
      </c>
      <c r="N13">
        <f>w!AO5</f>
        <v/>
      </c>
      <c r="O13">
        <f>w!AP5</f>
        <v/>
      </c>
      <c r="P13">
        <f>w!AQ5</f>
        <v/>
      </c>
      <c r="Q13">
        <f>w!AR5</f>
        <v/>
      </c>
      <c r="R13">
        <f>w!AS5</f>
        <v/>
      </c>
      <c r="S13">
        <f>w!AT5</f>
        <v/>
      </c>
      <c r="T13">
        <f>w!AU5</f>
        <v/>
      </c>
      <c r="U13">
        <f>w!AV5</f>
        <v/>
      </c>
      <c r="V13">
        <f>w!AW5</f>
        <v/>
      </c>
      <c r="W13">
        <f>w!AX5</f>
        <v/>
      </c>
      <c r="X13">
        <f>w!AY5</f>
        <v/>
      </c>
      <c r="Y13">
        <f>w!AZ5</f>
        <v/>
      </c>
      <c r="Z13">
        <f>w!BA5</f>
        <v/>
      </c>
      <c r="AA13">
        <f>w!BB5</f>
        <v/>
      </c>
      <c r="AB13">
        <f>w!BC5</f>
        <v/>
      </c>
      <c r="AC13">
        <f>w!BD5</f>
        <v/>
      </c>
      <c r="AD13">
        <f>w!BE5</f>
        <v/>
      </c>
      <c r="AE13">
        <f>w!BF5</f>
        <v/>
      </c>
    </row>
    <row r="14">
      <c r="A14" t="inlineStr">
        <is>
          <t>P_Mtot</t>
        </is>
      </c>
      <c r="B14">
        <f>P_Mtot!AB5</f>
        <v/>
      </c>
      <c r="C14">
        <f>P_Mtot!AC5</f>
        <v/>
      </c>
      <c r="D14">
        <f>P_Mtot!AD5</f>
        <v/>
      </c>
      <c r="E14">
        <f>P_Mtot!AE5</f>
        <v/>
      </c>
      <c r="F14">
        <f>P_Mtot!AF5</f>
        <v/>
      </c>
      <c r="G14">
        <f>P_Mtot!AG5</f>
        <v/>
      </c>
      <c r="H14">
        <f>P_Mtot!AH5</f>
        <v/>
      </c>
      <c r="I14">
        <f>P_Mtot!AI5</f>
        <v/>
      </c>
      <c r="J14">
        <f>P_Mtot!AJ5</f>
        <v/>
      </c>
      <c r="K14">
        <f>P_Mtot!AK5</f>
        <v/>
      </c>
      <c r="L14">
        <f>P_Mtot!AL5</f>
        <v/>
      </c>
      <c r="M14">
        <f>P_Mtot!AM5</f>
        <v/>
      </c>
      <c r="N14">
        <f>P_Mtot!AN5</f>
        <v/>
      </c>
      <c r="O14">
        <f>P_Mtot!AO5</f>
        <v/>
      </c>
      <c r="P14">
        <f>P_Mtot!AP5</f>
        <v/>
      </c>
      <c r="Q14">
        <f>P_Mtot!AQ5</f>
        <v/>
      </c>
      <c r="R14">
        <f>P_Mtot!AR5</f>
        <v/>
      </c>
      <c r="S14">
        <f>P_Mtot!AS5</f>
        <v/>
      </c>
      <c r="T14">
        <f>P_Mtot!AT5</f>
        <v/>
      </c>
      <c r="U14">
        <f>P_Mtot!AU5</f>
        <v/>
      </c>
      <c r="V14">
        <f>P_Mtot!AV5</f>
        <v/>
      </c>
      <c r="W14">
        <f>P_Mtot!AW5</f>
        <v/>
      </c>
      <c r="X14">
        <f>P_Mtot!AX5</f>
        <v/>
      </c>
      <c r="Y14">
        <f>P_Mtot!AY5</f>
        <v/>
      </c>
      <c r="Z14">
        <f>P_Mtot!AZ5</f>
        <v/>
      </c>
      <c r="AA14">
        <f>P_Mtot!BA5</f>
        <v/>
      </c>
      <c r="AB14">
        <f>P_Mtot!BB5</f>
        <v/>
      </c>
      <c r="AC14">
        <f>P_Mtot!BC5</f>
        <v/>
      </c>
      <c r="AD14">
        <f>P_Mtot!BD5</f>
        <v/>
      </c>
      <c r="AE14">
        <f>P_Mtot!BE5</f>
        <v/>
      </c>
    </row>
    <row r="15">
      <c r="A15" t="inlineStr">
        <is>
          <t>P_J</t>
        </is>
      </c>
      <c r="B15">
        <f>P_J!AC5</f>
        <v/>
      </c>
      <c r="C15">
        <f>P_J!AD5</f>
        <v/>
      </c>
      <c r="D15">
        <f>P_J!AE5</f>
        <v/>
      </c>
      <c r="E15">
        <f>P_J!AF5</f>
        <v/>
      </c>
      <c r="F15">
        <f>P_J!AG5</f>
        <v/>
      </c>
      <c r="G15">
        <f>P_J!AH5</f>
        <v/>
      </c>
      <c r="H15">
        <f>P_J!AI5</f>
        <v/>
      </c>
      <c r="I15">
        <f>P_J!AJ5</f>
        <v/>
      </c>
      <c r="J15">
        <f>P_J!AK5</f>
        <v/>
      </c>
      <c r="K15">
        <f>P_J!AL5</f>
        <v/>
      </c>
      <c r="L15">
        <f>P_J!AM5</f>
        <v/>
      </c>
      <c r="M15">
        <f>P_J!AN5</f>
        <v/>
      </c>
      <c r="N15">
        <f>P_J!AO5</f>
        <v/>
      </c>
      <c r="O15">
        <f>P_J!AP5</f>
        <v/>
      </c>
      <c r="P15">
        <f>P_J!AQ5</f>
        <v/>
      </c>
      <c r="Q15">
        <f>P_J!AR5</f>
        <v/>
      </c>
      <c r="R15">
        <f>P_J!AS5</f>
        <v/>
      </c>
      <c r="S15">
        <f>P_J!AT5</f>
        <v/>
      </c>
      <c r="T15">
        <f>P_J!AU5</f>
        <v/>
      </c>
      <c r="U15">
        <f>P_J!AV5</f>
        <v/>
      </c>
      <c r="V15">
        <f>P_J!AW5</f>
        <v/>
      </c>
      <c r="W15">
        <f>P_J!AX5</f>
        <v/>
      </c>
      <c r="X15">
        <f>P_J!AY5</f>
        <v/>
      </c>
      <c r="Y15">
        <f>P_J!AZ5</f>
        <v/>
      </c>
      <c r="Z15">
        <f>P_J!BA5</f>
        <v/>
      </c>
      <c r="AA15">
        <f>P_J!BB5</f>
        <v/>
      </c>
      <c r="AB15">
        <f>P_J!BC5</f>
        <v/>
      </c>
      <c r="AC15">
        <f>P_J!BD5</f>
        <v/>
      </c>
      <c r="AD15">
        <f>P_J!BE5</f>
        <v/>
      </c>
      <c r="AE15">
        <f>P_J!BF5</f>
        <v/>
      </c>
    </row>
    <row r="16">
      <c r="A16" t="inlineStr">
        <is>
          <t>P_I</t>
        </is>
      </c>
      <c r="B16">
        <f>P_I!C5</f>
        <v/>
      </c>
      <c r="C16">
        <f>P_I!D5</f>
        <v/>
      </c>
      <c r="D16">
        <f>P_I!E5</f>
        <v/>
      </c>
      <c r="E16">
        <f>P_I!F5</f>
        <v/>
      </c>
      <c r="F16">
        <f>P_I!G5</f>
        <v/>
      </c>
      <c r="G16">
        <f>P_I!H5</f>
        <v/>
      </c>
      <c r="H16">
        <f>P_I!I5</f>
        <v/>
      </c>
      <c r="I16">
        <f>P_I!J5</f>
        <v/>
      </c>
      <c r="J16">
        <f>P_I!K5</f>
        <v/>
      </c>
      <c r="K16">
        <f>P_I!L5</f>
        <v/>
      </c>
      <c r="L16">
        <f>P_I!M5</f>
        <v/>
      </c>
      <c r="M16">
        <f>P_I!N5</f>
        <v/>
      </c>
      <c r="N16">
        <f>P_I!O5</f>
        <v/>
      </c>
      <c r="O16">
        <f>P_I!P5</f>
        <v/>
      </c>
      <c r="P16">
        <f>P_I!Q5</f>
        <v/>
      </c>
      <c r="Q16">
        <f>P_I!R5</f>
        <v/>
      </c>
      <c r="R16">
        <f>P_I!S5</f>
        <v/>
      </c>
      <c r="S16">
        <f>P_I!T5</f>
        <v/>
      </c>
      <c r="T16">
        <f>P_I!U5</f>
        <v/>
      </c>
      <c r="U16">
        <f>P_I!V5</f>
        <v/>
      </c>
      <c r="V16">
        <f>P_I!W5</f>
        <v/>
      </c>
      <c r="W16">
        <f>P_I!X5</f>
        <v/>
      </c>
      <c r="X16">
        <f>P_I!Y5</f>
        <v/>
      </c>
      <c r="Y16">
        <f>P_I!Z5</f>
        <v/>
      </c>
      <c r="Z16">
        <f>P_I!AA5</f>
        <v/>
      </c>
      <c r="AA16">
        <f>P_I!AB5</f>
        <v/>
      </c>
      <c r="AB16">
        <f>P_I!AC5</f>
        <v/>
      </c>
      <c r="AC16">
        <f>P_I!AD5</f>
        <v/>
      </c>
      <c r="AD16">
        <f>P_I!AE5</f>
        <v/>
      </c>
      <c r="AE16">
        <f>P_I!AF5</f>
        <v/>
      </c>
    </row>
    <row r="17">
      <c r="A17" t="inlineStr">
        <is>
          <t>P_Jord</t>
        </is>
      </c>
      <c r="B17">
        <f>P_Jord!M3</f>
        <v/>
      </c>
      <c r="C17">
        <f>P_Jord!N3</f>
        <v/>
      </c>
      <c r="D17">
        <f>P_Jord!O3</f>
        <v/>
      </c>
      <c r="E17">
        <f>P_Jord!P3</f>
        <v/>
      </c>
      <c r="F17">
        <f>P_Jord!Q3</f>
        <v/>
      </c>
      <c r="G17">
        <f>P_Jord!R3</f>
        <v/>
      </c>
      <c r="H17">
        <f>P_Jord!S3</f>
        <v/>
      </c>
      <c r="I17">
        <f>P_Jord!T3</f>
        <v/>
      </c>
      <c r="J17">
        <f>P_Jord!U3</f>
        <v/>
      </c>
      <c r="K17">
        <f>P_Jord!V3</f>
        <v/>
      </c>
      <c r="L17">
        <f>P_Jord!W3</f>
        <v/>
      </c>
      <c r="M17">
        <f>P_Jord!X3</f>
        <v/>
      </c>
      <c r="N17">
        <f>P_Jord!Y3</f>
        <v/>
      </c>
      <c r="O17">
        <f>P_Jord!Z3</f>
        <v/>
      </c>
      <c r="P17">
        <f>P_Jord!AA3</f>
        <v/>
      </c>
      <c r="Q17">
        <f>P_Jord!AB3</f>
        <v/>
      </c>
      <c r="R17">
        <f>P_Jord!AC3</f>
        <v/>
      </c>
      <c r="S17">
        <f>P_Jord!AD3</f>
        <v/>
      </c>
      <c r="T17">
        <f>P_Jord!AE3</f>
        <v/>
      </c>
      <c r="U17">
        <f>P_Jord!AF3</f>
        <v/>
      </c>
      <c r="V17">
        <f>P_Jord!AG3</f>
        <v/>
      </c>
      <c r="W17">
        <f>P_Jord!AH3</f>
        <v/>
      </c>
      <c r="X17">
        <f>P_Jord!AI3</f>
        <v/>
      </c>
      <c r="Y17">
        <f>P_Jord!AJ3</f>
        <v/>
      </c>
      <c r="Z17">
        <f>P_Jord!AK3</f>
        <v/>
      </c>
      <c r="AA17">
        <f>P_Jord!AL3</f>
        <v/>
      </c>
      <c r="AB17">
        <f>P_Jord!AM3</f>
        <v/>
      </c>
      <c r="AC17">
        <f>P_Jord!AN3</f>
        <v/>
      </c>
      <c r="AD17">
        <f>P_Jord!AO3</f>
        <v/>
      </c>
      <c r="AE17">
        <f>P_Jord!AP3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tau_Y!AC5</f>
        <v/>
      </c>
      <c r="C20">
        <f>tau_Y!AD5</f>
        <v/>
      </c>
      <c r="D20">
        <f>tau_Y!AE5</f>
        <v/>
      </c>
      <c r="E20">
        <f>tau_Y!AF5</f>
        <v/>
      </c>
      <c r="F20">
        <f>tau_Y!AG5</f>
        <v/>
      </c>
      <c r="G20">
        <f>tau_Y!AH5</f>
        <v/>
      </c>
      <c r="H20">
        <f>tau_Y!AI5</f>
        <v/>
      </c>
      <c r="I20">
        <f>tau_Y!AJ5</f>
        <v/>
      </c>
      <c r="J20">
        <f>tau_Y!AK5</f>
        <v/>
      </c>
      <c r="K20">
        <f>tau_Y!AL5</f>
        <v/>
      </c>
      <c r="L20">
        <f>tau_Y!AM5</f>
        <v/>
      </c>
      <c r="M20">
        <f>tau_Y!AN5</f>
        <v/>
      </c>
      <c r="N20">
        <f>tau_Y!AO5</f>
        <v/>
      </c>
      <c r="O20">
        <f>tau_Y!AP5</f>
        <v/>
      </c>
      <c r="P20">
        <f>tau_Y!AQ5</f>
        <v/>
      </c>
      <c r="Q20">
        <f>tau_Y!AR5</f>
        <v/>
      </c>
      <c r="R20">
        <f>tau_Y!AS5</f>
        <v/>
      </c>
      <c r="S20">
        <f>tau_Y!AT5</f>
        <v/>
      </c>
      <c r="T20">
        <f>tau_Y!AU5</f>
        <v/>
      </c>
      <c r="U20">
        <f>tau_Y!AV5</f>
        <v/>
      </c>
      <c r="V20">
        <f>tau_Y!AW5</f>
        <v/>
      </c>
      <c r="W20">
        <f>tau_Y!AX5</f>
        <v/>
      </c>
      <c r="X20">
        <f>tau_Y!AY5</f>
        <v/>
      </c>
      <c r="Y20">
        <f>tau_Y!AZ5</f>
        <v/>
      </c>
      <c r="Z20">
        <f>tau_Y!BA5</f>
        <v/>
      </c>
      <c r="AA20">
        <f>tau_Y!BB5</f>
        <v/>
      </c>
      <c r="AB20">
        <f>tau_Y!BC5</f>
        <v/>
      </c>
      <c r="AC20">
        <f>tau_Y!BD5</f>
        <v/>
      </c>
      <c r="AD20">
        <f>tau_Y!BE5</f>
        <v/>
      </c>
      <c r="AE20">
        <f>tau_Y!BF5</f>
        <v/>
      </c>
    </row>
    <row r="21">
      <c r="A21" t="inlineStr">
        <is>
          <t>Afgift indenlandsk</t>
        </is>
      </c>
      <c r="B21">
        <f>tau_MD!AB5</f>
        <v/>
      </c>
      <c r="C21">
        <f>tau_MD!AC5</f>
        <v/>
      </c>
      <c r="D21">
        <f>tau_MD!AD5</f>
        <v/>
      </c>
      <c r="E21">
        <f>tau_MD!AE5</f>
        <v/>
      </c>
      <c r="F21">
        <f>tau_MD!AF5</f>
        <v/>
      </c>
      <c r="G21">
        <f>tau_MD!AG5</f>
        <v/>
      </c>
      <c r="H21">
        <f>tau_MD!AH5</f>
        <v/>
      </c>
      <c r="I21">
        <f>tau_MD!AI5</f>
        <v/>
      </c>
      <c r="J21">
        <f>tau_MD!AJ5</f>
        <v/>
      </c>
      <c r="K21">
        <f>tau_MD!AK5</f>
        <v/>
      </c>
      <c r="L21">
        <f>tau_MD!AL5</f>
        <v/>
      </c>
      <c r="M21">
        <f>tau_MD!AM5</f>
        <v/>
      </c>
      <c r="N21">
        <f>tau_MD!AN5</f>
        <v/>
      </c>
      <c r="O21">
        <f>tau_MD!AO5</f>
        <v/>
      </c>
      <c r="P21">
        <f>tau_MD!AP5</f>
        <v/>
      </c>
      <c r="Q21">
        <f>tau_MD!AQ5</f>
        <v/>
      </c>
      <c r="R21">
        <f>tau_MD!AR5</f>
        <v/>
      </c>
      <c r="S21">
        <f>tau_MD!AS5</f>
        <v/>
      </c>
      <c r="T21">
        <f>tau_MD!AT5</f>
        <v/>
      </c>
      <c r="U21">
        <f>tau_MD!AU5</f>
        <v/>
      </c>
      <c r="V21">
        <f>tau_MD!AV5</f>
        <v/>
      </c>
      <c r="W21">
        <f>tau_MD!AW5</f>
        <v/>
      </c>
      <c r="X21">
        <f>tau_MD!AX5</f>
        <v/>
      </c>
      <c r="Y21">
        <f>tau_MD!AY5</f>
        <v/>
      </c>
      <c r="Z21">
        <f>tau_MD!AZ5</f>
        <v/>
      </c>
      <c r="AA21">
        <f>tau_MD!BA5</f>
        <v/>
      </c>
      <c r="AB21">
        <f>tau_MD!BB5</f>
        <v/>
      </c>
      <c r="AC21">
        <f>tau_MD!BC5</f>
        <v/>
      </c>
      <c r="AD21">
        <f>tau_MD!BD5</f>
        <v/>
      </c>
      <c r="AE21">
        <f>tau_MD!BE5</f>
        <v/>
      </c>
    </row>
    <row r="22">
      <c r="A22" t="inlineStr">
        <is>
          <t>Markup</t>
        </is>
      </c>
      <c r="B22">
        <f>markup!AC5</f>
        <v/>
      </c>
      <c r="C22">
        <f>markup!AD5</f>
        <v/>
      </c>
      <c r="D22">
        <f>markup!AE5</f>
        <v/>
      </c>
      <c r="E22">
        <f>markup!AF5</f>
        <v/>
      </c>
      <c r="F22">
        <f>markup!AG5</f>
        <v/>
      </c>
      <c r="G22">
        <f>markup!AH5</f>
        <v/>
      </c>
      <c r="H22">
        <f>markup!AI5</f>
        <v/>
      </c>
      <c r="I22">
        <f>markup!AJ5</f>
        <v/>
      </c>
      <c r="J22">
        <f>markup!AK5</f>
        <v/>
      </c>
      <c r="K22">
        <f>markup!AL5</f>
        <v/>
      </c>
      <c r="L22">
        <f>markup!AM5</f>
        <v/>
      </c>
      <c r="M22">
        <f>markup!AN5</f>
        <v/>
      </c>
      <c r="N22">
        <f>markup!AO5</f>
        <v/>
      </c>
      <c r="O22">
        <f>markup!AP5</f>
        <v/>
      </c>
      <c r="P22">
        <f>markup!AQ5</f>
        <v/>
      </c>
      <c r="Q22">
        <f>markup!AR5</f>
        <v/>
      </c>
      <c r="R22">
        <f>markup!AS5</f>
        <v/>
      </c>
      <c r="S22">
        <f>markup!AT5</f>
        <v/>
      </c>
      <c r="T22">
        <f>markup!AU5</f>
        <v/>
      </c>
      <c r="U22">
        <f>markup!AV5</f>
        <v/>
      </c>
      <c r="V22">
        <f>markup!AW5</f>
        <v/>
      </c>
      <c r="W22">
        <f>markup!AX5</f>
        <v/>
      </c>
      <c r="X22">
        <f>markup!AY5</f>
        <v/>
      </c>
      <c r="Y22">
        <f>markup!AZ5</f>
        <v/>
      </c>
      <c r="Z22">
        <f>markup!BA5</f>
        <v/>
      </c>
      <c r="AA22">
        <f>markup!BB5</f>
        <v/>
      </c>
      <c r="AB22">
        <f>markup!BC5</f>
        <v/>
      </c>
      <c r="AC22">
        <f>markup!BD5</f>
        <v/>
      </c>
      <c r="AD22">
        <f>markup!BE5</f>
        <v/>
      </c>
      <c r="AE22">
        <f>markup!BF5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F22"/>
  <sheetViews>
    <sheetView tabSelected="1" workbookViewId="0">
      <selection activeCell="D22" sqref="D22"/>
    </sheetView>
  </sheetViews>
  <sheetFormatPr baseColWidth="8" defaultRowHeight="14.25"/>
  <cols>
    <col width="9" customWidth="1" style="6" min="1" max="1"/>
    <col width="14.125" bestFit="1" customWidth="1" style="6" min="2" max="2"/>
    <col width="9" customWidth="1" style="6" min="3" max="4"/>
    <col width="9" customWidth="1" style="6" min="5" max="16384"/>
  </cols>
  <sheetData>
    <row r="2" ht="15" customHeight="1" s="6">
      <c r="A2" s="10" t="inlineStr">
        <is>
          <t>Mængder</t>
        </is>
      </c>
      <c r="B2" s="9" t="n">
        <v>1993</v>
      </c>
      <c r="C2" s="9" t="n">
        <v>1994</v>
      </c>
      <c r="D2" s="9" t="n">
        <v>1995</v>
      </c>
      <c r="E2" s="9" t="n">
        <v>1996</v>
      </c>
      <c r="F2" s="9" t="n">
        <v>1997</v>
      </c>
      <c r="G2" s="9" t="n">
        <v>1998</v>
      </c>
      <c r="H2" s="9" t="n">
        <v>1999</v>
      </c>
      <c r="I2" s="9" t="n">
        <v>2000</v>
      </c>
      <c r="J2" s="9" t="n">
        <v>2001</v>
      </c>
      <c r="K2" s="9" t="n">
        <v>2002</v>
      </c>
      <c r="L2" s="9" t="n">
        <v>2003</v>
      </c>
      <c r="M2" s="9" t="n">
        <v>2004</v>
      </c>
      <c r="N2" s="9" t="n">
        <v>2005</v>
      </c>
      <c r="O2" s="9" t="n">
        <v>2006</v>
      </c>
      <c r="P2" s="9" t="n">
        <v>2007</v>
      </c>
      <c r="Q2" s="9" t="n">
        <v>2008</v>
      </c>
      <c r="R2" s="9" t="n">
        <v>2009</v>
      </c>
      <c r="S2" s="9" t="n">
        <v>2010</v>
      </c>
      <c r="T2" s="9" t="n">
        <v>2011</v>
      </c>
      <c r="U2" s="9" t="n">
        <v>2012</v>
      </c>
      <c r="V2" s="9" t="n">
        <v>2013</v>
      </c>
      <c r="W2" s="9" t="n">
        <v>2014</v>
      </c>
      <c r="X2" s="9" t="n">
        <v>2015</v>
      </c>
      <c r="Y2" s="9" t="n">
        <v>2016</v>
      </c>
      <c r="Z2" s="9" t="n">
        <v>2017</v>
      </c>
      <c r="AA2" s="9" t="n">
        <v>2018</v>
      </c>
      <c r="AB2" s="9" t="n">
        <v>2019</v>
      </c>
      <c r="AC2" s="9" t="n">
        <v>2020</v>
      </c>
      <c r="AD2" s="9" t="n">
        <v>2021</v>
      </c>
      <c r="AE2" s="9" t="n">
        <v>2022</v>
      </c>
      <c r="AF2" s="9" t="n">
        <v>2023</v>
      </c>
    </row>
    <row r="3">
      <c r="A3" t="inlineStr">
        <is>
          <t>Y</t>
        </is>
      </c>
      <c r="B3">
        <f>Y!AB6</f>
        <v/>
      </c>
      <c r="C3">
        <f>Y!AC6</f>
        <v/>
      </c>
      <c r="D3">
        <f>Y!AD6</f>
        <v/>
      </c>
      <c r="E3">
        <f>Y!AE6</f>
        <v/>
      </c>
      <c r="F3">
        <f>Y!AF6</f>
        <v/>
      </c>
      <c r="G3">
        <f>Y!AG6</f>
        <v/>
      </c>
      <c r="H3">
        <f>Y!AH6</f>
        <v/>
      </c>
      <c r="I3">
        <f>Y!AI6</f>
        <v/>
      </c>
      <c r="J3">
        <f>Y!AJ6</f>
        <v/>
      </c>
      <c r="K3">
        <f>Y!AK6</f>
        <v/>
      </c>
      <c r="L3">
        <f>Y!AL6</f>
        <v/>
      </c>
      <c r="M3">
        <f>Y!AM6</f>
        <v/>
      </c>
      <c r="N3">
        <f>Y!AN6</f>
        <v/>
      </c>
      <c r="O3">
        <f>Y!AO6</f>
        <v/>
      </c>
      <c r="P3">
        <f>Y!AP6</f>
        <v/>
      </c>
      <c r="Q3">
        <f>Y!AQ6</f>
        <v/>
      </c>
      <c r="R3">
        <f>Y!AR6</f>
        <v/>
      </c>
      <c r="S3">
        <f>Y!AS6</f>
        <v/>
      </c>
      <c r="T3">
        <f>Y!AT6</f>
        <v/>
      </c>
      <c r="U3">
        <f>Y!AU6</f>
        <v/>
      </c>
      <c r="V3">
        <f>Y!AV6</f>
        <v/>
      </c>
      <c r="W3">
        <f>Y!AW6</f>
        <v/>
      </c>
      <c r="X3">
        <f>Y!AX6</f>
        <v/>
      </c>
      <c r="Y3">
        <f>Y!AY6</f>
        <v/>
      </c>
      <c r="Z3">
        <f>Y!AZ6</f>
        <v/>
      </c>
      <c r="AA3">
        <f>Y!BA6</f>
        <v/>
      </c>
      <c r="AB3">
        <f>Y!BB6</f>
        <v/>
      </c>
      <c r="AC3">
        <f>Y!BC6</f>
        <v/>
      </c>
      <c r="AD3">
        <f>Y!BD6</f>
        <v/>
      </c>
      <c r="AE3">
        <f>Y!BE6</f>
        <v/>
      </c>
    </row>
    <row r="4">
      <c r="A4" t="inlineStr">
        <is>
          <t>K</t>
        </is>
      </c>
      <c r="B4">
        <f>K!AC6</f>
        <v/>
      </c>
      <c r="C4">
        <f>K!AD6</f>
        <v/>
      </c>
      <c r="D4">
        <f>K!AE6</f>
        <v/>
      </c>
      <c r="E4">
        <f>K!AF6</f>
        <v/>
      </c>
      <c r="F4">
        <f>K!AG6</f>
        <v/>
      </c>
      <c r="G4">
        <f>K!AH6</f>
        <v/>
      </c>
      <c r="H4">
        <f>K!AI6</f>
        <v/>
      </c>
      <c r="I4">
        <f>K!AJ6</f>
        <v/>
      </c>
      <c r="J4">
        <f>K!AK6</f>
        <v/>
      </c>
      <c r="K4">
        <f>K!AL6</f>
        <v/>
      </c>
      <c r="L4">
        <f>K!AM6</f>
        <v/>
      </c>
      <c r="M4">
        <f>K!AN6</f>
        <v/>
      </c>
      <c r="N4">
        <f>K!AO6</f>
        <v/>
      </c>
      <c r="O4">
        <f>K!AP6</f>
        <v/>
      </c>
      <c r="P4">
        <f>K!AQ6</f>
        <v/>
      </c>
      <c r="Q4">
        <f>K!AR6</f>
        <v/>
      </c>
      <c r="R4">
        <f>K!AS6</f>
        <v/>
      </c>
      <c r="S4">
        <f>K!AT6</f>
        <v/>
      </c>
      <c r="T4">
        <f>K!AU6</f>
        <v/>
      </c>
      <c r="U4">
        <f>K!AV6</f>
        <v/>
      </c>
      <c r="V4">
        <f>K!AW6</f>
        <v/>
      </c>
      <c r="W4">
        <f>K!AX6</f>
        <v/>
      </c>
      <c r="X4">
        <f>K!AY6</f>
        <v/>
      </c>
      <c r="Y4">
        <f>K!AZ6</f>
        <v/>
      </c>
      <c r="Z4">
        <f>K!BA6</f>
        <v/>
      </c>
      <c r="AA4">
        <f>K!BB6</f>
        <v/>
      </c>
      <c r="AB4">
        <f>K!BC6</f>
        <v/>
      </c>
      <c r="AC4">
        <f>K!BD6</f>
        <v/>
      </c>
      <c r="AD4">
        <f>K!BE6</f>
        <v/>
      </c>
      <c r="AE4">
        <f>K!BF6</f>
        <v/>
      </c>
    </row>
    <row r="5">
      <c r="A5" t="inlineStr">
        <is>
          <t>L</t>
        </is>
      </c>
      <c r="B5">
        <f>L!AC6</f>
        <v/>
      </c>
      <c r="C5">
        <f>L!AD6</f>
        <v/>
      </c>
      <c r="D5">
        <f>L!AE6</f>
        <v/>
      </c>
      <c r="E5">
        <f>L!AF6</f>
        <v/>
      </c>
      <c r="F5">
        <f>L!AG6</f>
        <v/>
      </c>
      <c r="G5">
        <f>L!AH6</f>
        <v/>
      </c>
      <c r="H5">
        <f>L!AI6</f>
        <v/>
      </c>
      <c r="I5">
        <f>L!AJ6</f>
        <v/>
      </c>
      <c r="J5">
        <f>L!AK6</f>
        <v/>
      </c>
      <c r="K5">
        <f>L!AL6</f>
        <v/>
      </c>
      <c r="L5">
        <f>L!AM6</f>
        <v/>
      </c>
      <c r="M5">
        <f>L!AN6</f>
        <v/>
      </c>
      <c r="N5">
        <f>L!AO6</f>
        <v/>
      </c>
      <c r="O5">
        <f>L!AP6</f>
        <v/>
      </c>
      <c r="P5">
        <f>L!AQ6</f>
        <v/>
      </c>
      <c r="Q5">
        <f>L!AR6</f>
        <v/>
      </c>
      <c r="R5">
        <f>L!AS6</f>
        <v/>
      </c>
      <c r="S5">
        <f>L!AT6</f>
        <v/>
      </c>
      <c r="T5">
        <f>L!AU6</f>
        <v/>
      </c>
      <c r="U5">
        <f>L!AV6</f>
        <v/>
      </c>
      <c r="V5">
        <f>L!AW6</f>
        <v/>
      </c>
      <c r="W5">
        <f>L!AX6</f>
        <v/>
      </c>
      <c r="X5">
        <f>L!AY6</f>
        <v/>
      </c>
      <c r="Y5">
        <f>L!AZ6</f>
        <v/>
      </c>
      <c r="Z5">
        <f>L!BA6</f>
        <v/>
      </c>
      <c r="AA5">
        <f>L!BB6</f>
        <v/>
      </c>
      <c r="AB5">
        <f>L!BC6</f>
        <v/>
      </c>
      <c r="AC5">
        <f>L!BD6</f>
        <v/>
      </c>
      <c r="AD5">
        <f>L!BE6</f>
        <v/>
      </c>
      <c r="AE5">
        <f>L!BF6</f>
        <v/>
      </c>
    </row>
    <row r="6">
      <c r="A6" t="inlineStr">
        <is>
          <t>Mtot</t>
        </is>
      </c>
      <c r="B6">
        <f>Mtot!AB6</f>
        <v/>
      </c>
      <c r="C6">
        <f>Mtot!AC6</f>
        <v/>
      </c>
      <c r="D6">
        <f>Mtot!AD6</f>
        <v/>
      </c>
      <c r="E6">
        <f>Mtot!AE6</f>
        <v/>
      </c>
      <c r="F6">
        <f>Mtot!AF6</f>
        <v/>
      </c>
      <c r="G6">
        <f>Mtot!AG6</f>
        <v/>
      </c>
      <c r="H6">
        <f>Mtot!AH6</f>
        <v/>
      </c>
      <c r="I6">
        <f>Mtot!AI6</f>
        <v/>
      </c>
      <c r="J6">
        <f>Mtot!AJ6</f>
        <v/>
      </c>
      <c r="K6">
        <f>Mtot!AK6</f>
        <v/>
      </c>
      <c r="L6">
        <f>Mtot!AL6</f>
        <v/>
      </c>
      <c r="M6">
        <f>Mtot!AM6</f>
        <v/>
      </c>
      <c r="N6">
        <f>Mtot!AN6</f>
        <v/>
      </c>
      <c r="O6">
        <f>Mtot!AO6</f>
        <v/>
      </c>
      <c r="P6">
        <f>Mtot!AP6</f>
        <v/>
      </c>
      <c r="Q6">
        <f>Mtot!AQ6</f>
        <v/>
      </c>
      <c r="R6">
        <f>Mtot!AR6</f>
        <v/>
      </c>
      <c r="S6">
        <f>Mtot!AS6</f>
        <v/>
      </c>
      <c r="T6">
        <f>Mtot!AT6</f>
        <v/>
      </c>
      <c r="U6">
        <f>Mtot!AU6</f>
        <v/>
      </c>
      <c r="V6">
        <f>Mtot!AV6</f>
        <v/>
      </c>
      <c r="W6">
        <f>Mtot!AW6</f>
        <v/>
      </c>
      <c r="X6">
        <f>Mtot!AX6</f>
        <v/>
      </c>
      <c r="Y6">
        <f>Mtot!AY6</f>
        <v/>
      </c>
      <c r="Z6">
        <f>Mtot!AZ6</f>
        <v/>
      </c>
      <c r="AA6">
        <f>Mtot!BA6</f>
        <v/>
      </c>
      <c r="AB6">
        <f>Mtot!BB6</f>
        <v/>
      </c>
      <c r="AC6">
        <f>Mtot!BC6</f>
        <v/>
      </c>
      <c r="AD6">
        <f>Mtot!BD6</f>
        <v/>
      </c>
      <c r="AE6">
        <f>Mtot!BE6</f>
        <v/>
      </c>
    </row>
    <row r="7">
      <c r="A7" t="inlineStr">
        <is>
          <t>J</t>
        </is>
      </c>
      <c r="B7">
        <f>J!M6</f>
        <v/>
      </c>
      <c r="C7">
        <f>J!N6</f>
        <v/>
      </c>
      <c r="D7">
        <f>J!O6</f>
        <v/>
      </c>
      <c r="E7">
        <f>J!P6</f>
        <v/>
      </c>
      <c r="F7">
        <f>J!Q6</f>
        <v/>
      </c>
      <c r="G7">
        <f>J!R6</f>
        <v/>
      </c>
      <c r="H7">
        <f>J!S6</f>
        <v/>
      </c>
      <c r="I7">
        <f>J!T6</f>
        <v/>
      </c>
      <c r="J7">
        <f>J!U6</f>
        <v/>
      </c>
      <c r="K7">
        <f>J!V6</f>
        <v/>
      </c>
      <c r="L7">
        <f>J!W6</f>
        <v/>
      </c>
      <c r="M7">
        <f>J!X6</f>
        <v/>
      </c>
      <c r="N7">
        <f>J!Y6</f>
        <v/>
      </c>
      <c r="O7">
        <f>J!Z6</f>
        <v/>
      </c>
      <c r="P7">
        <f>J!AA6</f>
        <v/>
      </c>
      <c r="Q7">
        <f>J!AB6</f>
        <v/>
      </c>
      <c r="R7">
        <f>J!AC6</f>
        <v/>
      </c>
      <c r="S7">
        <f>J!AD6</f>
        <v/>
      </c>
      <c r="T7">
        <f>J!AE6</f>
        <v/>
      </c>
      <c r="U7">
        <f>J!AF6</f>
        <v/>
      </c>
      <c r="V7">
        <f>J!AG6</f>
        <v/>
      </c>
      <c r="W7">
        <f>J!AH6</f>
        <v/>
      </c>
      <c r="X7">
        <f>J!AI6</f>
        <v/>
      </c>
      <c r="Y7">
        <f>J!AJ6</f>
        <v/>
      </c>
      <c r="Z7">
        <f>J!AK6</f>
        <v/>
      </c>
      <c r="AA7">
        <f>J!AL6</f>
        <v/>
      </c>
      <c r="AB7">
        <f>J!AM6</f>
        <v/>
      </c>
      <c r="AC7">
        <f>J!AN6</f>
        <v/>
      </c>
      <c r="AD7">
        <f>J!AO6</f>
        <v/>
      </c>
      <c r="AE7">
        <f>J!AP6</f>
        <v/>
      </c>
    </row>
    <row r="8">
      <c r="A8" t="inlineStr">
        <is>
          <t>I</t>
        </is>
      </c>
      <c r="B8">
        <f>I!AC6</f>
        <v/>
      </c>
      <c r="C8">
        <f>I!AD6</f>
        <v/>
      </c>
      <c r="D8">
        <f>I!AE6</f>
        <v/>
      </c>
      <c r="E8">
        <f>I!AF6</f>
        <v/>
      </c>
      <c r="F8">
        <f>I!AG6</f>
        <v/>
      </c>
      <c r="G8">
        <f>I!AH6</f>
        <v/>
      </c>
      <c r="H8">
        <f>I!AI6</f>
        <v/>
      </c>
      <c r="I8">
        <f>I!AJ6</f>
        <v/>
      </c>
      <c r="J8">
        <f>I!AK6</f>
        <v/>
      </c>
      <c r="K8">
        <f>I!AL6</f>
        <v/>
      </c>
      <c r="L8">
        <f>I!AM6</f>
        <v/>
      </c>
      <c r="M8">
        <f>I!AN6</f>
        <v/>
      </c>
      <c r="N8">
        <f>I!AO6</f>
        <v/>
      </c>
      <c r="O8">
        <f>I!AP6</f>
        <v/>
      </c>
      <c r="P8">
        <f>I!AQ6</f>
        <v/>
      </c>
      <c r="Q8">
        <f>I!AR6</f>
        <v/>
      </c>
      <c r="R8">
        <f>I!AS6</f>
        <v/>
      </c>
      <c r="S8">
        <f>I!AT6</f>
        <v/>
      </c>
      <c r="T8">
        <f>I!AU6</f>
        <v/>
      </c>
      <c r="U8">
        <f>I!AV6</f>
        <v/>
      </c>
      <c r="V8">
        <f>I!AW6</f>
        <v/>
      </c>
      <c r="W8">
        <f>I!AX6</f>
        <v/>
      </c>
      <c r="X8">
        <f>I!AY6</f>
        <v/>
      </c>
      <c r="Y8">
        <f>I!AZ6</f>
        <v/>
      </c>
      <c r="Z8">
        <f>I!BA6</f>
        <v/>
      </c>
      <c r="AA8">
        <f>I!BB6</f>
        <v/>
      </c>
      <c r="AB8">
        <f>I!BC6</f>
        <v/>
      </c>
      <c r="AC8">
        <f>I!BD6</f>
        <v/>
      </c>
      <c r="AD8">
        <f>I!BE6</f>
        <v/>
      </c>
      <c r="AE8">
        <f>I!BF6</f>
        <v/>
      </c>
    </row>
    <row r="10">
      <c r="A10" s="10" t="inlineStr">
        <is>
          <t>Priser</t>
        </is>
      </c>
    </row>
    <row r="11">
      <c r="A11" t="inlineStr">
        <is>
          <t>p_Y</t>
        </is>
      </c>
      <c r="B11">
        <f>P!AB6</f>
        <v/>
      </c>
      <c r="C11">
        <f>P!AC6</f>
        <v/>
      </c>
      <c r="D11">
        <f>P!AD6</f>
        <v/>
      </c>
      <c r="E11">
        <f>P!AE6</f>
        <v/>
      </c>
      <c r="F11">
        <f>P!AF6</f>
        <v/>
      </c>
      <c r="G11">
        <f>P!AG6</f>
        <v/>
      </c>
      <c r="H11">
        <f>P!AH6</f>
        <v/>
      </c>
      <c r="I11">
        <f>P!AI6</f>
        <v/>
      </c>
      <c r="J11">
        <f>P!AJ6</f>
        <v/>
      </c>
      <c r="K11">
        <f>P!AK6</f>
        <v/>
      </c>
      <c r="L11">
        <f>P!AL6</f>
        <v/>
      </c>
      <c r="M11">
        <f>P!AM6</f>
        <v/>
      </c>
      <c r="N11">
        <f>P!AN6</f>
        <v/>
      </c>
      <c r="O11">
        <f>P!AO6</f>
        <v/>
      </c>
      <c r="P11">
        <f>P!AP6</f>
        <v/>
      </c>
      <c r="Q11">
        <f>P!AQ6</f>
        <v/>
      </c>
      <c r="R11">
        <f>P!AR6</f>
        <v/>
      </c>
      <c r="S11">
        <f>P!AS6</f>
        <v/>
      </c>
      <c r="T11">
        <f>P!AT6</f>
        <v/>
      </c>
      <c r="U11">
        <f>P!AU6</f>
        <v/>
      </c>
      <c r="V11">
        <f>P!AV6</f>
        <v/>
      </c>
      <c r="W11">
        <f>P!AW6</f>
        <v/>
      </c>
      <c r="X11">
        <f>P!AX6</f>
        <v/>
      </c>
      <c r="Y11">
        <f>P!AY6</f>
        <v/>
      </c>
      <c r="Z11">
        <f>P!AZ6</f>
        <v/>
      </c>
      <c r="AA11">
        <f>P!BA6</f>
        <v/>
      </c>
      <c r="AB11">
        <f>P!BB6</f>
        <v/>
      </c>
      <c r="AC11">
        <f>P!BC6</f>
        <v/>
      </c>
      <c r="AD11">
        <f>P!BD6</f>
        <v/>
      </c>
      <c r="AE11">
        <f>P!BE6</f>
        <v/>
      </c>
    </row>
    <row r="12">
      <c r="A12" t="inlineStr">
        <is>
          <t>P_K</t>
        </is>
      </c>
      <c r="B12">
        <f>P_K!AC6</f>
        <v/>
      </c>
      <c r="C12">
        <f>P_K!AD6</f>
        <v/>
      </c>
      <c r="D12">
        <f>P_K!AE6</f>
        <v/>
      </c>
      <c r="E12">
        <f>P_K!AF6</f>
        <v/>
      </c>
      <c r="F12">
        <f>P_K!AG6</f>
        <v/>
      </c>
      <c r="G12">
        <f>P_K!AH6</f>
        <v/>
      </c>
      <c r="H12">
        <f>P_K!AI6</f>
        <v/>
      </c>
      <c r="I12">
        <f>P_K!AJ6</f>
        <v/>
      </c>
      <c r="J12">
        <f>P_K!AK6</f>
        <v/>
      </c>
      <c r="K12">
        <f>P_K!AL6</f>
        <v/>
      </c>
      <c r="L12">
        <f>P_K!AM6</f>
        <v/>
      </c>
      <c r="M12">
        <f>P_K!AN6</f>
        <v/>
      </c>
      <c r="N12">
        <f>P_K!AO6</f>
        <v/>
      </c>
      <c r="O12">
        <f>P_K!AP6</f>
        <v/>
      </c>
      <c r="P12">
        <f>P_K!AQ6</f>
        <v/>
      </c>
      <c r="Q12">
        <f>P_K!AR6</f>
        <v/>
      </c>
      <c r="R12">
        <f>P_K!AS6</f>
        <v/>
      </c>
      <c r="S12">
        <f>P_K!AT6</f>
        <v/>
      </c>
      <c r="T12">
        <f>P_K!AU6</f>
        <v/>
      </c>
      <c r="U12">
        <f>P_K!AV6</f>
        <v/>
      </c>
      <c r="V12">
        <f>P_K!AW6</f>
        <v/>
      </c>
      <c r="W12">
        <f>P_K!AX6</f>
        <v/>
      </c>
      <c r="X12">
        <f>P_K!AY6</f>
        <v/>
      </c>
      <c r="Y12">
        <f>P_K!AZ6</f>
        <v/>
      </c>
      <c r="Z12">
        <f>P_K!BA6</f>
        <v/>
      </c>
      <c r="AA12">
        <f>P_K!BB6</f>
        <v/>
      </c>
      <c r="AB12">
        <f>P_K!BC6</f>
        <v/>
      </c>
      <c r="AC12">
        <f>P_K!BD6</f>
        <v/>
      </c>
      <c r="AD12">
        <f>P_K!BE6</f>
        <v/>
      </c>
      <c r="AE12">
        <f>P_K!BF6</f>
        <v/>
      </c>
    </row>
    <row r="13">
      <c r="A13" t="inlineStr">
        <is>
          <t>w</t>
        </is>
      </c>
      <c r="B13">
        <f>w!AC6</f>
        <v/>
      </c>
      <c r="C13">
        <f>w!AD6</f>
        <v/>
      </c>
      <c r="D13">
        <f>w!AE6</f>
        <v/>
      </c>
      <c r="E13">
        <f>w!AF6</f>
        <v/>
      </c>
      <c r="F13">
        <f>w!AG6</f>
        <v/>
      </c>
      <c r="G13">
        <f>w!AH6</f>
        <v/>
      </c>
      <c r="H13">
        <f>w!AI6</f>
        <v/>
      </c>
      <c r="I13">
        <f>w!AJ6</f>
        <v/>
      </c>
      <c r="J13">
        <f>w!AK6</f>
        <v/>
      </c>
      <c r="K13">
        <f>w!AL6</f>
        <v/>
      </c>
      <c r="L13">
        <f>w!AM6</f>
        <v/>
      </c>
      <c r="M13">
        <f>w!AN6</f>
        <v/>
      </c>
      <c r="N13">
        <f>w!AO6</f>
        <v/>
      </c>
      <c r="O13">
        <f>w!AP6</f>
        <v/>
      </c>
      <c r="P13">
        <f>w!AQ6</f>
        <v/>
      </c>
      <c r="Q13">
        <f>w!AR6</f>
        <v/>
      </c>
      <c r="R13">
        <f>w!AS6</f>
        <v/>
      </c>
      <c r="S13">
        <f>w!AT6</f>
        <v/>
      </c>
      <c r="T13">
        <f>w!AU6</f>
        <v/>
      </c>
      <c r="U13">
        <f>w!AV6</f>
        <v/>
      </c>
      <c r="V13">
        <f>w!AW6</f>
        <v/>
      </c>
      <c r="W13">
        <f>w!AX6</f>
        <v/>
      </c>
      <c r="X13">
        <f>w!AY6</f>
        <v/>
      </c>
      <c r="Y13">
        <f>w!AZ6</f>
        <v/>
      </c>
      <c r="Z13">
        <f>w!BA6</f>
        <v/>
      </c>
      <c r="AA13">
        <f>w!BB6</f>
        <v/>
      </c>
      <c r="AB13">
        <f>w!BC6</f>
        <v/>
      </c>
      <c r="AC13">
        <f>w!BD6</f>
        <v/>
      </c>
      <c r="AD13">
        <f>w!BE6</f>
        <v/>
      </c>
      <c r="AE13">
        <f>w!BF6</f>
        <v/>
      </c>
    </row>
    <row r="14">
      <c r="A14" t="inlineStr">
        <is>
          <t>P_Mtot</t>
        </is>
      </c>
      <c r="B14">
        <f>P_Mtot!AB6</f>
        <v/>
      </c>
      <c r="C14">
        <f>P_Mtot!AC6</f>
        <v/>
      </c>
      <c r="D14">
        <f>P_Mtot!AD6</f>
        <v/>
      </c>
      <c r="E14">
        <f>P_Mtot!AE6</f>
        <v/>
      </c>
      <c r="F14">
        <f>P_Mtot!AF6</f>
        <v/>
      </c>
      <c r="G14">
        <f>P_Mtot!AG6</f>
        <v/>
      </c>
      <c r="H14">
        <f>P_Mtot!AH6</f>
        <v/>
      </c>
      <c r="I14">
        <f>P_Mtot!AI6</f>
        <v/>
      </c>
      <c r="J14">
        <f>P_Mtot!AJ6</f>
        <v/>
      </c>
      <c r="K14">
        <f>P_Mtot!AK6</f>
        <v/>
      </c>
      <c r="L14">
        <f>P_Mtot!AL6</f>
        <v/>
      </c>
      <c r="M14">
        <f>P_Mtot!AM6</f>
        <v/>
      </c>
      <c r="N14">
        <f>P_Mtot!AN6</f>
        <v/>
      </c>
      <c r="O14">
        <f>P_Mtot!AO6</f>
        <v/>
      </c>
      <c r="P14">
        <f>P_Mtot!AP6</f>
        <v/>
      </c>
      <c r="Q14">
        <f>P_Mtot!AQ6</f>
        <v/>
      </c>
      <c r="R14">
        <f>P_Mtot!AR6</f>
        <v/>
      </c>
      <c r="S14">
        <f>P_Mtot!AS6</f>
        <v/>
      </c>
      <c r="T14">
        <f>P_Mtot!AT6</f>
        <v/>
      </c>
      <c r="U14">
        <f>P_Mtot!AU6</f>
        <v/>
      </c>
      <c r="V14">
        <f>P_Mtot!AV6</f>
        <v/>
      </c>
      <c r="W14">
        <f>P_Mtot!AW6</f>
        <v/>
      </c>
      <c r="X14">
        <f>P_Mtot!AX6</f>
        <v/>
      </c>
      <c r="Y14">
        <f>P_Mtot!AY6</f>
        <v/>
      </c>
      <c r="Z14">
        <f>P_Mtot!AZ6</f>
        <v/>
      </c>
      <c r="AA14">
        <f>P_Mtot!BA6</f>
        <v/>
      </c>
      <c r="AB14">
        <f>P_Mtot!BB6</f>
        <v/>
      </c>
      <c r="AC14">
        <f>P_Mtot!BC6</f>
        <v/>
      </c>
      <c r="AD14">
        <f>P_Mtot!BD6</f>
        <v/>
      </c>
      <c r="AE14">
        <f>P_Mtot!BE6</f>
        <v/>
      </c>
    </row>
    <row r="15">
      <c r="A15" t="inlineStr">
        <is>
          <t>P_J</t>
        </is>
      </c>
      <c r="B15">
        <f>P_J!AC6</f>
        <v/>
      </c>
      <c r="C15">
        <f>P_J!AD6</f>
        <v/>
      </c>
      <c r="D15">
        <f>P_J!AE6</f>
        <v/>
      </c>
      <c r="E15">
        <f>P_J!AF6</f>
        <v/>
      </c>
      <c r="F15">
        <f>P_J!AG6</f>
        <v/>
      </c>
      <c r="G15">
        <f>P_J!AH6</f>
        <v/>
      </c>
      <c r="H15">
        <f>P_J!AI6</f>
        <v/>
      </c>
      <c r="I15">
        <f>P_J!AJ6</f>
        <v/>
      </c>
      <c r="J15">
        <f>P_J!AK6</f>
        <v/>
      </c>
      <c r="K15">
        <f>P_J!AL6</f>
        <v/>
      </c>
      <c r="L15">
        <f>P_J!AM6</f>
        <v/>
      </c>
      <c r="M15">
        <f>P_J!AN6</f>
        <v/>
      </c>
      <c r="N15">
        <f>P_J!AO6</f>
        <v/>
      </c>
      <c r="O15">
        <f>P_J!AP6</f>
        <v/>
      </c>
      <c r="P15">
        <f>P_J!AQ6</f>
        <v/>
      </c>
      <c r="Q15">
        <f>P_J!AR6</f>
        <v/>
      </c>
      <c r="R15">
        <f>P_J!AS6</f>
        <v/>
      </c>
      <c r="S15">
        <f>P_J!AT6</f>
        <v/>
      </c>
      <c r="T15">
        <f>P_J!AU6</f>
        <v/>
      </c>
      <c r="U15">
        <f>P_J!AV6</f>
        <v/>
      </c>
      <c r="V15">
        <f>P_J!AW6</f>
        <v/>
      </c>
      <c r="W15">
        <f>P_J!AX6</f>
        <v/>
      </c>
      <c r="X15">
        <f>P_J!AY6</f>
        <v/>
      </c>
      <c r="Y15">
        <f>P_J!AZ6</f>
        <v/>
      </c>
      <c r="Z15">
        <f>P_J!BA6</f>
        <v/>
      </c>
      <c r="AA15">
        <f>P_J!BB6</f>
        <v/>
      </c>
      <c r="AB15">
        <f>P_J!BC6</f>
        <v/>
      </c>
      <c r="AC15">
        <f>P_J!BD6</f>
        <v/>
      </c>
      <c r="AD15">
        <f>P_J!BE6</f>
        <v/>
      </c>
      <c r="AE15">
        <f>P_J!BF6</f>
        <v/>
      </c>
    </row>
    <row r="16">
      <c r="A16" t="inlineStr">
        <is>
          <t>P_I</t>
        </is>
      </c>
      <c r="B16">
        <f>P_I!C6</f>
        <v/>
      </c>
      <c r="C16">
        <f>P_I!D6</f>
        <v/>
      </c>
      <c r="D16">
        <f>P_I!E6</f>
        <v/>
      </c>
      <c r="E16">
        <f>P_I!F6</f>
        <v/>
      </c>
      <c r="F16">
        <f>P_I!G6</f>
        <v/>
      </c>
      <c r="G16">
        <f>P_I!H6</f>
        <v/>
      </c>
      <c r="H16">
        <f>P_I!I6</f>
        <v/>
      </c>
      <c r="I16">
        <f>P_I!J6</f>
        <v/>
      </c>
      <c r="J16">
        <f>P_I!K6</f>
        <v/>
      </c>
      <c r="K16">
        <f>P_I!L6</f>
        <v/>
      </c>
      <c r="L16">
        <f>P_I!M6</f>
        <v/>
      </c>
      <c r="M16">
        <f>P_I!N6</f>
        <v/>
      </c>
      <c r="N16">
        <f>P_I!O6</f>
        <v/>
      </c>
      <c r="O16">
        <f>P_I!P6</f>
        <v/>
      </c>
      <c r="P16">
        <f>P_I!Q6</f>
        <v/>
      </c>
      <c r="Q16">
        <f>P_I!R6</f>
        <v/>
      </c>
      <c r="R16">
        <f>P_I!S6</f>
        <v/>
      </c>
      <c r="S16">
        <f>P_I!T6</f>
        <v/>
      </c>
      <c r="T16">
        <f>P_I!U6</f>
        <v/>
      </c>
      <c r="U16">
        <f>P_I!V6</f>
        <v/>
      </c>
      <c r="V16">
        <f>P_I!W6</f>
        <v/>
      </c>
      <c r="W16">
        <f>P_I!X6</f>
        <v/>
      </c>
      <c r="X16">
        <f>P_I!Y6</f>
        <v/>
      </c>
      <c r="Y16">
        <f>P_I!Z6</f>
        <v/>
      </c>
      <c r="Z16">
        <f>P_I!AA6</f>
        <v/>
      </c>
      <c r="AA16">
        <f>P_I!AB6</f>
        <v/>
      </c>
      <c r="AB16">
        <f>P_I!AC6</f>
        <v/>
      </c>
      <c r="AC16">
        <f>P_I!AD6</f>
        <v/>
      </c>
      <c r="AD16">
        <f>P_I!AE6</f>
        <v/>
      </c>
      <c r="AE16">
        <f>P_I!AF6</f>
        <v/>
      </c>
    </row>
    <row r="17">
      <c r="A17" t="inlineStr">
        <is>
          <t>P_Jord</t>
        </is>
      </c>
      <c r="B17">
        <f>P_Jord!M6</f>
        <v/>
      </c>
      <c r="C17">
        <f>P_Jord!N6</f>
        <v/>
      </c>
      <c r="D17">
        <f>P_Jord!O6</f>
        <v/>
      </c>
      <c r="E17">
        <f>P_Jord!P6</f>
        <v/>
      </c>
      <c r="F17">
        <f>P_Jord!Q6</f>
        <v/>
      </c>
      <c r="G17">
        <f>P_Jord!R6</f>
        <v/>
      </c>
      <c r="H17">
        <f>P_Jord!S6</f>
        <v/>
      </c>
      <c r="I17">
        <f>P_Jord!T6</f>
        <v/>
      </c>
      <c r="J17">
        <f>P_Jord!U6</f>
        <v/>
      </c>
      <c r="K17">
        <f>P_Jord!V6</f>
        <v/>
      </c>
      <c r="L17">
        <f>P_Jord!W6</f>
        <v/>
      </c>
      <c r="M17">
        <f>P_Jord!X6</f>
        <v/>
      </c>
      <c r="N17">
        <f>P_Jord!Y6</f>
        <v/>
      </c>
      <c r="O17">
        <f>P_Jord!Z6</f>
        <v/>
      </c>
      <c r="P17">
        <f>P_Jord!AA6</f>
        <v/>
      </c>
      <c r="Q17">
        <f>P_Jord!AB6</f>
        <v/>
      </c>
      <c r="R17">
        <f>P_Jord!AC6</f>
        <v/>
      </c>
      <c r="S17">
        <f>P_Jord!AD6</f>
        <v/>
      </c>
      <c r="T17">
        <f>P_Jord!AE6</f>
        <v/>
      </c>
      <c r="U17">
        <f>P_Jord!AF6</f>
        <v/>
      </c>
      <c r="V17">
        <f>P_Jord!AG6</f>
        <v/>
      </c>
      <c r="W17">
        <f>P_Jord!AH6</f>
        <v/>
      </c>
      <c r="X17">
        <f>P_Jord!AI6</f>
        <v/>
      </c>
      <c r="Y17">
        <f>P_Jord!AJ6</f>
        <v/>
      </c>
      <c r="Z17">
        <f>P_Jord!AK6</f>
        <v/>
      </c>
      <c r="AA17">
        <f>P_Jord!AL6</f>
        <v/>
      </c>
      <c r="AB17">
        <f>P_Jord!AM6</f>
        <v/>
      </c>
      <c r="AC17">
        <f>P_Jord!AN6</f>
        <v/>
      </c>
      <c r="AD17">
        <f>P_Jord!AO6</f>
        <v/>
      </c>
      <c r="AE17">
        <f>P_Jord!AP6</f>
        <v/>
      </c>
    </row>
    <row r="19">
      <c r="A19" s="10" t="inlineStr">
        <is>
          <t>Andet</t>
        </is>
      </c>
    </row>
    <row r="20">
      <c r="A20" t="inlineStr">
        <is>
          <t>Subsidiesats</t>
        </is>
      </c>
      <c r="B20">
        <f>tau_Y!AC6</f>
        <v/>
      </c>
      <c r="C20">
        <f>tau_Y!AD6</f>
        <v/>
      </c>
      <c r="D20">
        <f>tau_Y!AE6</f>
        <v/>
      </c>
      <c r="E20">
        <f>tau_Y!AF6</f>
        <v/>
      </c>
      <c r="F20">
        <f>tau_Y!AG6</f>
        <v/>
      </c>
      <c r="G20">
        <f>tau_Y!AH6</f>
        <v/>
      </c>
      <c r="H20">
        <f>tau_Y!AI6</f>
        <v/>
      </c>
      <c r="I20">
        <f>tau_Y!AJ6</f>
        <v/>
      </c>
      <c r="J20">
        <f>tau_Y!AK6</f>
        <v/>
      </c>
      <c r="K20">
        <f>tau_Y!AL6</f>
        <v/>
      </c>
      <c r="L20">
        <f>tau_Y!AM6</f>
        <v/>
      </c>
      <c r="M20">
        <f>tau_Y!AN6</f>
        <v/>
      </c>
      <c r="N20">
        <f>tau_Y!AO6</f>
        <v/>
      </c>
      <c r="O20">
        <f>tau_Y!AP6</f>
        <v/>
      </c>
      <c r="P20">
        <f>tau_Y!AQ6</f>
        <v/>
      </c>
      <c r="Q20">
        <f>tau_Y!AR6</f>
        <v/>
      </c>
      <c r="R20">
        <f>tau_Y!AS6</f>
        <v/>
      </c>
      <c r="S20">
        <f>tau_Y!AT6</f>
        <v/>
      </c>
      <c r="T20">
        <f>tau_Y!AU6</f>
        <v/>
      </c>
      <c r="U20">
        <f>tau_Y!AV6</f>
        <v/>
      </c>
      <c r="V20">
        <f>tau_Y!AW6</f>
        <v/>
      </c>
      <c r="W20">
        <f>tau_Y!AX6</f>
        <v/>
      </c>
      <c r="X20">
        <f>tau_Y!AY6</f>
        <v/>
      </c>
      <c r="Y20">
        <f>tau_Y!AZ6</f>
        <v/>
      </c>
      <c r="Z20">
        <f>tau_Y!BA6</f>
        <v/>
      </c>
      <c r="AA20">
        <f>tau_Y!BB6</f>
        <v/>
      </c>
      <c r="AB20">
        <f>tau_Y!BC6</f>
        <v/>
      </c>
      <c r="AC20">
        <f>tau_Y!BD6</f>
        <v/>
      </c>
      <c r="AD20">
        <f>tau_Y!BE6</f>
        <v/>
      </c>
      <c r="AE20">
        <f>tau_Y!BF6</f>
        <v/>
      </c>
    </row>
    <row r="21">
      <c r="A21" t="inlineStr">
        <is>
          <t>Afgift indenlandsk</t>
        </is>
      </c>
      <c r="B21">
        <f>tau_MD!AB6</f>
        <v/>
      </c>
      <c r="C21">
        <f>tau_MD!AC6</f>
        <v/>
      </c>
      <c r="D21">
        <f>tau_MD!AD6</f>
        <v/>
      </c>
      <c r="E21">
        <f>tau_MD!AE6</f>
        <v/>
      </c>
      <c r="F21">
        <f>tau_MD!AF6</f>
        <v/>
      </c>
      <c r="G21">
        <f>tau_MD!AG6</f>
        <v/>
      </c>
      <c r="H21">
        <f>tau_MD!AH6</f>
        <v/>
      </c>
      <c r="I21">
        <f>tau_MD!AI6</f>
        <v/>
      </c>
      <c r="J21">
        <f>tau_MD!AJ6</f>
        <v/>
      </c>
      <c r="K21">
        <f>tau_MD!AK6</f>
        <v/>
      </c>
      <c r="L21">
        <f>tau_MD!AL6</f>
        <v/>
      </c>
      <c r="M21">
        <f>tau_MD!AM6</f>
        <v/>
      </c>
      <c r="N21">
        <f>tau_MD!AN6</f>
        <v/>
      </c>
      <c r="O21">
        <f>tau_MD!AO6</f>
        <v/>
      </c>
      <c r="P21">
        <f>tau_MD!AP6</f>
        <v/>
      </c>
      <c r="Q21">
        <f>tau_MD!AQ6</f>
        <v/>
      </c>
      <c r="R21">
        <f>tau_MD!AR6</f>
        <v/>
      </c>
      <c r="S21">
        <f>tau_MD!AS6</f>
        <v/>
      </c>
      <c r="T21">
        <f>tau_MD!AT6</f>
        <v/>
      </c>
      <c r="U21">
        <f>tau_MD!AU6</f>
        <v/>
      </c>
      <c r="V21">
        <f>tau_MD!AV6</f>
        <v/>
      </c>
      <c r="W21">
        <f>tau_MD!AW6</f>
        <v/>
      </c>
      <c r="X21">
        <f>tau_MD!AX6</f>
        <v/>
      </c>
      <c r="Y21">
        <f>tau_MD!AY6</f>
        <v/>
      </c>
      <c r="Z21">
        <f>tau_MD!AZ6</f>
        <v/>
      </c>
      <c r="AA21">
        <f>tau_MD!BA6</f>
        <v/>
      </c>
      <c r="AB21">
        <f>tau_MD!BB6</f>
        <v/>
      </c>
      <c r="AC21">
        <f>tau_MD!BC6</f>
        <v/>
      </c>
      <c r="AD21">
        <f>tau_MD!BD6</f>
        <v/>
      </c>
      <c r="AE21">
        <f>tau_MD!BE6</f>
        <v/>
      </c>
    </row>
    <row r="22">
      <c r="A22" t="inlineStr">
        <is>
          <t>Markup</t>
        </is>
      </c>
      <c r="B22">
        <f>markup!AC6</f>
        <v/>
      </c>
      <c r="C22">
        <f>markup!AD6</f>
        <v/>
      </c>
      <c r="D22">
        <f>markup!AE6</f>
        <v/>
      </c>
      <c r="E22">
        <f>markup!AF6</f>
        <v/>
      </c>
      <c r="F22">
        <f>markup!AG6</f>
        <v/>
      </c>
      <c r="G22">
        <f>markup!AH6</f>
        <v/>
      </c>
      <c r="H22">
        <f>markup!AI6</f>
        <v/>
      </c>
      <c r="I22">
        <f>markup!AJ6</f>
        <v/>
      </c>
      <c r="J22">
        <f>markup!AK6</f>
        <v/>
      </c>
      <c r="K22">
        <f>markup!AL6</f>
        <v/>
      </c>
      <c r="L22">
        <f>markup!AM6</f>
        <v/>
      </c>
      <c r="M22">
        <f>markup!AN6</f>
        <v/>
      </c>
      <c r="N22">
        <f>markup!AO6</f>
        <v/>
      </c>
      <c r="O22">
        <f>markup!AP6</f>
        <v/>
      </c>
      <c r="P22">
        <f>markup!AQ6</f>
        <v/>
      </c>
      <c r="Q22">
        <f>markup!AR6</f>
        <v/>
      </c>
      <c r="R22">
        <f>markup!AS6</f>
        <v/>
      </c>
      <c r="S22">
        <f>markup!AT6</f>
        <v/>
      </c>
      <c r="T22">
        <f>markup!AU6</f>
        <v/>
      </c>
      <c r="U22">
        <f>markup!AV6</f>
        <v/>
      </c>
      <c r="V22">
        <f>markup!AW6</f>
        <v/>
      </c>
      <c r="W22">
        <f>markup!AX6</f>
        <v/>
      </c>
      <c r="X22">
        <f>markup!AY6</f>
        <v/>
      </c>
      <c r="Y22">
        <f>markup!AZ6</f>
        <v/>
      </c>
      <c r="Z22">
        <f>markup!BA6</f>
        <v/>
      </c>
      <c r="AA22">
        <f>markup!BB6</f>
        <v/>
      </c>
      <c r="AB22">
        <f>markup!BC6</f>
        <v/>
      </c>
      <c r="AC22">
        <f>markup!BD6</f>
        <v/>
      </c>
      <c r="AD22">
        <f>markup!BE6</f>
        <v/>
      </c>
      <c r="AE22">
        <f>markup!BF6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44352.25324136804</v>
      </c>
      <c r="C2" t="n">
        <v>44088.47393080113</v>
      </c>
      <c r="D2" t="n">
        <v>44065.48484996815</v>
      </c>
      <c r="E2" t="n">
        <v>41076.9550383105</v>
      </c>
      <c r="F2" t="n">
        <v>44428.58814517586</v>
      </c>
      <c r="G2" t="n">
        <v>45125.5163303274</v>
      </c>
      <c r="H2" t="n">
        <v>45687.59425864594</v>
      </c>
      <c r="I2" t="n">
        <v>47792.36567134227</v>
      </c>
      <c r="J2" t="n">
        <v>45353.0800337268</v>
      </c>
      <c r="K2" t="n">
        <v>45360.61361791695</v>
      </c>
      <c r="L2" t="n">
        <v>48300.74778957923</v>
      </c>
      <c r="M2" t="n">
        <v>50462.61777530038</v>
      </c>
      <c r="N2" t="n">
        <v>51681.03234064477</v>
      </c>
      <c r="O2" t="n">
        <v>51506.40350358545</v>
      </c>
      <c r="P2" t="n">
        <v>52624.81803597939</v>
      </c>
      <c r="Q2" t="n">
        <v>55228.20202592899</v>
      </c>
      <c r="R2" t="n">
        <v>53482.36133950211</v>
      </c>
      <c r="S2" t="n">
        <v>58750.74407098013</v>
      </c>
      <c r="T2" t="n">
        <v>58588.02553627376</v>
      </c>
      <c r="U2" t="n">
        <v>58742.29926717988</v>
      </c>
      <c r="V2" t="n">
        <v>56961.09686101312</v>
      </c>
      <c r="W2" t="n">
        <v>56075.44641832796</v>
      </c>
      <c r="X2" t="n">
        <v>58852.66326331355</v>
      </c>
      <c r="Y2" t="n">
        <v>62263.47948612532</v>
      </c>
      <c r="Z2" t="n">
        <v>60786.47471592598</v>
      </c>
      <c r="AA2" t="n">
        <v>60399.71777727219</v>
      </c>
      <c r="AB2" t="n">
        <v>69638.68957226025</v>
      </c>
      <c r="AC2" t="n">
        <v>68856.8069084517</v>
      </c>
      <c r="AD2" t="n">
        <v>69737.09596880477</v>
      </c>
      <c r="AE2" t="n">
        <v>70280.70200201102</v>
      </c>
      <c r="AF2" t="n">
        <v>72177.73128503423</v>
      </c>
      <c r="AG2" t="n">
        <v>73158.19867719349</v>
      </c>
      <c r="AH2" t="n">
        <v>73173.61124958949</v>
      </c>
      <c r="AI2" t="n">
        <v>74464.20968859072</v>
      </c>
      <c r="AJ2" t="n">
        <v>73547.4024563283</v>
      </c>
      <c r="AK2" t="n">
        <v>74587.44832457317</v>
      </c>
      <c r="AL2" t="n">
        <v>74719.00507601726</v>
      </c>
      <c r="AM2" t="n">
        <v>75618.6549319928</v>
      </c>
      <c r="AN2" t="n">
        <v>74196.06004710899</v>
      </c>
      <c r="AO2" t="n">
        <v>75618.96015965735</v>
      </c>
      <c r="AP2" t="n">
        <v>79159.85391933467</v>
      </c>
      <c r="AQ2" t="n">
        <v>73126.39063253529</v>
      </c>
      <c r="AR2" t="n">
        <v>73444.22001881609</v>
      </c>
      <c r="AS2" t="n">
        <v>77334.76954112363</v>
      </c>
      <c r="AT2" t="n">
        <v>75869.89634279175</v>
      </c>
      <c r="AU2" t="n">
        <v>77617.49260952293</v>
      </c>
      <c r="AV2" t="n">
        <v>76593.50982590164</v>
      </c>
      <c r="AW2" t="n">
        <v>80374.73154191791</v>
      </c>
      <c r="AX2" t="n">
        <v>79210.57885923756</v>
      </c>
      <c r="AY2" t="n">
        <v>76984.40951486437</v>
      </c>
      <c r="AZ2" t="n">
        <v>80708.04847840172</v>
      </c>
      <c r="BA2" t="n">
        <v>79724.53943400572</v>
      </c>
      <c r="BB2" t="n">
        <v>78394.56939138639</v>
      </c>
      <c r="BC2" t="n">
        <v>80503.511</v>
      </c>
      <c r="BD2" t="n">
        <v>82678.533</v>
      </c>
      <c r="BE2" t="n">
        <v>81481.01820091688</v>
      </c>
    </row>
    <row r="3">
      <c r="A3" s="13" t="inlineStr">
        <is>
          <t>100010</t>
        </is>
      </c>
      <c r="B3" t="n">
        <v>19603.63683193998</v>
      </c>
      <c r="C3" t="n">
        <v>20162.5521746072</v>
      </c>
      <c r="D3" t="n">
        <v>19600.34905847749</v>
      </c>
      <c r="E3" t="n">
        <v>20860.73097026376</v>
      </c>
      <c r="F3" t="n">
        <v>21652.48063433104</v>
      </c>
      <c r="G3" t="n">
        <v>21811.72570832116</v>
      </c>
      <c r="H3" t="n">
        <v>21771.59403183487</v>
      </c>
      <c r="I3" t="n">
        <v>22881.5404203523</v>
      </c>
      <c r="J3" t="n">
        <v>21700.69366958584</v>
      </c>
      <c r="K3" t="n">
        <v>21738.22996311013</v>
      </c>
      <c r="L3" t="n">
        <v>23706.52237351822</v>
      </c>
      <c r="M3" t="n">
        <v>24543.49374668892</v>
      </c>
      <c r="N3" t="n">
        <v>30503.41353972345</v>
      </c>
      <c r="O3" t="n">
        <v>32114.0658325355</v>
      </c>
      <c r="P3" t="n">
        <v>32819.61971219418</v>
      </c>
      <c r="Q3" t="n">
        <v>29452.20945684213</v>
      </c>
      <c r="R3" t="n">
        <v>26717.60717869418</v>
      </c>
      <c r="S3" t="n">
        <v>27249.07573036793</v>
      </c>
      <c r="T3" t="n">
        <v>30407.82424951304</v>
      </c>
      <c r="U3" t="n">
        <v>33466.51581261401</v>
      </c>
      <c r="V3" t="n">
        <v>33552.05770000067</v>
      </c>
      <c r="W3" t="n">
        <v>33140.37686247854</v>
      </c>
      <c r="X3" t="n">
        <v>31472.52682624612</v>
      </c>
      <c r="Y3" t="n">
        <v>33958.4299060744</v>
      </c>
      <c r="Z3" t="n">
        <v>33567.6820882579</v>
      </c>
      <c r="AA3" t="n">
        <v>36548.96522316332</v>
      </c>
      <c r="AB3" t="n">
        <v>41661.64641546831</v>
      </c>
      <c r="AC3" t="n">
        <v>45997.89748352006</v>
      </c>
      <c r="AD3" t="n">
        <v>38506.19447695408</v>
      </c>
      <c r="AE3" t="n">
        <v>36861.10280655982</v>
      </c>
      <c r="AF3" t="n">
        <v>38258.22619947234</v>
      </c>
      <c r="AG3" t="n">
        <v>43120.78071497617</v>
      </c>
      <c r="AH3" t="n">
        <v>42765.43219728126</v>
      </c>
      <c r="AI3" t="n">
        <v>41046.32462540023</v>
      </c>
      <c r="AJ3" t="n">
        <v>41829.72937895845</v>
      </c>
      <c r="AK3" t="n">
        <v>40178.00575027013</v>
      </c>
      <c r="AL3" t="n">
        <v>41397.6641286122</v>
      </c>
      <c r="AM3" t="n">
        <v>41559.69323019918</v>
      </c>
      <c r="AN3" t="n">
        <v>41156.7827418121</v>
      </c>
      <c r="AO3" t="n">
        <v>40168.83649287149</v>
      </c>
      <c r="AP3" t="n">
        <v>39629.85831757769</v>
      </c>
      <c r="AQ3" t="n">
        <v>39535.45447061264</v>
      </c>
      <c r="AR3" t="n">
        <v>41178.77559646888</v>
      </c>
      <c r="AS3" t="n">
        <v>40912.15856678927</v>
      </c>
      <c r="AT3" t="n">
        <v>41991.46517200417</v>
      </c>
      <c r="AU3" t="n">
        <v>40441.43382200778</v>
      </c>
      <c r="AV3" t="n">
        <v>40083.90940361048</v>
      </c>
      <c r="AW3" t="n">
        <v>40146.46187080869</v>
      </c>
      <c r="AX3" t="n">
        <v>40967.35251756584</v>
      </c>
      <c r="AY3" t="n">
        <v>40700.13752485261</v>
      </c>
      <c r="AZ3" t="n">
        <v>41359.72032559211</v>
      </c>
      <c r="BA3" t="n">
        <v>41163.58376300531</v>
      </c>
      <c r="BB3" t="n">
        <v>42404.42832040892</v>
      </c>
      <c r="BC3" t="n">
        <v>45302.133</v>
      </c>
      <c r="BD3" t="n">
        <v>49544.273</v>
      </c>
      <c r="BE3" t="n">
        <v>47077.79365544976</v>
      </c>
    </row>
    <row r="4">
      <c r="A4" s="13" t="inlineStr">
        <is>
          <t>100030</t>
        </is>
      </c>
      <c r="B4" t="n">
        <v>23308.21755114792</v>
      </c>
      <c r="C4" t="n">
        <v>23349.03121599301</v>
      </c>
      <c r="D4" t="n">
        <v>22452.47527109168</v>
      </c>
      <c r="E4" t="n">
        <v>22045.54612719917</v>
      </c>
      <c r="F4" t="n">
        <v>21902.39963262313</v>
      </c>
      <c r="G4" t="n">
        <v>23446.45123621228</v>
      </c>
      <c r="H4" t="n">
        <v>25018.05052348703</v>
      </c>
      <c r="I4" t="n">
        <v>26029.25267379481</v>
      </c>
      <c r="J4" t="n">
        <v>25974.33553420749</v>
      </c>
      <c r="K4" t="n">
        <v>27360.28973270855</v>
      </c>
      <c r="L4" t="n">
        <v>28510.65279544465</v>
      </c>
      <c r="M4" t="n">
        <v>30345.83431307468</v>
      </c>
      <c r="N4" t="n">
        <v>30337.18483941409</v>
      </c>
      <c r="O4" t="n">
        <v>30745.60052093299</v>
      </c>
      <c r="P4" t="n">
        <v>30305.22763505554</v>
      </c>
      <c r="Q4" t="n">
        <v>31437.55513322796</v>
      </c>
      <c r="R4" t="n">
        <v>32448.68725183413</v>
      </c>
      <c r="S4" t="n">
        <v>31365.86200275807</v>
      </c>
      <c r="T4" t="n">
        <v>30634.94626289542</v>
      </c>
      <c r="U4" t="n">
        <v>30995.16031140718</v>
      </c>
      <c r="V4" t="n">
        <v>30284.49877402331</v>
      </c>
      <c r="W4" t="n">
        <v>30056.35115480689</v>
      </c>
      <c r="X4" t="n">
        <v>30854.01726901595</v>
      </c>
      <c r="Y4" t="n">
        <v>30976.74541301676</v>
      </c>
      <c r="Z4" t="n">
        <v>30345.77740298752</v>
      </c>
      <c r="AA4" t="n">
        <v>29933.08630174665</v>
      </c>
      <c r="AB4" t="n">
        <v>30205.02970679555</v>
      </c>
      <c r="AC4" t="n">
        <v>27872.96673960245</v>
      </c>
      <c r="AD4" t="n">
        <v>29157.80019350685</v>
      </c>
      <c r="AE4" t="n">
        <v>27898.94563092601</v>
      </c>
      <c r="AF4" t="n">
        <v>28237.71673989747</v>
      </c>
      <c r="AG4" t="n">
        <v>28196.68975225545</v>
      </c>
      <c r="AH4" t="n">
        <v>27691.88802539984</v>
      </c>
      <c r="AI4" t="n">
        <v>28237.44867846906</v>
      </c>
      <c r="AJ4" t="n">
        <v>29226.30868919079</v>
      </c>
      <c r="AK4" t="n">
        <v>28304.96885839945</v>
      </c>
      <c r="AL4" t="n">
        <v>29583.59239203902</v>
      </c>
      <c r="AM4" t="n">
        <v>29630.84835538164</v>
      </c>
      <c r="AN4" t="n">
        <v>32097.64738778347</v>
      </c>
      <c r="AO4" t="n">
        <v>33050.2951178239</v>
      </c>
      <c r="AP4" t="n">
        <v>31604.09190954132</v>
      </c>
      <c r="AQ4" t="n">
        <v>32137.71746317747</v>
      </c>
      <c r="AR4" t="n">
        <v>31767.82445695266</v>
      </c>
      <c r="AS4" t="n">
        <v>31699.51910158608</v>
      </c>
      <c r="AT4" t="n">
        <v>34922.02154548042</v>
      </c>
      <c r="AU4" t="n">
        <v>36078.32411142794</v>
      </c>
      <c r="AV4" t="n">
        <v>35320.57210085171</v>
      </c>
      <c r="AW4" t="n">
        <v>36124.20538589794</v>
      </c>
      <c r="AX4" t="n">
        <v>35608.1128630693</v>
      </c>
      <c r="AY4" t="n">
        <v>36399.12044837631</v>
      </c>
      <c r="AZ4" t="n">
        <v>39447.42611412272</v>
      </c>
      <c r="BA4" t="n">
        <v>37989.20027245504</v>
      </c>
      <c r="BB4" t="n">
        <v>39920.75228735413</v>
      </c>
      <c r="BC4" t="n">
        <v>41925.241</v>
      </c>
      <c r="BD4" t="n">
        <v>42596.809</v>
      </c>
      <c r="BE4" t="n">
        <v>46862.17646652496</v>
      </c>
    </row>
    <row r="5">
      <c r="A5" s="13" t="inlineStr">
        <is>
          <t>100040x100050</t>
        </is>
      </c>
      <c r="B5" t="n">
        <v>24863.69716260804</v>
      </c>
      <c r="C5" t="n">
        <v>25574.32136441977</v>
      </c>
      <c r="D5" t="n">
        <v>26091.8525367078</v>
      </c>
      <c r="E5" t="n">
        <v>27370.55857655803</v>
      </c>
      <c r="F5" t="n">
        <v>28252.74652162694</v>
      </c>
      <c r="G5" t="n">
        <v>28717.03694710488</v>
      </c>
      <c r="H5" t="n">
        <v>29114.56698715281</v>
      </c>
      <c r="I5" t="n">
        <v>29612.32342856753</v>
      </c>
      <c r="J5" t="n">
        <v>28336.30429554662</v>
      </c>
      <c r="K5" t="n">
        <v>30139.05467338118</v>
      </c>
      <c r="L5" t="n">
        <v>31413.93056519921</v>
      </c>
      <c r="M5" t="n">
        <v>32561.90463313656</v>
      </c>
      <c r="N5" t="n">
        <v>32822.04703182091</v>
      </c>
      <c r="O5" t="n">
        <v>33641.37133398082</v>
      </c>
      <c r="P5" t="n">
        <v>33058.29883100453</v>
      </c>
      <c r="Q5" t="n">
        <v>33832.92087152164</v>
      </c>
      <c r="R5" t="n">
        <v>34708.71049368349</v>
      </c>
      <c r="S5" t="n">
        <v>35106.02423601778</v>
      </c>
      <c r="T5" t="n">
        <v>37091.9759613022</v>
      </c>
      <c r="U5" t="n">
        <v>38043.29723916308</v>
      </c>
      <c r="V5" t="n">
        <v>36666.07352056699</v>
      </c>
      <c r="W5" t="n">
        <v>37337.59208147657</v>
      </c>
      <c r="X5" t="n">
        <v>39058.83828892034</v>
      </c>
      <c r="Y5" t="n">
        <v>40680.8224726656</v>
      </c>
      <c r="Z5" t="n">
        <v>41036.67251914683</v>
      </c>
      <c r="AA5" t="n">
        <v>41065.70343689673</v>
      </c>
      <c r="AB5" t="n">
        <v>42926.61944022945</v>
      </c>
      <c r="AC5" t="n">
        <v>41498.47601712874</v>
      </c>
      <c r="AD5" t="n">
        <v>46373.21810440102</v>
      </c>
      <c r="AE5" t="n">
        <v>44764.9846028922</v>
      </c>
      <c r="AF5" t="n">
        <v>44235.12217866389</v>
      </c>
      <c r="AG5" t="n">
        <v>44765.00290721965</v>
      </c>
      <c r="AH5" t="n">
        <v>44976.29056878944</v>
      </c>
      <c r="AI5" t="n">
        <v>45387.54542095875</v>
      </c>
      <c r="AJ5" t="n">
        <v>46689.86021658341</v>
      </c>
      <c r="AK5" t="n">
        <v>51898.16202373024</v>
      </c>
      <c r="AL5" t="n">
        <v>50892.61972103744</v>
      </c>
      <c r="AM5" t="n">
        <v>53832.5167954852</v>
      </c>
      <c r="AN5" t="n">
        <v>55453.56964732915</v>
      </c>
      <c r="AO5" t="n">
        <v>54361.67507688769</v>
      </c>
      <c r="AP5" t="n">
        <v>55384.35737352465</v>
      </c>
      <c r="AQ5" t="n">
        <v>54436.71156123425</v>
      </c>
      <c r="AR5" t="n">
        <v>47572.69933014209</v>
      </c>
      <c r="AS5" t="n">
        <v>44358.08001274297</v>
      </c>
      <c r="AT5" t="n">
        <v>43377.98809101662</v>
      </c>
      <c r="AU5" t="n">
        <v>41462.98285054174</v>
      </c>
      <c r="AV5" t="n">
        <v>43634.44374299672</v>
      </c>
      <c r="AW5" t="n">
        <v>43737.46637006738</v>
      </c>
      <c r="AX5" t="n">
        <v>46185.73595040638</v>
      </c>
      <c r="AY5" t="n">
        <v>48390.81457518695</v>
      </c>
      <c r="AZ5" t="n">
        <v>49333.02504173759</v>
      </c>
      <c r="BA5" t="n">
        <v>50453.61036235432</v>
      </c>
      <c r="BB5" t="n">
        <v>51033.63366946347</v>
      </c>
      <c r="BC5" t="n">
        <v>52160.771</v>
      </c>
      <c r="BD5" t="n">
        <v>50247.84</v>
      </c>
      <c r="BE5" t="n">
        <v>51593.74222997113</v>
      </c>
    </row>
    <row r="6">
      <c r="A6" s="13" t="inlineStr">
        <is>
          <t>REST</t>
        </is>
      </c>
      <c r="B6" t="n">
        <v>1126140.749333304</v>
      </c>
      <c r="C6" t="n">
        <v>1169959.106572009</v>
      </c>
      <c r="D6" t="n">
        <v>1263696.252894371</v>
      </c>
      <c r="E6" t="n">
        <v>1317513.664348292</v>
      </c>
      <c r="F6" t="n">
        <v>1345389.028667206</v>
      </c>
      <c r="G6" t="n">
        <v>1412406.383838666</v>
      </c>
      <c r="H6" t="n">
        <v>1478856.314032203</v>
      </c>
      <c r="I6" t="n">
        <v>1450913.067041115</v>
      </c>
      <c r="J6" t="n">
        <v>1419212.035606025</v>
      </c>
      <c r="K6" t="n">
        <v>1529632.06020391</v>
      </c>
      <c r="L6" t="n">
        <v>1549707.286966999</v>
      </c>
      <c r="M6" t="n">
        <v>1588498.773581462</v>
      </c>
      <c r="N6" t="n">
        <v>1649089.100278489</v>
      </c>
      <c r="O6" t="n">
        <v>1637534.97123329</v>
      </c>
      <c r="P6" t="n">
        <v>1607018.180599018</v>
      </c>
      <c r="Q6" t="n">
        <v>1646652.376634092</v>
      </c>
      <c r="R6" t="n">
        <v>1685956.546533872</v>
      </c>
      <c r="S6" t="n">
        <v>1777204.262942174</v>
      </c>
      <c r="T6" t="n">
        <v>1868522.005898592</v>
      </c>
      <c r="U6" t="n">
        <v>1991395.665798984</v>
      </c>
      <c r="V6" t="n">
        <v>2027532.340504428</v>
      </c>
      <c r="W6" t="n">
        <v>2056059.700399354</v>
      </c>
      <c r="X6" t="n">
        <v>2064248.220618908</v>
      </c>
      <c r="Y6" t="n">
        <v>2094915.859949913</v>
      </c>
      <c r="Z6" t="n">
        <v>2117342.929387332</v>
      </c>
      <c r="AA6" t="n">
        <v>2149198.50161187</v>
      </c>
      <c r="AB6" t="n">
        <v>2156220.344170518</v>
      </c>
      <c r="AC6" t="n">
        <v>2272527.081074037</v>
      </c>
      <c r="AD6" t="n">
        <v>2359548.703765044</v>
      </c>
      <c r="AE6" t="n">
        <v>2440245.573448279</v>
      </c>
      <c r="AF6" t="n">
        <v>2519153.836801069</v>
      </c>
      <c r="AG6" t="n">
        <v>2589693.675241747</v>
      </c>
      <c r="AH6" t="n">
        <v>2706345.466944636</v>
      </c>
      <c r="AI6" t="n">
        <v>2848898.065181807</v>
      </c>
      <c r="AJ6" t="n">
        <v>2921460.34192703</v>
      </c>
      <c r="AK6" t="n">
        <v>2953824.117741488</v>
      </c>
      <c r="AL6" t="n">
        <v>2958892.829216063</v>
      </c>
      <c r="AM6" t="n">
        <v>3027295.698245952</v>
      </c>
      <c r="AN6" t="n">
        <v>3197352.452956594</v>
      </c>
      <c r="AO6" t="n">
        <v>3379596.797854854</v>
      </c>
      <c r="AP6" t="n">
        <v>3482958.491653688</v>
      </c>
      <c r="AQ6" t="n">
        <v>3520620.60580828</v>
      </c>
      <c r="AR6" t="n">
        <v>3286094.445703852</v>
      </c>
      <c r="AS6" t="n">
        <v>3288710.23781415</v>
      </c>
      <c r="AT6" t="n">
        <v>3375239.79970203</v>
      </c>
      <c r="AU6" t="n">
        <v>3404100.012040557</v>
      </c>
      <c r="AV6" t="n">
        <v>3409132.39299558</v>
      </c>
      <c r="AW6" t="n">
        <v>3480020.967795389</v>
      </c>
      <c r="AX6" t="n">
        <v>3569228.546122739</v>
      </c>
      <c r="AY6" t="n">
        <v>3704226.654171731</v>
      </c>
      <c r="AZ6" t="n">
        <v>3798775.106109553</v>
      </c>
      <c r="BA6" t="n">
        <v>3874168.742256112</v>
      </c>
      <c r="BB6" t="n">
        <v>3934204.77879855</v>
      </c>
      <c r="BC6" t="n">
        <v>3835539.973</v>
      </c>
      <c r="BD6" t="n">
        <v>4087541.079</v>
      </c>
      <c r="BE6" t="n">
        <v>4203685.833986226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B45" sqref="B45"/>
    </sheetView>
  </sheetViews>
  <sheetFormatPr baseColWidth="8" defaultRowHeight="14.25"/>
  <sheetData>
    <row r="1" ht="15" customHeight="1" s="6">
      <c r="A1" s="7" t="inlineStr">
        <is>
          <t>ANVENDELSE</t>
        </is>
      </c>
      <c r="B1" s="7" t="n">
        <v>1967</v>
      </c>
      <c r="C1" s="7" t="n">
        <v>1968</v>
      </c>
      <c r="D1" s="7" t="n">
        <v>1969</v>
      </c>
      <c r="E1" s="7" t="n">
        <v>1970</v>
      </c>
      <c r="F1" s="7" t="n">
        <v>1971</v>
      </c>
      <c r="G1" s="7" t="n">
        <v>1972</v>
      </c>
      <c r="H1" s="7" t="n">
        <v>1973</v>
      </c>
      <c r="I1" s="7" t="n">
        <v>1974</v>
      </c>
      <c r="J1" s="7" t="n">
        <v>1975</v>
      </c>
      <c r="K1" s="7" t="n">
        <v>1976</v>
      </c>
      <c r="L1" s="7" t="n">
        <v>1977</v>
      </c>
      <c r="M1" s="7" t="n">
        <v>1978</v>
      </c>
      <c r="N1" s="7" t="n">
        <v>1979</v>
      </c>
      <c r="O1" s="7" t="n">
        <v>1980</v>
      </c>
      <c r="P1" s="7" t="n">
        <v>1981</v>
      </c>
      <c r="Q1" s="7" t="n">
        <v>1982</v>
      </c>
      <c r="R1" s="7" t="n">
        <v>1983</v>
      </c>
      <c r="S1" s="7" t="n">
        <v>1984</v>
      </c>
      <c r="T1" s="7" t="n">
        <v>1985</v>
      </c>
      <c r="U1" s="7" t="n">
        <v>1986</v>
      </c>
      <c r="V1" s="7" t="n">
        <v>1987</v>
      </c>
      <c r="W1" s="7" t="n">
        <v>1988</v>
      </c>
      <c r="X1" s="7" t="n">
        <v>1989</v>
      </c>
      <c r="Y1" s="7" t="n">
        <v>1990</v>
      </c>
      <c r="Z1" s="7" t="n">
        <v>1991</v>
      </c>
      <c r="AA1" s="7" t="n">
        <v>1992</v>
      </c>
      <c r="AB1" s="7" t="n">
        <v>1993</v>
      </c>
      <c r="AC1" s="7" t="n">
        <v>1994</v>
      </c>
      <c r="AD1" s="7" t="n">
        <v>1995</v>
      </c>
      <c r="AE1" s="7" t="n">
        <v>1996</v>
      </c>
      <c r="AF1" s="7" t="n">
        <v>1997</v>
      </c>
      <c r="AG1" s="7" t="n">
        <v>1998</v>
      </c>
      <c r="AH1" s="7" t="n">
        <v>1999</v>
      </c>
      <c r="AI1" s="7" t="n">
        <v>2000</v>
      </c>
      <c r="AJ1" s="7" t="n">
        <v>2001</v>
      </c>
      <c r="AK1" s="7" t="n">
        <v>2002</v>
      </c>
      <c r="AL1" s="7" t="n">
        <v>2003</v>
      </c>
      <c r="AM1" s="7" t="n">
        <v>2004</v>
      </c>
      <c r="AN1" s="7" t="n">
        <v>2005</v>
      </c>
      <c r="AO1" s="7" t="n">
        <v>2006</v>
      </c>
      <c r="AP1" s="7" t="n">
        <v>2007</v>
      </c>
      <c r="AQ1" s="7" t="n">
        <v>2008</v>
      </c>
      <c r="AR1" s="7" t="n">
        <v>2009</v>
      </c>
      <c r="AS1" s="7" t="n">
        <v>2010</v>
      </c>
      <c r="AT1" s="7" t="n">
        <v>2011</v>
      </c>
      <c r="AU1" s="7" t="n">
        <v>2012</v>
      </c>
      <c r="AV1" s="7" t="n">
        <v>2013</v>
      </c>
      <c r="AW1" s="7" t="n">
        <v>2014</v>
      </c>
      <c r="AX1" s="7" t="n">
        <v>2015</v>
      </c>
      <c r="AY1" s="7" t="n">
        <v>2016</v>
      </c>
      <c r="AZ1" s="7" t="n">
        <v>2017</v>
      </c>
      <c r="BA1" s="7" t="n">
        <v>2018</v>
      </c>
      <c r="BB1" s="7" t="n">
        <v>2019</v>
      </c>
      <c r="BC1" s="7" t="n">
        <v>2020</v>
      </c>
      <c r="BD1" s="7" t="n">
        <v>2021</v>
      </c>
      <c r="BE1" s="7" t="n">
        <v>2022</v>
      </c>
    </row>
    <row r="2" ht="15" customHeight="1" s="6">
      <c r="A2" s="7" t="inlineStr">
        <is>
          <t>010000</t>
        </is>
      </c>
    </row>
    <row r="3" ht="15" customHeight="1" s="6">
      <c r="A3" s="7" t="inlineStr">
        <is>
          <t>100010</t>
        </is>
      </c>
      <c r="AB3" s="8" t="n">
        <v>4952</v>
      </c>
      <c r="AC3" s="8" t="n">
        <v>5232</v>
      </c>
      <c r="AD3" s="8" t="n">
        <v>4697</v>
      </c>
      <c r="AE3" s="8" t="n">
        <v>4445</v>
      </c>
      <c r="AF3" s="8" t="n">
        <v>4623</v>
      </c>
      <c r="AG3" s="8" t="n">
        <v>5792</v>
      </c>
      <c r="AH3" s="8" t="n">
        <v>6517</v>
      </c>
      <c r="AI3" s="8" t="n">
        <v>5228</v>
      </c>
      <c r="AJ3" s="8" t="n">
        <v>6208</v>
      </c>
      <c r="AK3" s="8" t="n">
        <v>4228</v>
      </c>
      <c r="AL3" s="8" t="n">
        <v>4634</v>
      </c>
      <c r="AM3" s="8" t="n">
        <v>5063</v>
      </c>
      <c r="AN3" s="8" t="n">
        <v>4437</v>
      </c>
      <c r="AO3" s="8" t="n">
        <v>4565</v>
      </c>
      <c r="AP3" s="8" t="n">
        <v>3695</v>
      </c>
      <c r="AQ3" s="8" t="n">
        <v>3846</v>
      </c>
      <c r="AR3" s="8" t="n">
        <v>4123</v>
      </c>
      <c r="AS3" s="8" t="n">
        <v>4204</v>
      </c>
      <c r="AT3" s="8" t="n">
        <v>4516</v>
      </c>
      <c r="AU3" s="8" t="n">
        <v>5518</v>
      </c>
      <c r="AV3" s="8" t="n">
        <v>4573</v>
      </c>
      <c r="AW3" s="8" t="n">
        <v>4150</v>
      </c>
      <c r="AX3" s="8" t="n">
        <v>4554</v>
      </c>
      <c r="AY3" s="8" t="n">
        <v>5025</v>
      </c>
      <c r="AZ3" s="8" t="n">
        <v>5227</v>
      </c>
      <c r="BA3" s="8" t="n">
        <v>4407</v>
      </c>
      <c r="BB3" s="8" t="n">
        <v>5959</v>
      </c>
      <c r="BC3" s="8" t="n">
        <v>7838</v>
      </c>
      <c r="BD3" s="8" t="n">
        <v>6937</v>
      </c>
      <c r="BE3" s="8" t="n">
        <v>5319</v>
      </c>
    </row>
    <row r="4" ht="15" customHeight="1" s="6">
      <c r="A4" s="7" t="inlineStr">
        <is>
          <t>100030</t>
        </is>
      </c>
      <c r="AB4" s="8" t="n">
        <v>6102</v>
      </c>
      <c r="AC4" s="8" t="n">
        <v>6452</v>
      </c>
      <c r="AD4" s="8" t="n">
        <v>8025</v>
      </c>
      <c r="AE4" s="8" t="n">
        <v>8198</v>
      </c>
      <c r="AF4" s="8" t="n">
        <v>9104</v>
      </c>
      <c r="AG4" s="8" t="n">
        <v>7515</v>
      </c>
      <c r="AH4" s="8" t="n">
        <v>7009</v>
      </c>
      <c r="AI4" s="8" t="n">
        <v>9066</v>
      </c>
      <c r="AJ4" s="8" t="n">
        <v>8496</v>
      </c>
      <c r="AK4" s="8" t="n">
        <v>8627</v>
      </c>
      <c r="AL4" s="8" t="n">
        <v>8145</v>
      </c>
      <c r="AM4" s="8" t="n">
        <v>7415</v>
      </c>
      <c r="AN4" s="8" t="n">
        <v>7294</v>
      </c>
      <c r="AO4" s="8" t="n">
        <v>6784</v>
      </c>
      <c r="AP4" s="8" t="n">
        <v>7179</v>
      </c>
      <c r="AQ4" s="8" t="n">
        <v>7822</v>
      </c>
      <c r="AR4" s="8" t="n">
        <v>5640</v>
      </c>
      <c r="AS4" s="8" t="n">
        <v>7133</v>
      </c>
      <c r="AT4" s="8" t="n">
        <v>7810</v>
      </c>
      <c r="AU4" s="8" t="n">
        <v>8030</v>
      </c>
      <c r="AV4" s="8" t="n">
        <v>7841</v>
      </c>
      <c r="AW4" s="8" t="n">
        <v>9238</v>
      </c>
      <c r="AX4" s="8" t="n">
        <v>6960</v>
      </c>
      <c r="AY4" s="8" t="n">
        <v>5964</v>
      </c>
      <c r="AZ4" s="8" t="n">
        <v>8153</v>
      </c>
      <c r="BA4" s="8" t="n">
        <v>5731</v>
      </c>
      <c r="BB4" s="8" t="n">
        <v>6505</v>
      </c>
      <c r="BC4" s="8" t="n">
        <v>4959</v>
      </c>
      <c r="BD4" s="8" t="n">
        <v>7505</v>
      </c>
      <c r="BE4" s="8" t="n">
        <v>12836</v>
      </c>
    </row>
    <row r="5" ht="15" customHeight="1" s="6">
      <c r="A5" s="7" t="inlineStr">
        <is>
          <t>100040x100050</t>
        </is>
      </c>
    </row>
    <row r="6" ht="15" customHeight="1" s="6">
      <c r="A6" s="7" t="inlineStr">
        <is>
          <t>REST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39152.71002249002</v>
      </c>
      <c r="C2" t="n">
        <v>38644.57944161462</v>
      </c>
      <c r="D2" t="n">
        <v>37593.99898774308</v>
      </c>
      <c r="E2" t="n">
        <v>39471.60798440901</v>
      </c>
      <c r="F2" t="n">
        <v>39983.95791177826</v>
      </c>
      <c r="G2" t="n">
        <v>39962.84606766945</v>
      </c>
      <c r="H2" t="n">
        <v>43196.78869045759</v>
      </c>
      <c r="I2" t="n">
        <v>40618.77336290866</v>
      </c>
      <c r="J2" t="n">
        <v>41177.92019221152</v>
      </c>
      <c r="K2" t="n">
        <v>45043.07579281424</v>
      </c>
      <c r="L2" t="n">
        <v>44512.09560408799</v>
      </c>
      <c r="M2" t="n">
        <v>47524.47802629076</v>
      </c>
      <c r="N2" t="n">
        <v>49973.07832650207</v>
      </c>
      <c r="O2" t="n">
        <v>48724.64053946952</v>
      </c>
      <c r="P2" t="n">
        <v>47705.37341398866</v>
      </c>
      <c r="Q2" t="n">
        <v>48742.20360849392</v>
      </c>
      <c r="R2" t="n">
        <v>49273.51953329335</v>
      </c>
      <c r="S2" t="n">
        <v>49171.62903799629</v>
      </c>
      <c r="T2" t="n">
        <v>50048.24883874025</v>
      </c>
      <c r="U2" t="n">
        <v>48849.04779765717</v>
      </c>
      <c r="V2" t="n">
        <v>51120.16441452051</v>
      </c>
      <c r="W2" t="n">
        <v>47929.28394037642</v>
      </c>
      <c r="X2" t="n">
        <v>46710.2361110924</v>
      </c>
      <c r="Y2" t="n">
        <v>48390.39522287248</v>
      </c>
      <c r="Z2" t="n">
        <v>46706.77559350344</v>
      </c>
      <c r="AA2" t="n">
        <v>48446.54377628132</v>
      </c>
      <c r="AB2" t="n">
        <v>53349.78436848677</v>
      </c>
      <c r="AC2" t="n">
        <v>51310.25404865656</v>
      </c>
      <c r="AD2" t="n">
        <v>50096.22109098922</v>
      </c>
      <c r="AE2" t="n">
        <v>49299.256149811</v>
      </c>
      <c r="AF2" t="n">
        <v>51004.66298772384</v>
      </c>
      <c r="AG2" t="n">
        <v>52245.84389568448</v>
      </c>
      <c r="AH2" t="n">
        <v>53060.67632074969</v>
      </c>
      <c r="AI2" t="n">
        <v>51363.35621985114</v>
      </c>
      <c r="AJ2" t="n">
        <v>49570.22692264185</v>
      </c>
      <c r="AK2" t="n">
        <v>51730.59719389271</v>
      </c>
      <c r="AL2" t="n">
        <v>50328.91502137189</v>
      </c>
      <c r="AM2" t="n">
        <v>50586.44941681641</v>
      </c>
      <c r="AN2" t="n">
        <v>49985.90717608878</v>
      </c>
      <c r="AO2" t="n">
        <v>50474.45418512043</v>
      </c>
      <c r="AP2" t="n">
        <v>50614.97873881719</v>
      </c>
      <c r="AQ2" t="n">
        <v>51279.06418866064</v>
      </c>
      <c r="AR2" t="n">
        <v>52129.89251164664</v>
      </c>
      <c r="AS2" t="n">
        <v>51106.49834640964</v>
      </c>
      <c r="AT2" t="n">
        <v>51930.22635326473</v>
      </c>
      <c r="AU2" t="n">
        <v>51124.06359658515</v>
      </c>
      <c r="AV2" t="n">
        <v>51953.22134068968</v>
      </c>
      <c r="AW2" t="n">
        <v>51251.33385048526</v>
      </c>
      <c r="AX2" t="n">
        <v>53805.73608996098</v>
      </c>
      <c r="AY2" t="n">
        <v>54100.571377851</v>
      </c>
      <c r="AZ2" t="n">
        <v>54613.03633684987</v>
      </c>
      <c r="BA2" t="n">
        <v>54309.94626287116</v>
      </c>
      <c r="BB2" t="n">
        <v>51547.50859603978</v>
      </c>
      <c r="BC2" t="n">
        <v>53402.835</v>
      </c>
      <c r="BD2" t="n">
        <v>53643.97011935231</v>
      </c>
      <c r="BE2" t="n">
        <v>54314.09689052912</v>
      </c>
    </row>
    <row r="3">
      <c r="A3" s="13" t="inlineStr">
        <is>
          <t>100010</t>
        </is>
      </c>
      <c r="B3" t="n">
        <v>22245.85888580404</v>
      </c>
      <c r="C3" t="n">
        <v>22147.11706331375</v>
      </c>
      <c r="D3" t="n">
        <v>21927.34494625724</v>
      </c>
      <c r="E3" t="n">
        <v>23045.51623504271</v>
      </c>
      <c r="F3" t="n">
        <v>23995.2301538073</v>
      </c>
      <c r="G3" t="n">
        <v>23665.97804335799</v>
      </c>
      <c r="H3" t="n">
        <v>23995.56125176267</v>
      </c>
      <c r="I3" t="n">
        <v>24619.58695617294</v>
      </c>
      <c r="J3" t="n">
        <v>23803.21833576467</v>
      </c>
      <c r="K3" t="n">
        <v>23963.37766320522</v>
      </c>
      <c r="L3" t="n">
        <v>24693.6331942174</v>
      </c>
      <c r="M3" t="n">
        <v>25622.58970731807</v>
      </c>
      <c r="N3" t="n">
        <v>30384.48422526559</v>
      </c>
      <c r="O3" t="n">
        <v>31717.54393922652</v>
      </c>
      <c r="P3" t="n">
        <v>32092.46405103772</v>
      </c>
      <c r="Q3" t="n">
        <v>29702.34843045515</v>
      </c>
      <c r="R3" t="n">
        <v>28215.90701946562</v>
      </c>
      <c r="S3" t="n">
        <v>28835.55570224768</v>
      </c>
      <c r="T3" t="n">
        <v>31261.99950794675</v>
      </c>
      <c r="U3" t="n">
        <v>33801.57279572851</v>
      </c>
      <c r="V3" t="n">
        <v>33828.64851010121</v>
      </c>
      <c r="W3" t="n">
        <v>32523.39693483684</v>
      </c>
      <c r="X3" t="n">
        <v>31250.42727727783</v>
      </c>
      <c r="Y3" t="n">
        <v>33503.90341535526</v>
      </c>
      <c r="Z3" t="n">
        <v>33988.96591025766</v>
      </c>
      <c r="AA3" t="n">
        <v>36175.36017398062</v>
      </c>
      <c r="AB3" t="n">
        <v>39564.10306052687</v>
      </c>
      <c r="AC3" t="n">
        <v>44110.46472909734</v>
      </c>
      <c r="AD3" t="n">
        <v>36319.24717707394</v>
      </c>
      <c r="AE3" t="n">
        <v>34878.11115649559</v>
      </c>
      <c r="AF3" t="n">
        <v>36226.7545318709</v>
      </c>
      <c r="AG3" t="n">
        <v>39672.32903061704</v>
      </c>
      <c r="AH3" t="n">
        <v>37871.49426550541</v>
      </c>
      <c r="AI3" t="n">
        <v>38197.30188462452</v>
      </c>
      <c r="AJ3" t="n">
        <v>37283.66628204416</v>
      </c>
      <c r="AK3" t="n">
        <v>38605.62583952108</v>
      </c>
      <c r="AL3" t="n">
        <v>39021.72475919211</v>
      </c>
      <c r="AM3" t="n">
        <v>37944.45067939582</v>
      </c>
      <c r="AN3" t="n">
        <v>38805.10783562579</v>
      </c>
      <c r="AO3" t="n">
        <v>37366.98969652729</v>
      </c>
      <c r="AP3" t="n">
        <v>38626.29577142792</v>
      </c>
      <c r="AQ3" t="n">
        <v>38070.91987680519</v>
      </c>
      <c r="AR3" t="n">
        <v>39359.60791479676</v>
      </c>
      <c r="AS3" t="n">
        <v>38842.965047477</v>
      </c>
      <c r="AT3" t="n">
        <v>39453.52518505546</v>
      </c>
      <c r="AU3" t="n">
        <v>36127.32395546</v>
      </c>
      <c r="AV3" t="n">
        <v>36821.82099571312</v>
      </c>
      <c r="AW3" t="n">
        <v>37391.10556095946</v>
      </c>
      <c r="AX3" t="n">
        <v>37725.57811057614</v>
      </c>
      <c r="AY3" t="n">
        <v>36750.75435389745</v>
      </c>
      <c r="AZ3" t="n">
        <v>37236.49935970844</v>
      </c>
      <c r="BA3" t="n">
        <v>37888.94988503213</v>
      </c>
      <c r="BB3" t="n">
        <v>36686.65767089824</v>
      </c>
      <c r="BC3" t="n">
        <v>37462.228</v>
      </c>
      <c r="BD3" t="n">
        <v>42600.80227399104</v>
      </c>
      <c r="BE3" t="n">
        <v>41846.37418696617</v>
      </c>
    </row>
    <row r="4">
      <c r="A4" s="13" t="inlineStr">
        <is>
          <t>100030</t>
        </is>
      </c>
      <c r="B4" t="n">
        <v>19378.44601285318</v>
      </c>
      <c r="C4" t="n">
        <v>19355.92017034502</v>
      </c>
      <c r="D4" t="n">
        <v>18697.13085442964</v>
      </c>
      <c r="E4" t="n">
        <v>18401.31364540432</v>
      </c>
      <c r="F4" t="n">
        <v>18811.86750893492</v>
      </c>
      <c r="G4" t="n">
        <v>20262.17309056946</v>
      </c>
      <c r="H4" t="n">
        <v>19705.79862539365</v>
      </c>
      <c r="I4" t="n">
        <v>20238.45524224995</v>
      </c>
      <c r="J4" t="n">
        <v>20749.75364062176</v>
      </c>
      <c r="K4" t="n">
        <v>22152.97849715097</v>
      </c>
      <c r="L4" t="n">
        <v>22798.19106310747</v>
      </c>
      <c r="M4" t="n">
        <v>23885.68116563692</v>
      </c>
      <c r="N4" t="n">
        <v>23122.243954056</v>
      </c>
      <c r="O4" t="n">
        <v>23699.84801096933</v>
      </c>
      <c r="P4" t="n">
        <v>23343.03300934684</v>
      </c>
      <c r="Q4" t="n">
        <v>24081.60089421613</v>
      </c>
      <c r="R4" t="n">
        <v>24928.72579866878</v>
      </c>
      <c r="S4" t="n">
        <v>24551.52728429181</v>
      </c>
      <c r="T4" t="n">
        <v>24082.93299778519</v>
      </c>
      <c r="U4" t="n">
        <v>24969.686757686</v>
      </c>
      <c r="V4" t="n">
        <v>24654.43833874676</v>
      </c>
      <c r="W4" t="n">
        <v>23146.86405199977</v>
      </c>
      <c r="X4" t="n">
        <v>23586.39408436363</v>
      </c>
      <c r="Y4" t="n">
        <v>24283.59518254599</v>
      </c>
      <c r="Z4" t="n">
        <v>23721.27094463432</v>
      </c>
      <c r="AA4" t="n">
        <v>23834.1868725999</v>
      </c>
      <c r="AB4" t="n">
        <v>25015.6236044468</v>
      </c>
      <c r="AC4" t="n">
        <v>22463.14727469654</v>
      </c>
      <c r="AD4" t="n">
        <v>22813.12099496948</v>
      </c>
      <c r="AE4" t="n">
        <v>21546.03433036459</v>
      </c>
      <c r="AF4" t="n">
        <v>21414.54717184532</v>
      </c>
      <c r="AG4" t="n">
        <v>22089.91854824326</v>
      </c>
      <c r="AH4" t="n">
        <v>21918.00249894304</v>
      </c>
      <c r="AI4" t="n">
        <v>21183.76680344664</v>
      </c>
      <c r="AJ4" t="n">
        <v>22500.16677727912</v>
      </c>
      <c r="AK4" t="n">
        <v>21590.97917912381</v>
      </c>
      <c r="AL4" t="n">
        <v>23175.91961516942</v>
      </c>
      <c r="AM4" t="n">
        <v>23727.67703706176</v>
      </c>
      <c r="AN4" t="n">
        <v>26243.29062860084</v>
      </c>
      <c r="AO4" t="n">
        <v>27668.71597831216</v>
      </c>
      <c r="AP4" t="n">
        <v>25967.83757986376</v>
      </c>
      <c r="AQ4" t="n">
        <v>25952.91248500736</v>
      </c>
      <c r="AR4" t="n">
        <v>26984.53380274079</v>
      </c>
      <c r="AS4" t="n">
        <v>25472.66522634864</v>
      </c>
      <c r="AT4" t="n">
        <v>28128.77956145297</v>
      </c>
      <c r="AU4" t="n">
        <v>29139.1968745826</v>
      </c>
      <c r="AV4" t="n">
        <v>28530.33018720545</v>
      </c>
      <c r="AW4" t="n">
        <v>28572.69542564609</v>
      </c>
      <c r="AX4" t="n">
        <v>29250.29646128731</v>
      </c>
      <c r="AY4" t="n">
        <v>31245.06122080054</v>
      </c>
      <c r="AZ4" t="n">
        <v>31740.88658948593</v>
      </c>
      <c r="BA4" t="n">
        <v>32045.8871695076</v>
      </c>
      <c r="BB4" t="n">
        <v>33276.31589171036</v>
      </c>
      <c r="BC4" t="n">
        <v>36964.21</v>
      </c>
      <c r="BD4" t="n">
        <v>35067.58704546819</v>
      </c>
      <c r="BE4" t="n">
        <v>35380.45691074129</v>
      </c>
    </row>
    <row r="5">
      <c r="A5" s="13" t="inlineStr">
        <is>
          <t>100040x100050</t>
        </is>
      </c>
      <c r="B5" t="n">
        <v>13022.93557750796</v>
      </c>
      <c r="C5" t="n">
        <v>14197.97685572109</v>
      </c>
      <c r="D5" t="n">
        <v>14374.39244089797</v>
      </c>
      <c r="E5" t="n">
        <v>15654.83086457752</v>
      </c>
      <c r="F5" t="n">
        <v>16809.34766266679</v>
      </c>
      <c r="G5" t="n">
        <v>16870.36361504808</v>
      </c>
      <c r="H5" t="n">
        <v>17348.58490031312</v>
      </c>
      <c r="I5" t="n">
        <v>18064.47910456444</v>
      </c>
      <c r="J5" t="n">
        <v>17137.55672308041</v>
      </c>
      <c r="K5" t="n">
        <v>18638.2173249914</v>
      </c>
      <c r="L5" t="n">
        <v>19461.33288983604</v>
      </c>
      <c r="M5" t="n">
        <v>20984.63416375424</v>
      </c>
      <c r="N5" t="n">
        <v>23195.64911345206</v>
      </c>
      <c r="O5" t="n">
        <v>24429.86217209445</v>
      </c>
      <c r="P5" t="n">
        <v>24123.49039333249</v>
      </c>
      <c r="Q5" t="n">
        <v>22972.2646592085</v>
      </c>
      <c r="R5" t="n">
        <v>20682.0525860884</v>
      </c>
      <c r="S5" t="n">
        <v>21641.70981796776</v>
      </c>
      <c r="T5" t="n">
        <v>24226.13010475503</v>
      </c>
      <c r="U5" t="n">
        <v>25432.86826355604</v>
      </c>
      <c r="V5" t="n">
        <v>25622.86151541066</v>
      </c>
      <c r="W5" t="n">
        <v>25752.10736388254</v>
      </c>
      <c r="X5" t="n">
        <v>26186.76230039704</v>
      </c>
      <c r="Y5" t="n">
        <v>27812.23737056948</v>
      </c>
      <c r="Z5" t="n">
        <v>27792.89947757527</v>
      </c>
      <c r="AA5" t="n">
        <v>28969.84244948817</v>
      </c>
      <c r="AB5" t="n">
        <v>31602.81598539033</v>
      </c>
      <c r="AC5" t="n">
        <v>30113.8730059235</v>
      </c>
      <c r="AD5" t="n">
        <v>35198.3627610066</v>
      </c>
      <c r="AE5" t="n">
        <v>34193.46980241221</v>
      </c>
      <c r="AF5" t="n">
        <v>32955.75976073465</v>
      </c>
      <c r="AG5" t="n">
        <v>33550.43246329726</v>
      </c>
      <c r="AH5" t="n">
        <v>33749.90529968376</v>
      </c>
      <c r="AI5" t="n">
        <v>33636.40800529617</v>
      </c>
      <c r="AJ5" t="n">
        <v>34180.10562064024</v>
      </c>
      <c r="AK5" t="n">
        <v>40410.76984796436</v>
      </c>
      <c r="AL5" t="n">
        <v>42356.25413043299</v>
      </c>
      <c r="AM5" t="n">
        <v>43972.30045772409</v>
      </c>
      <c r="AN5" t="n">
        <v>43787.42928548963</v>
      </c>
      <c r="AO5" t="n">
        <v>43960.90634713032</v>
      </c>
      <c r="AP5" t="n">
        <v>43802.42046168354</v>
      </c>
      <c r="AQ5" t="n">
        <v>42681.13446690583</v>
      </c>
      <c r="AR5" t="n">
        <v>36155.1391273806</v>
      </c>
      <c r="AS5" t="n">
        <v>33223.02313463248</v>
      </c>
      <c r="AT5" t="n">
        <v>32540.61992356554</v>
      </c>
      <c r="AU5" t="n">
        <v>31749.4517128985</v>
      </c>
      <c r="AV5" t="n">
        <v>32300.15563546221</v>
      </c>
      <c r="AW5" t="n">
        <v>32888.89175134962</v>
      </c>
      <c r="AX5" t="n">
        <v>36735.92375169631</v>
      </c>
      <c r="AY5" t="n">
        <v>36539.69800797707</v>
      </c>
      <c r="AZ5" t="n">
        <v>37433.90497675441</v>
      </c>
      <c r="BA5" t="n">
        <v>37603.73289522289</v>
      </c>
      <c r="BB5" t="n">
        <v>37522.54718332211</v>
      </c>
      <c r="BC5" t="n">
        <v>39265.28</v>
      </c>
      <c r="BD5" t="n">
        <v>35523.96455957761</v>
      </c>
      <c r="BE5" t="n">
        <v>36317.7916457055</v>
      </c>
    </row>
    <row r="6">
      <c r="A6" s="13" t="inlineStr">
        <is>
          <t>REST</t>
        </is>
      </c>
      <c r="B6" t="n">
        <v>435006.8206913609</v>
      </c>
      <c r="C6" t="n">
        <v>445661.886854065</v>
      </c>
      <c r="D6" t="n">
        <v>488689.4591443656</v>
      </c>
      <c r="E6" t="n">
        <v>517331.6052308833</v>
      </c>
      <c r="F6" t="n">
        <v>519754.3200104798</v>
      </c>
      <c r="G6" t="n">
        <v>550298.5496823749</v>
      </c>
      <c r="H6" t="n">
        <v>580193.4690011828</v>
      </c>
      <c r="I6" t="n">
        <v>565766.7794600534</v>
      </c>
      <c r="J6" t="n">
        <v>546636.8198187061</v>
      </c>
      <c r="K6" t="n">
        <v>595138.5256097513</v>
      </c>
      <c r="L6" t="n">
        <v>603640.0373983311</v>
      </c>
      <c r="M6" t="n">
        <v>619729.7612404412</v>
      </c>
      <c r="N6" t="n">
        <v>640453.0799873439</v>
      </c>
      <c r="O6" t="n">
        <v>632434.3181720736</v>
      </c>
      <c r="P6" t="n">
        <v>609080.0104408489</v>
      </c>
      <c r="Q6" t="n">
        <v>608950.5230619997</v>
      </c>
      <c r="R6" t="n">
        <v>624626.5089641561</v>
      </c>
      <c r="S6" t="n">
        <v>683319.192430387</v>
      </c>
      <c r="T6" t="n">
        <v>726567.9259540611</v>
      </c>
      <c r="U6" t="n">
        <v>792672.1410621578</v>
      </c>
      <c r="V6" t="n">
        <v>807106.9216788263</v>
      </c>
      <c r="W6" t="n">
        <v>814990.6082954416</v>
      </c>
      <c r="X6" t="n">
        <v>811723.8715186316</v>
      </c>
      <c r="Y6" t="n">
        <v>819999.598393237</v>
      </c>
      <c r="Z6" t="n">
        <v>821478.1040184177</v>
      </c>
      <c r="AA6" t="n">
        <v>831164.1705443932</v>
      </c>
      <c r="AB6" t="n">
        <v>835794.9778537957</v>
      </c>
      <c r="AC6" t="n">
        <v>886447.6026302095</v>
      </c>
      <c r="AD6" t="n">
        <v>933979.760691006</v>
      </c>
      <c r="AE6" t="n">
        <v>972040.627853533</v>
      </c>
      <c r="AF6" t="n">
        <v>1000645.00878302</v>
      </c>
      <c r="AG6" t="n">
        <v>1035613.40529863</v>
      </c>
      <c r="AH6" t="n">
        <v>1100098.811607816</v>
      </c>
      <c r="AI6" t="n">
        <v>1153633.041721236</v>
      </c>
      <c r="AJ6" t="n">
        <v>1205483.142823292</v>
      </c>
      <c r="AK6" t="n">
        <v>1225501.297056745</v>
      </c>
      <c r="AL6" t="n">
        <v>1211995.41504343</v>
      </c>
      <c r="AM6" t="n">
        <v>1243523.827438646</v>
      </c>
      <c r="AN6" t="n">
        <v>1362477.060211522</v>
      </c>
      <c r="AO6" t="n">
        <v>1457823.634675739</v>
      </c>
      <c r="AP6" t="n">
        <v>1520062.590474673</v>
      </c>
      <c r="AQ6" t="n">
        <v>1539294.663615376</v>
      </c>
      <c r="AR6" t="n">
        <v>1398743.946365004</v>
      </c>
      <c r="AS6" t="n">
        <v>1382803.437205054</v>
      </c>
      <c r="AT6" t="n">
        <v>1417628.254423874</v>
      </c>
      <c r="AU6" t="n">
        <v>1445341.388728053</v>
      </c>
      <c r="AV6" t="n">
        <v>1435473.536323539</v>
      </c>
      <c r="AW6" t="n">
        <v>1481114.980726276</v>
      </c>
      <c r="AX6" t="n">
        <v>1534527.72739495</v>
      </c>
      <c r="AY6" t="n">
        <v>1597497.745268648</v>
      </c>
      <c r="AZ6" t="n">
        <v>1634324.495250865</v>
      </c>
      <c r="BA6" t="n">
        <v>1668534.262766625</v>
      </c>
      <c r="BB6" t="n">
        <v>1698975.856276968</v>
      </c>
      <c r="BC6" t="n">
        <v>1674522.195</v>
      </c>
      <c r="BD6" t="n">
        <v>1784692.866993968</v>
      </c>
      <c r="BE6" t="n">
        <v>1879876.356873129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n">
        <v>222779</v>
      </c>
      <c r="C2" t="n">
        <v>224430</v>
      </c>
      <c r="D2" t="n">
        <v>224282</v>
      </c>
      <c r="E2" t="n">
        <v>225092</v>
      </c>
      <c r="F2" t="n">
        <v>225532</v>
      </c>
      <c r="G2" t="n">
        <v>226385</v>
      </c>
      <c r="H2" t="n">
        <v>229269</v>
      </c>
      <c r="I2" t="n">
        <v>235171</v>
      </c>
      <c r="J2" t="n">
        <v>240479</v>
      </c>
      <c r="K2" t="n">
        <v>244016</v>
      </c>
      <c r="L2" t="n">
        <v>249923</v>
      </c>
      <c r="M2" t="n">
        <v>257543</v>
      </c>
      <c r="N2" t="n">
        <v>265709</v>
      </c>
      <c r="O2" t="n">
        <v>273950</v>
      </c>
      <c r="P2" t="n">
        <v>274839</v>
      </c>
      <c r="Q2" t="n">
        <v>271574</v>
      </c>
      <c r="R2" t="n">
        <v>269172</v>
      </c>
      <c r="S2" t="n">
        <v>265387</v>
      </c>
      <c r="T2" t="n">
        <v>264710</v>
      </c>
      <c r="U2" t="n">
        <v>266226</v>
      </c>
      <c r="V2" t="n">
        <v>266885</v>
      </c>
      <c r="W2" t="n">
        <v>266110</v>
      </c>
      <c r="X2" t="n">
        <v>264303</v>
      </c>
      <c r="Y2" t="n">
        <v>267224</v>
      </c>
      <c r="Z2" t="n">
        <v>270771</v>
      </c>
      <c r="AA2" t="n">
        <v>270977</v>
      </c>
      <c r="AB2" t="n">
        <v>269956</v>
      </c>
      <c r="AC2" t="n">
        <v>265165</v>
      </c>
      <c r="AD2" t="n">
        <v>261404</v>
      </c>
      <c r="AE2" t="n">
        <v>258846</v>
      </c>
      <c r="AF2" t="n">
        <v>255722</v>
      </c>
      <c r="AG2" t="n">
        <v>253481</v>
      </c>
      <c r="AH2" t="n">
        <v>250903</v>
      </c>
      <c r="AI2" t="n">
        <v>243755</v>
      </c>
      <c r="AJ2" t="n">
        <v>242098</v>
      </c>
      <c r="AK2" t="n">
        <v>242131</v>
      </c>
      <c r="AL2" t="n">
        <v>240161</v>
      </c>
      <c r="AM2" t="n">
        <v>238063</v>
      </c>
      <c r="AN2" t="n">
        <v>236088</v>
      </c>
      <c r="AO2" t="n">
        <v>234687</v>
      </c>
      <c r="AP2" t="n">
        <v>235845</v>
      </c>
      <c r="AQ2" t="n">
        <v>239330</v>
      </c>
      <c r="AR2" t="n">
        <v>242244</v>
      </c>
      <c r="AS2" t="n">
        <v>239024</v>
      </c>
      <c r="AT2" t="n">
        <v>234064</v>
      </c>
      <c r="AU2" t="n">
        <v>229103</v>
      </c>
      <c r="AV2" t="n">
        <v>225090</v>
      </c>
      <c r="AW2" t="n">
        <v>222016</v>
      </c>
      <c r="AX2" t="n">
        <v>218477</v>
      </c>
      <c r="AY2" t="n">
        <v>215268</v>
      </c>
      <c r="AZ2" t="n">
        <v>211288</v>
      </c>
      <c r="BA2" t="n">
        <v>208278</v>
      </c>
      <c r="BB2" t="n">
        <v>204256</v>
      </c>
      <c r="BC2" t="n">
        <v>200726</v>
      </c>
      <c r="BD2" t="n">
        <v>196514</v>
      </c>
      <c r="BE2" t="n">
        <v>194470</v>
      </c>
      <c r="BF2" t="n">
        <v>190650</v>
      </c>
      <c r="BG2" t="n">
        <v>187393</v>
      </c>
      <c r="BH2" t="n">
        <v>184590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20659.33502221384</v>
      </c>
      <c r="AC3" t="n">
        <v>21072.52172265811</v>
      </c>
      <c r="AD3" t="n">
        <v>21551.22895042682</v>
      </c>
      <c r="AE3" t="n">
        <v>21742.31626849162</v>
      </c>
      <c r="AF3" t="n">
        <v>22460.40067436458</v>
      </c>
      <c r="AG3" t="n">
        <v>22568.39311956298</v>
      </c>
      <c r="AH3" t="n">
        <v>22913.78426680194</v>
      </c>
      <c r="AI3" t="n">
        <v>22988.02095975449</v>
      </c>
      <c r="AJ3" t="n">
        <v>23592.77556675723</v>
      </c>
      <c r="AK3" t="n">
        <v>24191.70235562342</v>
      </c>
      <c r="AL3" t="n">
        <v>24611.73726576327</v>
      </c>
      <c r="AM3" t="n">
        <v>25409.96199611078</v>
      </c>
      <c r="AN3" t="n">
        <v>26129.68606755997</v>
      </c>
      <c r="AO3" t="n">
        <v>26020.36963877865</v>
      </c>
      <c r="AP3" t="n">
        <v>25899.86417966112</v>
      </c>
      <c r="AQ3" t="n">
        <v>25988.25526927784</v>
      </c>
      <c r="AR3" t="n">
        <v>26725.59584758965</v>
      </c>
      <c r="AS3" t="n">
        <v>27361.26502360732</v>
      </c>
      <c r="AT3" t="n">
        <v>26762.3126867234</v>
      </c>
      <c r="AU3" t="n">
        <v>26324.0329849496</v>
      </c>
      <c r="AV3" t="n">
        <v>26528.13855946952</v>
      </c>
      <c r="AW3" t="n">
        <v>26364.29346965887</v>
      </c>
      <c r="AX3" t="n">
        <v>26169.1725554671</v>
      </c>
      <c r="AY3" t="n">
        <v>25905.4654627766</v>
      </c>
      <c r="AZ3" t="n">
        <v>25721.65447497552</v>
      </c>
      <c r="BA3" t="n">
        <v>25611.83255448311</v>
      </c>
      <c r="BB3" t="n">
        <v>26158.63984288363</v>
      </c>
      <c r="BC3" t="n">
        <v>26445.716313531</v>
      </c>
      <c r="BD3" t="n">
        <v>26503.10339856166</v>
      </c>
      <c r="BE3" t="n">
        <v>26671.43829006974</v>
      </c>
      <c r="BF3" t="n">
        <v>26893.9462682731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9519.235758575131</v>
      </c>
      <c r="AC4" t="n">
        <v>9709.620473746632</v>
      </c>
      <c r="AD4" t="n">
        <v>9788.838914601894</v>
      </c>
      <c r="AE4" t="n">
        <v>9928.490376677377</v>
      </c>
      <c r="AF4" t="n">
        <v>10279.87254047805</v>
      </c>
      <c r="AG4" t="n">
        <v>10358.00637309002</v>
      </c>
      <c r="AH4" t="n">
        <v>10458.01442480896</v>
      </c>
      <c r="AI4" t="n">
        <v>10482.76681190054</v>
      </c>
      <c r="AJ4" t="n">
        <v>11017.67747043079</v>
      </c>
      <c r="AK4" t="n">
        <v>11384.86552106519</v>
      </c>
      <c r="AL4" t="n">
        <v>11751.69861655616</v>
      </c>
      <c r="AM4" t="n">
        <v>12266.58521317787</v>
      </c>
      <c r="AN4" t="n">
        <v>12817.49981911211</v>
      </c>
      <c r="AO4" t="n">
        <v>12995.03134733806</v>
      </c>
      <c r="AP4" t="n">
        <v>13041.13373757367</v>
      </c>
      <c r="AQ4" t="n">
        <v>13186.73951991265</v>
      </c>
      <c r="AR4" t="n">
        <v>13720.14505795384</v>
      </c>
      <c r="AS4" t="n">
        <v>14164.16341285719</v>
      </c>
      <c r="AT4" t="n">
        <v>13980.59157946992</v>
      </c>
      <c r="AU4" t="n">
        <v>13934.68861313832</v>
      </c>
      <c r="AV4" t="n">
        <v>14395.72410491571</v>
      </c>
      <c r="AW4" t="n">
        <v>14355.24763737827</v>
      </c>
      <c r="AX4" t="n">
        <v>14392.77276045085</v>
      </c>
      <c r="AY4" t="n">
        <v>14584.33320862772</v>
      </c>
      <c r="AZ4" t="n">
        <v>14797.38004097973</v>
      </c>
      <c r="BA4" t="n">
        <v>15013.93988030023</v>
      </c>
      <c r="BB4" t="n">
        <v>15356.9989802555</v>
      </c>
      <c r="BC4" t="n">
        <v>15778.2129091032</v>
      </c>
      <c r="BD4" t="n">
        <v>15812.69289896482</v>
      </c>
      <c r="BE4" t="n">
        <v>16061.66340253127</v>
      </c>
      <c r="BF4" t="n">
        <v>16329.68122798703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27478.90845300673</v>
      </c>
      <c r="AC5" t="n">
        <v>28028.48662206687</v>
      </c>
      <c r="AD5" t="n">
        <v>28422.08750301213</v>
      </c>
      <c r="AE5" t="n">
        <v>28819.55596257023</v>
      </c>
      <c r="AF5" t="n">
        <v>29949.55883224511</v>
      </c>
      <c r="AG5" t="n">
        <v>30200.49774208316</v>
      </c>
      <c r="AH5" t="n">
        <v>30590.82886179377</v>
      </c>
      <c r="AI5" t="n">
        <v>30632.3042554986</v>
      </c>
      <c r="AJ5" t="n">
        <v>31588.80921597784</v>
      </c>
      <c r="AK5" t="n">
        <v>32452.56449580291</v>
      </c>
      <c r="AL5" t="n">
        <v>33285.89884024952</v>
      </c>
      <c r="AM5" t="n">
        <v>34147.78135054846</v>
      </c>
      <c r="AN5" t="n">
        <v>35205.04776453965</v>
      </c>
      <c r="AO5" t="n">
        <v>35380.87660195035</v>
      </c>
      <c r="AP5" t="n">
        <v>35497.98224043341</v>
      </c>
      <c r="AQ5" t="n">
        <v>35967.29107667578</v>
      </c>
      <c r="AR5" t="n">
        <v>37455.37131203871</v>
      </c>
      <c r="AS5" t="n">
        <v>38469.17355253505</v>
      </c>
      <c r="AT5" t="n">
        <v>37685.91489456251</v>
      </c>
      <c r="AU5" t="n">
        <v>37323.81731565788</v>
      </c>
      <c r="AV5" t="n">
        <v>37588.00704312144</v>
      </c>
      <c r="AW5" t="n">
        <v>37764.87858279535</v>
      </c>
      <c r="AX5" t="n">
        <v>37827.60932545634</v>
      </c>
      <c r="AY5" t="n">
        <v>37544.63353945201</v>
      </c>
      <c r="AZ5" t="n">
        <v>37575.70386710967</v>
      </c>
      <c r="BA5" t="n">
        <v>37941.15363769325</v>
      </c>
      <c r="BB5" t="n">
        <v>39093.06859531652</v>
      </c>
      <c r="BC5" t="n">
        <v>39652.16112588566</v>
      </c>
      <c r="BD5" t="n">
        <v>39656.2099211436</v>
      </c>
      <c r="BE5" t="n">
        <v>39906.39827029841</v>
      </c>
      <c r="BF5" t="n">
        <v>40233.08322313017</v>
      </c>
      <c r="BG5" t="inlineStr"/>
      <c r="BH5" t="inlineStr"/>
    </row>
    <row r="6">
      <c r="A6" s="13" t="inlineStr">
        <is>
          <t>REST</t>
        </is>
      </c>
      <c r="B6" t="n">
        <v>2618163</v>
      </c>
      <c r="C6" t="n">
        <v>2738303</v>
      </c>
      <c r="D6" t="n">
        <v>2867006</v>
      </c>
      <c r="E6" t="n">
        <v>3015495</v>
      </c>
      <c r="F6" t="n">
        <v>3161059</v>
      </c>
      <c r="G6" t="n">
        <v>3302298</v>
      </c>
      <c r="H6" t="n">
        <v>3467494</v>
      </c>
      <c r="I6" t="n">
        <v>3631240</v>
      </c>
      <c r="J6" t="n">
        <v>3755637</v>
      </c>
      <c r="K6" t="n">
        <v>3856260</v>
      </c>
      <c r="L6" t="n">
        <v>3992820</v>
      </c>
      <c r="M6" t="n">
        <v>4114787</v>
      </c>
      <c r="N6" t="n">
        <v>4233512</v>
      </c>
      <c r="O6" t="n">
        <v>4350333</v>
      </c>
      <c r="P6" t="n">
        <v>4435830</v>
      </c>
      <c r="Q6" t="n">
        <v>4471498</v>
      </c>
      <c r="R6" t="n">
        <v>4517509</v>
      </c>
      <c r="S6" t="n">
        <v>4564886</v>
      </c>
      <c r="T6" t="n">
        <v>4625448</v>
      </c>
      <c r="U6" t="n">
        <v>4710206</v>
      </c>
      <c r="V6" t="n">
        <v>4837386</v>
      </c>
      <c r="W6" t="n">
        <v>4962141</v>
      </c>
      <c r="X6" t="n">
        <v>5055391</v>
      </c>
      <c r="Y6" t="n">
        <v>5137935</v>
      </c>
      <c r="Z6" t="n">
        <v>5217291</v>
      </c>
      <c r="AA6" t="n">
        <v>5264800</v>
      </c>
      <c r="AB6" t="n">
        <v>5305384</v>
      </c>
      <c r="AC6" t="n">
        <v>5328639</v>
      </c>
      <c r="AD6" t="n">
        <v>5354683</v>
      </c>
      <c r="AE6" t="n">
        <v>5403081</v>
      </c>
      <c r="AF6" t="n">
        <v>5462484</v>
      </c>
      <c r="AG6" t="n">
        <v>5531111</v>
      </c>
      <c r="AH6" t="n">
        <v>5612542</v>
      </c>
      <c r="AI6" t="n">
        <v>5682056</v>
      </c>
      <c r="AJ6" t="n">
        <v>5773271</v>
      </c>
      <c r="AK6" t="n">
        <v>5852073</v>
      </c>
      <c r="AL6" t="n">
        <v>5918328</v>
      </c>
      <c r="AM6" t="n">
        <v>5980902</v>
      </c>
      <c r="AN6" t="n">
        <v>6046439</v>
      </c>
      <c r="AO6" t="n">
        <v>6132550</v>
      </c>
      <c r="AP6" t="n">
        <v>6270696</v>
      </c>
      <c r="AQ6" t="n">
        <v>6395005</v>
      </c>
      <c r="AR6" t="n">
        <v>6486901</v>
      </c>
      <c r="AS6" t="n">
        <v>6533631</v>
      </c>
      <c r="AT6" t="n">
        <v>6550770</v>
      </c>
      <c r="AU6" t="n">
        <v>6568622</v>
      </c>
      <c r="AV6" t="n">
        <v>6599838</v>
      </c>
      <c r="AW6" t="n">
        <v>6638025</v>
      </c>
      <c r="AX6" t="n">
        <v>6696875</v>
      </c>
      <c r="AY6" t="n">
        <v>6769376</v>
      </c>
      <c r="AZ6" t="n">
        <v>6870825</v>
      </c>
      <c r="BA6" t="n">
        <v>6985059</v>
      </c>
      <c r="BB6" t="n">
        <v>7107156</v>
      </c>
      <c r="BC6" t="n">
        <v>7209258</v>
      </c>
      <c r="BD6" t="n">
        <v>7324959</v>
      </c>
      <c r="BE6" t="n">
        <v>7488001</v>
      </c>
      <c r="BF6" t="n">
        <v>7648052</v>
      </c>
      <c r="BG6" t="n">
        <v>7786450</v>
      </c>
      <c r="BH6" t="n">
        <v>7930718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B5" sqref="AB5:BF5"/>
    </sheetView>
  </sheetViews>
  <sheetFormatPr baseColWidth="8" defaultRowHeight="14.25"/>
  <cols>
    <col width="9" customWidth="1" style="6" min="1" max="10"/>
    <col width="9" customWidth="1" style="6" min="11" max="16384"/>
  </cols>
  <sheetData>
    <row r="1" ht="15" customHeight="1" s="6">
      <c r="A1" s="7" t="inlineStr">
        <is>
          <t>ANVENDELSE</t>
        </is>
      </c>
      <c r="B1" s="7" t="n">
        <v>1966</v>
      </c>
      <c r="C1" s="7" t="n">
        <v>1967</v>
      </c>
      <c r="D1" s="7" t="n">
        <v>1968</v>
      </c>
      <c r="E1" s="7" t="n">
        <v>1969</v>
      </c>
      <c r="F1" s="7" t="n">
        <v>1970</v>
      </c>
      <c r="G1" s="7" t="n">
        <v>1971</v>
      </c>
      <c r="H1" s="7" t="n">
        <v>1972</v>
      </c>
      <c r="I1" s="7" t="n">
        <v>1973</v>
      </c>
      <c r="J1" s="7" t="n">
        <v>1974</v>
      </c>
      <c r="K1" s="7" t="n">
        <v>1975</v>
      </c>
      <c r="L1" s="7" t="n">
        <v>1976</v>
      </c>
      <c r="M1" s="7" t="n">
        <v>1977</v>
      </c>
      <c r="N1" s="7" t="n">
        <v>1978</v>
      </c>
      <c r="O1" s="7" t="n">
        <v>1979</v>
      </c>
      <c r="P1" s="7" t="n">
        <v>1980</v>
      </c>
      <c r="Q1" s="7" t="n">
        <v>1981</v>
      </c>
      <c r="R1" s="7" t="n">
        <v>1982</v>
      </c>
      <c r="S1" s="7" t="n">
        <v>1983</v>
      </c>
      <c r="T1" s="7" t="n">
        <v>1984</v>
      </c>
      <c r="U1" s="7" t="n">
        <v>1985</v>
      </c>
      <c r="V1" s="7" t="n">
        <v>1986</v>
      </c>
      <c r="W1" s="7" t="n">
        <v>1987</v>
      </c>
      <c r="X1" s="7" t="n">
        <v>1988</v>
      </c>
      <c r="Y1" s="7" t="n">
        <v>1989</v>
      </c>
      <c r="Z1" s="7" t="n">
        <v>1990</v>
      </c>
      <c r="AA1" s="7" t="n">
        <v>1991</v>
      </c>
      <c r="AB1" s="7" t="n">
        <v>1992</v>
      </c>
      <c r="AC1" s="7" t="n">
        <v>1993</v>
      </c>
      <c r="AD1" s="7" t="n">
        <v>1994</v>
      </c>
      <c r="AE1" s="7" t="n">
        <v>1995</v>
      </c>
      <c r="AF1" s="7" t="n">
        <v>1996</v>
      </c>
      <c r="AG1" s="7" t="n">
        <v>1997</v>
      </c>
      <c r="AH1" s="7" t="n">
        <v>1998</v>
      </c>
      <c r="AI1" s="7" t="n">
        <v>1999</v>
      </c>
      <c r="AJ1" s="7" t="n">
        <v>2000</v>
      </c>
      <c r="AK1" s="7" t="n">
        <v>2001</v>
      </c>
      <c r="AL1" s="7" t="n">
        <v>2002</v>
      </c>
      <c r="AM1" s="7" t="n">
        <v>2003</v>
      </c>
      <c r="AN1" s="7" t="n">
        <v>2004</v>
      </c>
      <c r="AO1" s="7" t="n">
        <v>2005</v>
      </c>
      <c r="AP1" s="7" t="n">
        <v>2006</v>
      </c>
      <c r="AQ1" s="7" t="n">
        <v>2007</v>
      </c>
      <c r="AR1" s="7" t="n">
        <v>2008</v>
      </c>
      <c r="AS1" s="7" t="n">
        <v>2009</v>
      </c>
      <c r="AT1" s="7" t="n">
        <v>2010</v>
      </c>
      <c r="AU1" s="7" t="n">
        <v>2011</v>
      </c>
      <c r="AV1" s="7" t="n">
        <v>2012</v>
      </c>
      <c r="AW1" s="7" t="n">
        <v>2013</v>
      </c>
      <c r="AX1" s="7" t="n">
        <v>2014</v>
      </c>
      <c r="AY1" s="7" t="n">
        <v>2015</v>
      </c>
      <c r="AZ1" s="7" t="n">
        <v>2016</v>
      </c>
      <c r="BA1" s="7" t="n">
        <v>2017</v>
      </c>
      <c r="BB1" s="7" t="n">
        <v>2018</v>
      </c>
      <c r="BC1" s="7" t="n">
        <v>2019</v>
      </c>
      <c r="BD1" s="7" t="n">
        <v>2020</v>
      </c>
      <c r="BE1" s="7" t="n">
        <v>2021</v>
      </c>
      <c r="BF1" s="7" t="n">
        <v>2022</v>
      </c>
      <c r="BG1" s="7" t="n">
        <v>2023</v>
      </c>
      <c r="BH1" s="7" t="n">
        <v>2024</v>
      </c>
    </row>
    <row r="2" ht="15" customHeight="1" s="6">
      <c r="A2" s="7" t="inlineStr">
        <is>
          <t>010000</t>
        </is>
      </c>
      <c r="B2" t="n">
        <v>222779</v>
      </c>
      <c r="C2" t="n">
        <v>224430</v>
      </c>
      <c r="D2" t="n">
        <v>224282</v>
      </c>
      <c r="E2" t="n">
        <v>225092</v>
      </c>
      <c r="F2" t="n">
        <v>225532</v>
      </c>
      <c r="G2" t="n">
        <v>226385</v>
      </c>
      <c r="H2" t="n">
        <v>229269</v>
      </c>
      <c r="I2" t="n">
        <v>235171</v>
      </c>
      <c r="J2" t="n">
        <v>240479</v>
      </c>
      <c r="K2" t="n">
        <v>244016</v>
      </c>
      <c r="L2" t="n">
        <v>249923</v>
      </c>
      <c r="M2" t="n">
        <v>257543</v>
      </c>
      <c r="N2" t="n">
        <v>265709</v>
      </c>
      <c r="O2" t="n">
        <v>273950</v>
      </c>
      <c r="P2" t="n">
        <v>274839</v>
      </c>
      <c r="Q2" t="n">
        <v>271574</v>
      </c>
      <c r="R2" t="n">
        <v>269172</v>
      </c>
      <c r="S2" t="n">
        <v>265387</v>
      </c>
      <c r="T2" t="n">
        <v>264710</v>
      </c>
      <c r="U2" t="n">
        <v>266226</v>
      </c>
      <c r="V2" t="n">
        <v>266885</v>
      </c>
      <c r="W2" t="n">
        <v>266110</v>
      </c>
      <c r="X2" t="n">
        <v>264303</v>
      </c>
      <c r="Y2" t="n">
        <v>267224</v>
      </c>
      <c r="Z2" t="n">
        <v>270771</v>
      </c>
      <c r="AA2" t="n">
        <v>270977</v>
      </c>
      <c r="AB2" t="n">
        <v>269956</v>
      </c>
      <c r="AC2" t="n">
        <v>265165</v>
      </c>
      <c r="AD2" t="n">
        <v>261404</v>
      </c>
      <c r="AE2" t="n">
        <v>258846</v>
      </c>
      <c r="AF2" t="n">
        <v>255722</v>
      </c>
      <c r="AG2" t="n">
        <v>253481</v>
      </c>
      <c r="AH2" t="n">
        <v>250903</v>
      </c>
      <c r="AI2" t="n">
        <v>243755</v>
      </c>
      <c r="AJ2" t="n">
        <v>242098</v>
      </c>
      <c r="AK2" t="n">
        <v>242131</v>
      </c>
      <c r="AL2" t="n">
        <v>240161</v>
      </c>
      <c r="AM2" t="n">
        <v>238063</v>
      </c>
      <c r="AN2" t="n">
        <v>236088</v>
      </c>
      <c r="AO2" t="n">
        <v>234687</v>
      </c>
      <c r="AP2" t="n">
        <v>235845</v>
      </c>
      <c r="AQ2" t="n">
        <v>239330</v>
      </c>
      <c r="AR2" t="n">
        <v>242244</v>
      </c>
      <c r="AS2" t="n">
        <v>239024</v>
      </c>
      <c r="AT2" t="n">
        <v>234064</v>
      </c>
      <c r="AU2" t="n">
        <v>229103</v>
      </c>
      <c r="AV2" t="n">
        <v>225090</v>
      </c>
      <c r="AW2" t="n">
        <v>222016</v>
      </c>
      <c r="AX2" t="n">
        <v>218477</v>
      </c>
      <c r="AY2" t="n">
        <v>215268</v>
      </c>
      <c r="AZ2" t="n">
        <v>211288</v>
      </c>
      <c r="BA2" t="n">
        <v>208278</v>
      </c>
      <c r="BB2" t="n">
        <v>204256</v>
      </c>
      <c r="BC2" t="n">
        <v>200726</v>
      </c>
      <c r="BD2" t="n">
        <v>196514</v>
      </c>
      <c r="BE2" t="n">
        <v>194470</v>
      </c>
      <c r="BF2" t="n">
        <v>190650</v>
      </c>
      <c r="BG2" t="n">
        <v>187393</v>
      </c>
      <c r="BH2" t="n">
        <v>184590</v>
      </c>
    </row>
    <row r="3" ht="15" customHeight="1" s="6">
      <c r="A3" s="7" t="inlineStr">
        <is>
          <t>100010</t>
        </is>
      </c>
      <c r="AB3" t="n">
        <v>20659.33502221384</v>
      </c>
      <c r="AC3" t="n">
        <v>21072.52172265811</v>
      </c>
      <c r="AD3" t="n">
        <v>21551.22895042682</v>
      </c>
      <c r="AE3" t="n">
        <v>21742.31626849162</v>
      </c>
      <c r="AF3" t="n">
        <v>22460.40067436458</v>
      </c>
      <c r="AG3" t="n">
        <v>22568.39311956298</v>
      </c>
      <c r="AH3" t="n">
        <v>22913.78426680194</v>
      </c>
      <c r="AI3" t="n">
        <v>22988.02095975449</v>
      </c>
      <c r="AJ3" t="n">
        <v>23592.77556675723</v>
      </c>
      <c r="AK3" t="n">
        <v>24191.70235562342</v>
      </c>
      <c r="AL3" t="n">
        <v>24611.73726576327</v>
      </c>
      <c r="AM3" t="n">
        <v>25409.96199611078</v>
      </c>
      <c r="AN3" t="n">
        <v>26129.68606755997</v>
      </c>
      <c r="AO3" t="n">
        <v>26020.36963877865</v>
      </c>
      <c r="AP3" t="n">
        <v>25899.86417966112</v>
      </c>
      <c r="AQ3" t="n">
        <v>25988.25526927784</v>
      </c>
      <c r="AR3" t="n">
        <v>26725.59584758965</v>
      </c>
      <c r="AS3" t="n">
        <v>27361.26502360732</v>
      </c>
      <c r="AT3" t="n">
        <v>26762.3126867234</v>
      </c>
      <c r="AU3" t="n">
        <v>26324.0329849496</v>
      </c>
      <c r="AV3" t="n">
        <v>26528.13855946952</v>
      </c>
      <c r="AW3" t="n">
        <v>26364.29346965887</v>
      </c>
      <c r="AX3" t="n">
        <v>26169.1725554671</v>
      </c>
      <c r="AY3" t="n">
        <v>25905.4654627766</v>
      </c>
      <c r="AZ3" t="n">
        <v>25721.65447497552</v>
      </c>
      <c r="BA3" t="n">
        <v>25611.83255448311</v>
      </c>
      <c r="BB3" t="n">
        <v>26158.63984288363</v>
      </c>
      <c r="BC3" t="n">
        <v>26445.716313531</v>
      </c>
      <c r="BD3" t="n">
        <v>26503.10339856166</v>
      </c>
      <c r="BE3" t="n">
        <v>26671.43829006974</v>
      </c>
      <c r="BF3" t="n">
        <v>26893.9462682731</v>
      </c>
    </row>
    <row r="4" ht="15" customHeight="1" s="6">
      <c r="A4" s="7" t="inlineStr">
        <is>
          <t>100030</t>
        </is>
      </c>
      <c r="AB4" t="n">
        <v>9519.235758575131</v>
      </c>
      <c r="AC4" t="n">
        <v>9709.620473746632</v>
      </c>
      <c r="AD4" t="n">
        <v>9788.838914601894</v>
      </c>
      <c r="AE4" t="n">
        <v>9928.490376677377</v>
      </c>
      <c r="AF4" t="n">
        <v>10279.87254047805</v>
      </c>
      <c r="AG4" t="n">
        <v>10358.00637309002</v>
      </c>
      <c r="AH4" t="n">
        <v>10458.01442480896</v>
      </c>
      <c r="AI4" t="n">
        <v>10482.76681190054</v>
      </c>
      <c r="AJ4" t="n">
        <v>11017.67747043079</v>
      </c>
      <c r="AK4" t="n">
        <v>11384.86552106519</v>
      </c>
      <c r="AL4" t="n">
        <v>11751.69861655616</v>
      </c>
      <c r="AM4" t="n">
        <v>12266.58521317787</v>
      </c>
      <c r="AN4" t="n">
        <v>12817.49981911211</v>
      </c>
      <c r="AO4" t="n">
        <v>12995.03134733806</v>
      </c>
      <c r="AP4" t="n">
        <v>13041.13373757367</v>
      </c>
      <c r="AQ4" t="n">
        <v>13186.73951991265</v>
      </c>
      <c r="AR4" t="n">
        <v>13720.14505795384</v>
      </c>
      <c r="AS4" t="n">
        <v>14164.16341285719</v>
      </c>
      <c r="AT4" t="n">
        <v>13980.59157946992</v>
      </c>
      <c r="AU4" t="n">
        <v>13934.68861313832</v>
      </c>
      <c r="AV4" t="n">
        <v>14395.72410491571</v>
      </c>
      <c r="AW4" t="n">
        <v>14355.24763737827</v>
      </c>
      <c r="AX4" t="n">
        <v>14392.77276045085</v>
      </c>
      <c r="AY4" t="n">
        <v>14584.33320862772</v>
      </c>
      <c r="AZ4" t="n">
        <v>14797.38004097973</v>
      </c>
      <c r="BA4" t="n">
        <v>15013.93988030023</v>
      </c>
      <c r="BB4" t="n">
        <v>15356.9989802555</v>
      </c>
      <c r="BC4" t="n">
        <v>15778.2129091032</v>
      </c>
      <c r="BD4" t="n">
        <v>15812.69289896482</v>
      </c>
      <c r="BE4" t="n">
        <v>16061.66340253127</v>
      </c>
      <c r="BF4" t="n">
        <v>16329.68122798703</v>
      </c>
    </row>
    <row r="5" ht="15" customHeight="1" s="6">
      <c r="A5" s="7" t="inlineStr">
        <is>
          <t>100040x100050</t>
        </is>
      </c>
      <c r="AB5" t="n">
        <v>27478.90845300673</v>
      </c>
      <c r="AC5" t="n">
        <v>28028.48662206687</v>
      </c>
      <c r="AD5" t="n">
        <v>28422.08750301213</v>
      </c>
      <c r="AE5" t="n">
        <v>28819.55596257023</v>
      </c>
      <c r="AF5" t="n">
        <v>29949.55883224511</v>
      </c>
      <c r="AG5" t="n">
        <v>30200.49774208316</v>
      </c>
      <c r="AH5" t="n">
        <v>30590.82886179377</v>
      </c>
      <c r="AI5" t="n">
        <v>30632.3042554986</v>
      </c>
      <c r="AJ5" t="n">
        <v>31588.80921597784</v>
      </c>
      <c r="AK5" t="n">
        <v>32452.56449580291</v>
      </c>
      <c r="AL5" t="n">
        <v>33285.89884024952</v>
      </c>
      <c r="AM5" t="n">
        <v>34147.78135054846</v>
      </c>
      <c r="AN5" t="n">
        <v>35205.04776453965</v>
      </c>
      <c r="AO5" t="n">
        <v>35380.87660195035</v>
      </c>
      <c r="AP5" t="n">
        <v>35497.98224043341</v>
      </c>
      <c r="AQ5" t="n">
        <v>35967.29107667578</v>
      </c>
      <c r="AR5" t="n">
        <v>37455.37131203871</v>
      </c>
      <c r="AS5" t="n">
        <v>38469.17355253505</v>
      </c>
      <c r="AT5" t="n">
        <v>37685.91489456251</v>
      </c>
      <c r="AU5" t="n">
        <v>37323.81731565788</v>
      </c>
      <c r="AV5" t="n">
        <v>37588.00704312144</v>
      </c>
      <c r="AW5" t="n">
        <v>37764.87858279535</v>
      </c>
      <c r="AX5" t="n">
        <v>37827.60932545634</v>
      </c>
      <c r="AY5" t="n">
        <v>37544.63353945201</v>
      </c>
      <c r="AZ5" t="n">
        <v>37575.70386710967</v>
      </c>
      <c r="BA5" t="n">
        <v>37941.15363769325</v>
      </c>
      <c r="BB5" t="n">
        <v>39093.06859531652</v>
      </c>
      <c r="BC5" t="n">
        <v>39652.16112588566</v>
      </c>
      <c r="BD5" t="n">
        <v>39656.2099211436</v>
      </c>
      <c r="BE5" t="n">
        <v>39906.39827029841</v>
      </c>
      <c r="BF5" t="n">
        <v>40233.08322313017</v>
      </c>
    </row>
    <row r="6" ht="15" customHeight="1" s="6">
      <c r="A6" s="7" t="inlineStr">
        <is>
          <t>REST</t>
        </is>
      </c>
      <c r="B6" t="n">
        <v>2618163</v>
      </c>
      <c r="C6" t="n">
        <v>2738303</v>
      </c>
      <c r="D6" t="n">
        <v>2867006</v>
      </c>
      <c r="E6" t="n">
        <v>3015495</v>
      </c>
      <c r="F6" t="n">
        <v>3161059</v>
      </c>
      <c r="G6" t="n">
        <v>3302298</v>
      </c>
      <c r="H6" t="n">
        <v>3467494</v>
      </c>
      <c r="I6" t="n">
        <v>3631240</v>
      </c>
      <c r="J6" t="n">
        <v>3755637</v>
      </c>
      <c r="K6" t="n">
        <v>3856260</v>
      </c>
      <c r="L6" t="n">
        <v>3992820</v>
      </c>
      <c r="M6" t="n">
        <v>4114787</v>
      </c>
      <c r="N6" t="n">
        <v>4233512</v>
      </c>
      <c r="O6" t="n">
        <v>4350333</v>
      </c>
      <c r="P6" t="n">
        <v>4435830</v>
      </c>
      <c r="Q6" t="n">
        <v>4471498</v>
      </c>
      <c r="R6" t="n">
        <v>4517509</v>
      </c>
      <c r="S6" t="n">
        <v>4564886</v>
      </c>
      <c r="T6" t="n">
        <v>4625448</v>
      </c>
      <c r="U6" t="n">
        <v>4710206</v>
      </c>
      <c r="V6" t="n">
        <v>4837386</v>
      </c>
      <c r="W6" t="n">
        <v>4962141</v>
      </c>
      <c r="X6" t="n">
        <v>5055391</v>
      </c>
      <c r="Y6" t="n">
        <v>5137935</v>
      </c>
      <c r="Z6" t="n">
        <v>5217291</v>
      </c>
      <c r="AA6" t="n">
        <v>5264800</v>
      </c>
      <c r="AB6" t="n">
        <v>5305384</v>
      </c>
      <c r="AC6" t="n">
        <v>5328639</v>
      </c>
      <c r="AD6" t="n">
        <v>5354683</v>
      </c>
      <c r="AE6" t="n">
        <v>5403081</v>
      </c>
      <c r="AF6" t="n">
        <v>5462484</v>
      </c>
      <c r="AG6" t="n">
        <v>5531111</v>
      </c>
      <c r="AH6" t="n">
        <v>5612542</v>
      </c>
      <c r="AI6" t="n">
        <v>5682056</v>
      </c>
      <c r="AJ6" t="n">
        <v>5773271</v>
      </c>
      <c r="AK6" t="n">
        <v>5852073</v>
      </c>
      <c r="AL6" t="n">
        <v>5918328</v>
      </c>
      <c r="AM6" t="n">
        <v>5980902</v>
      </c>
      <c r="AN6" t="n">
        <v>6046439</v>
      </c>
      <c r="AO6" t="n">
        <v>6132550</v>
      </c>
      <c r="AP6" t="n">
        <v>6270696</v>
      </c>
      <c r="AQ6" t="n">
        <v>6395005</v>
      </c>
      <c r="AR6" t="n">
        <v>6486901</v>
      </c>
      <c r="AS6" t="n">
        <v>6533631</v>
      </c>
      <c r="AT6" t="n">
        <v>6550770</v>
      </c>
      <c r="AU6" t="n">
        <v>6568622</v>
      </c>
      <c r="AV6" t="n">
        <v>6599838</v>
      </c>
      <c r="AW6" t="n">
        <v>6638025</v>
      </c>
      <c r="AX6" t="n">
        <v>6696875</v>
      </c>
      <c r="AY6" t="n">
        <v>6769376</v>
      </c>
      <c r="AZ6" t="n">
        <v>6870825</v>
      </c>
      <c r="BA6" t="n">
        <v>6985059</v>
      </c>
      <c r="BB6" t="n">
        <v>7107156</v>
      </c>
      <c r="BC6" t="n">
        <v>7209258</v>
      </c>
      <c r="BD6" t="n">
        <v>7324959</v>
      </c>
      <c r="BE6" t="n">
        <v>7488001</v>
      </c>
      <c r="BF6" t="n">
        <v>7648052</v>
      </c>
      <c r="BG6" t="n">
        <v>7786450</v>
      </c>
      <c r="BH6" t="n">
        <v>7930718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630.077</v>
      </c>
      <c r="C2" t="n">
        <v>595.974</v>
      </c>
      <c r="D2" t="n">
        <v>561.953</v>
      </c>
      <c r="E2" t="n">
        <v>532.92</v>
      </c>
      <c r="F2" t="n">
        <v>505.492</v>
      </c>
      <c r="G2" t="n">
        <v>472.538</v>
      </c>
      <c r="H2" t="n">
        <v>463.15</v>
      </c>
      <c r="I2" t="n">
        <v>454.509</v>
      </c>
      <c r="J2" t="n">
        <v>433.263</v>
      </c>
      <c r="K2" t="n">
        <v>415.44</v>
      </c>
      <c r="L2" t="n">
        <v>408.086</v>
      </c>
      <c r="M2" t="n">
        <v>393.844</v>
      </c>
      <c r="N2" t="n">
        <v>380.021</v>
      </c>
      <c r="O2" t="n">
        <v>361.6</v>
      </c>
      <c r="P2" t="n">
        <v>342.439</v>
      </c>
      <c r="Q2" t="n">
        <v>325.525</v>
      </c>
      <c r="R2" t="n">
        <v>314.708</v>
      </c>
      <c r="S2" t="n">
        <v>305.717</v>
      </c>
      <c r="T2" t="n">
        <v>297.005</v>
      </c>
      <c r="U2" t="n">
        <v>286.292</v>
      </c>
      <c r="V2" t="n">
        <v>277.373</v>
      </c>
      <c r="W2" t="n">
        <v>272.733</v>
      </c>
      <c r="X2" t="n">
        <v>247.527</v>
      </c>
      <c r="Y2" t="n">
        <v>239.832</v>
      </c>
      <c r="Z2" t="n">
        <v>229.64</v>
      </c>
      <c r="AA2" t="n">
        <v>224.577</v>
      </c>
      <c r="AB2" t="n">
        <v>216.746</v>
      </c>
      <c r="AC2" t="n">
        <v>205.929</v>
      </c>
      <c r="AD2" t="n">
        <v>187.306</v>
      </c>
      <c r="AE2" t="n">
        <v>180.889</v>
      </c>
      <c r="AF2" t="n">
        <v>173.049</v>
      </c>
      <c r="AG2" t="n">
        <v>162.332</v>
      </c>
      <c r="AH2" t="n">
        <v>160.81</v>
      </c>
      <c r="AI2" t="n">
        <v>152.28</v>
      </c>
      <c r="AJ2" t="n">
        <v>149.02</v>
      </c>
      <c r="AK2" t="n">
        <v>145.343</v>
      </c>
      <c r="AL2" t="n">
        <v>145.637</v>
      </c>
      <c r="AM2" t="n">
        <v>134.391</v>
      </c>
      <c r="AN2" t="n">
        <v>133.301</v>
      </c>
      <c r="AO2" t="n">
        <v>125.588</v>
      </c>
      <c r="AP2" t="n">
        <v>117.953</v>
      </c>
      <c r="AQ2" t="n">
        <v>114.771</v>
      </c>
      <c r="AR2" t="n">
        <v>109.397</v>
      </c>
      <c r="AS2" t="n">
        <v>101.938</v>
      </c>
      <c r="AT2" t="n">
        <v>98.59399999999999</v>
      </c>
      <c r="AU2" t="n">
        <v>97.13500000000001</v>
      </c>
      <c r="AV2" t="n">
        <v>95.702</v>
      </c>
      <c r="AW2" t="n">
        <v>94.81399999999999</v>
      </c>
      <c r="AX2" t="n">
        <v>95.678</v>
      </c>
      <c r="AY2" t="n">
        <v>97.467</v>
      </c>
      <c r="AZ2" t="n">
        <v>91.694</v>
      </c>
      <c r="BA2" t="n">
        <v>92.464</v>
      </c>
      <c r="BB2" t="n">
        <v>89.982</v>
      </c>
      <c r="BC2" t="n">
        <v>85.014</v>
      </c>
      <c r="BD2" t="n">
        <v>85.48999999999999</v>
      </c>
      <c r="BE2" t="n">
        <v>86.997</v>
      </c>
      <c r="BF2" t="n">
        <v>84.48999999999999</v>
      </c>
    </row>
    <row r="3">
      <c r="A3" s="13" t="inlineStr">
        <is>
          <t>100010</t>
        </is>
      </c>
      <c r="B3" t="n">
        <v>60.113</v>
      </c>
      <c r="C3" t="n">
        <v>54.768</v>
      </c>
      <c r="D3" t="n">
        <v>52.525</v>
      </c>
      <c r="E3" t="n">
        <v>51.564</v>
      </c>
      <c r="F3" t="n">
        <v>52.431</v>
      </c>
      <c r="G3" t="n">
        <v>51.104</v>
      </c>
      <c r="H3" t="n">
        <v>49.589</v>
      </c>
      <c r="I3" t="n">
        <v>48.535</v>
      </c>
      <c r="J3" t="n">
        <v>47.576</v>
      </c>
      <c r="K3" t="n">
        <v>40.386</v>
      </c>
      <c r="L3" t="n">
        <v>39.183</v>
      </c>
      <c r="M3" t="n">
        <v>38.233</v>
      </c>
      <c r="N3" t="n">
        <v>39.174</v>
      </c>
      <c r="O3" t="n">
        <v>40.916</v>
      </c>
      <c r="P3" t="n">
        <v>41.428</v>
      </c>
      <c r="Q3" t="n">
        <v>42.756</v>
      </c>
      <c r="R3" t="n">
        <v>43.379</v>
      </c>
      <c r="S3" t="n">
        <v>44.495</v>
      </c>
      <c r="T3" t="n">
        <v>44.335</v>
      </c>
      <c r="U3" t="n">
        <v>44.751</v>
      </c>
      <c r="V3" t="n">
        <v>46.152</v>
      </c>
      <c r="W3" t="n">
        <v>43.038</v>
      </c>
      <c r="X3" t="n">
        <v>42.1</v>
      </c>
      <c r="Y3" t="n">
        <v>41.281</v>
      </c>
      <c r="Z3" t="n">
        <v>39.836</v>
      </c>
      <c r="AA3" t="n">
        <v>38.302</v>
      </c>
      <c r="AB3" t="n">
        <v>38.505</v>
      </c>
      <c r="AC3" t="n">
        <v>38.186</v>
      </c>
      <c r="AD3" t="n">
        <v>40.237</v>
      </c>
      <c r="AE3" t="n">
        <v>37.88</v>
      </c>
      <c r="AF3" t="n">
        <v>36.126</v>
      </c>
      <c r="AG3" t="n">
        <v>35.616</v>
      </c>
      <c r="AH3" t="n">
        <v>35.72</v>
      </c>
      <c r="AI3" t="n">
        <v>35.049</v>
      </c>
      <c r="AJ3" t="n">
        <v>34.153</v>
      </c>
      <c r="AK3" t="n">
        <v>34.124</v>
      </c>
      <c r="AL3" t="n">
        <v>33.902</v>
      </c>
      <c r="AM3" t="n">
        <v>33.605</v>
      </c>
      <c r="AN3" t="n">
        <v>32.206</v>
      </c>
      <c r="AO3" t="n">
        <v>27.478</v>
      </c>
      <c r="AP3" t="n">
        <v>26.004</v>
      </c>
      <c r="AQ3" t="n">
        <v>25.367</v>
      </c>
      <c r="AR3" t="n">
        <v>25.017</v>
      </c>
      <c r="AS3" t="n">
        <v>24.708</v>
      </c>
      <c r="AT3" t="n">
        <v>23.721</v>
      </c>
      <c r="AU3" t="n">
        <v>23.256</v>
      </c>
      <c r="AV3" t="n">
        <v>22.864</v>
      </c>
      <c r="AW3" t="n">
        <v>20.865</v>
      </c>
      <c r="AX3" t="n">
        <v>19.635</v>
      </c>
      <c r="AY3" t="n">
        <v>18.677</v>
      </c>
      <c r="AZ3" t="n">
        <v>18.547</v>
      </c>
      <c r="BA3" t="n">
        <v>18.052</v>
      </c>
      <c r="BB3" t="n">
        <v>18.078</v>
      </c>
      <c r="BC3" t="n">
        <v>17.057</v>
      </c>
      <c r="BD3" t="n">
        <v>20.312</v>
      </c>
      <c r="BE3" t="n">
        <v>20.08</v>
      </c>
      <c r="BF3" t="n">
        <v>20.417</v>
      </c>
    </row>
    <row r="4">
      <c r="A4" s="13" t="inlineStr">
        <is>
          <t>100030</t>
        </is>
      </c>
      <c r="B4" t="n">
        <v>30.437</v>
      </c>
      <c r="C4" t="n">
        <v>29.463</v>
      </c>
      <c r="D4" t="n">
        <v>28.35</v>
      </c>
      <c r="E4" t="n">
        <v>27.073</v>
      </c>
      <c r="F4" t="n">
        <v>26.101</v>
      </c>
      <c r="G4" t="n">
        <v>24.744</v>
      </c>
      <c r="H4" t="n">
        <v>23.556</v>
      </c>
      <c r="I4" t="n">
        <v>23.343</v>
      </c>
      <c r="J4" t="n">
        <v>22.351</v>
      </c>
      <c r="K4" t="n">
        <v>20.109</v>
      </c>
      <c r="L4" t="n">
        <v>20.295</v>
      </c>
      <c r="M4" t="n">
        <v>19.826</v>
      </c>
      <c r="N4" t="n">
        <v>18.797</v>
      </c>
      <c r="O4" t="n">
        <v>18.407</v>
      </c>
      <c r="P4" t="n">
        <v>17.839</v>
      </c>
      <c r="Q4" t="n">
        <v>17.053</v>
      </c>
      <c r="R4" t="n">
        <v>16.284</v>
      </c>
      <c r="S4" t="n">
        <v>16.978</v>
      </c>
      <c r="T4" t="n">
        <v>17.59</v>
      </c>
      <c r="U4" t="n">
        <v>16.902</v>
      </c>
      <c r="V4" t="n">
        <v>16.768</v>
      </c>
      <c r="W4" t="n">
        <v>15.848</v>
      </c>
      <c r="X4" t="n">
        <v>18.17</v>
      </c>
      <c r="Y4" t="n">
        <v>15.973</v>
      </c>
      <c r="Z4" t="n">
        <v>16.289</v>
      </c>
      <c r="AA4" t="n">
        <v>16.259</v>
      </c>
      <c r="AB4" t="n">
        <v>16.37</v>
      </c>
      <c r="AC4" t="n">
        <v>14.901</v>
      </c>
      <c r="AD4" t="n">
        <v>13.821</v>
      </c>
      <c r="AE4" t="n">
        <v>14.446</v>
      </c>
      <c r="AF4" t="n">
        <v>13.956</v>
      </c>
      <c r="AG4" t="n">
        <v>13.415</v>
      </c>
      <c r="AH4" t="n">
        <v>13.249</v>
      </c>
      <c r="AI4" t="n">
        <v>13.141</v>
      </c>
      <c r="AJ4" t="n">
        <v>14.216</v>
      </c>
      <c r="AK4" t="n">
        <v>14.454</v>
      </c>
      <c r="AL4" t="n">
        <v>15.128</v>
      </c>
      <c r="AM4" t="n">
        <v>14.794</v>
      </c>
      <c r="AN4" t="n">
        <v>14.357</v>
      </c>
      <c r="AO4" t="n">
        <v>13.891</v>
      </c>
      <c r="AP4" t="n">
        <v>12.451</v>
      </c>
      <c r="AQ4" t="n">
        <v>11.424</v>
      </c>
      <c r="AR4" t="n">
        <v>11.828</v>
      </c>
      <c r="AS4" t="n">
        <v>11.857</v>
      </c>
      <c r="AT4" t="n">
        <v>11.852</v>
      </c>
      <c r="AU4" t="n">
        <v>11.872</v>
      </c>
      <c r="AV4" t="n">
        <v>11.746</v>
      </c>
      <c r="AW4" t="n">
        <v>10.482</v>
      </c>
      <c r="AX4" t="n">
        <v>8.693</v>
      </c>
      <c r="AY4" t="n">
        <v>7.916</v>
      </c>
      <c r="AZ4" t="n">
        <v>9.195</v>
      </c>
      <c r="BA4" t="n">
        <v>8.483000000000001</v>
      </c>
      <c r="BB4" t="n">
        <v>7.137</v>
      </c>
      <c r="BC4" t="n">
        <v>8.702999999999999</v>
      </c>
      <c r="BD4" t="n">
        <v>10.145</v>
      </c>
      <c r="BE4" t="n">
        <v>10.616</v>
      </c>
      <c r="BF4" t="n">
        <v>9.500999999999999</v>
      </c>
    </row>
    <row r="5">
      <c r="A5" s="13" t="inlineStr">
        <is>
          <t>100040x100050</t>
        </is>
      </c>
      <c r="B5" t="n">
        <v>97.8</v>
      </c>
      <c r="C5" t="n">
        <v>93.506</v>
      </c>
      <c r="D5" t="n">
        <v>87.958</v>
      </c>
      <c r="E5" t="n">
        <v>85.218</v>
      </c>
      <c r="F5" t="n">
        <v>84.063</v>
      </c>
      <c r="G5" t="n">
        <v>79.268</v>
      </c>
      <c r="H5" t="n">
        <v>75.336</v>
      </c>
      <c r="I5" t="n">
        <v>71.06399999999999</v>
      </c>
      <c r="J5" t="n">
        <v>69.59699999999999</v>
      </c>
      <c r="K5" t="n">
        <v>63.73</v>
      </c>
      <c r="L5" t="n">
        <v>63.08</v>
      </c>
      <c r="M5" t="n">
        <v>63.045</v>
      </c>
      <c r="N5" t="n">
        <v>60.837</v>
      </c>
      <c r="O5" t="n">
        <v>60.222</v>
      </c>
      <c r="P5" t="n">
        <v>59.378</v>
      </c>
      <c r="Q5" t="n">
        <v>56.891</v>
      </c>
      <c r="R5" t="n">
        <v>57.332</v>
      </c>
      <c r="S5" t="n">
        <v>57.116</v>
      </c>
      <c r="T5" t="n">
        <v>57.355</v>
      </c>
      <c r="U5" t="n">
        <v>55.825</v>
      </c>
      <c r="V5" t="n">
        <v>57.542</v>
      </c>
      <c r="W5" t="n">
        <v>55.464</v>
      </c>
      <c r="X5" t="n">
        <v>53.836</v>
      </c>
      <c r="Y5" t="n">
        <v>52.682</v>
      </c>
      <c r="Z5" t="n">
        <v>51.85</v>
      </c>
      <c r="AA5" t="n">
        <v>53.351</v>
      </c>
      <c r="AB5" t="n">
        <v>52.296</v>
      </c>
      <c r="AC5" t="n">
        <v>51.741</v>
      </c>
      <c r="AD5" t="n">
        <v>48.229</v>
      </c>
      <c r="AE5" t="n">
        <v>51.991</v>
      </c>
      <c r="AF5" t="n">
        <v>50.952</v>
      </c>
      <c r="AG5" t="n">
        <v>49.145</v>
      </c>
      <c r="AH5" t="n">
        <v>48.763</v>
      </c>
      <c r="AI5" t="n">
        <v>47.742</v>
      </c>
      <c r="AJ5" t="n">
        <v>48.413</v>
      </c>
      <c r="AK5" t="n">
        <v>48.093</v>
      </c>
      <c r="AL5" t="n">
        <v>48.389</v>
      </c>
      <c r="AM5" t="n">
        <v>44.498</v>
      </c>
      <c r="AN5" t="n">
        <v>43.76</v>
      </c>
      <c r="AO5" t="n">
        <v>40.93</v>
      </c>
      <c r="AP5" t="n">
        <v>41.084</v>
      </c>
      <c r="AQ5" t="n">
        <v>38.647</v>
      </c>
      <c r="AR5" t="n">
        <v>38.622</v>
      </c>
      <c r="AS5" t="n">
        <v>33.665</v>
      </c>
      <c r="AT5" t="n">
        <v>32.181</v>
      </c>
      <c r="AU5" t="n">
        <v>30.171</v>
      </c>
      <c r="AV5" t="n">
        <v>28.306</v>
      </c>
      <c r="AW5" t="n">
        <v>28.854</v>
      </c>
      <c r="AX5" t="n">
        <v>27.786</v>
      </c>
      <c r="AY5" t="n">
        <v>28.475</v>
      </c>
      <c r="AZ5" t="n">
        <v>28.741</v>
      </c>
      <c r="BA5" t="n">
        <v>29.981</v>
      </c>
      <c r="BB5" t="n">
        <v>29.9</v>
      </c>
      <c r="BC5" t="n">
        <v>29.035</v>
      </c>
      <c r="BD5" t="n">
        <v>29.401</v>
      </c>
      <c r="BE5" t="n">
        <v>29.055</v>
      </c>
      <c r="BF5" t="n">
        <v>28.888</v>
      </c>
    </row>
    <row r="6">
      <c r="A6" s="13" t="inlineStr">
        <is>
          <t>REST</t>
        </is>
      </c>
      <c r="B6" t="n">
        <v>4018.082</v>
      </c>
      <c r="C6" t="n">
        <v>3983.78</v>
      </c>
      <c r="D6" t="n">
        <v>3946.832</v>
      </c>
      <c r="E6" t="n">
        <v>3960.994</v>
      </c>
      <c r="F6" t="n">
        <v>3983.791</v>
      </c>
      <c r="G6" t="n">
        <v>3928</v>
      </c>
      <c r="H6" t="n">
        <v>3879.985</v>
      </c>
      <c r="I6" t="n">
        <v>3831.197</v>
      </c>
      <c r="J6" t="n">
        <v>3775.842</v>
      </c>
      <c r="K6" t="n">
        <v>3567.781</v>
      </c>
      <c r="L6" t="n">
        <v>3660.67</v>
      </c>
      <c r="M6" t="n">
        <v>3602.267</v>
      </c>
      <c r="N6" t="n">
        <v>3590.176</v>
      </c>
      <c r="O6" t="n">
        <v>3625.153</v>
      </c>
      <c r="P6" t="n">
        <v>3654.461</v>
      </c>
      <c r="Q6" t="n">
        <v>3532.268</v>
      </c>
      <c r="R6" t="n">
        <v>3576.215</v>
      </c>
      <c r="S6" t="n">
        <v>3570.577</v>
      </c>
      <c r="T6" t="n">
        <v>3621.388</v>
      </c>
      <c r="U6" t="n">
        <v>3687.387</v>
      </c>
      <c r="V6" t="n">
        <v>3802.415</v>
      </c>
      <c r="W6" t="n">
        <v>3734.451</v>
      </c>
      <c r="X6" t="n">
        <v>3681.254</v>
      </c>
      <c r="Y6" t="n">
        <v>3632.391</v>
      </c>
      <c r="Z6" t="n">
        <v>3586.749</v>
      </c>
      <c r="AA6" t="n">
        <v>3545.896</v>
      </c>
      <c r="AB6" t="n">
        <v>3561.505</v>
      </c>
      <c r="AC6" t="n">
        <v>3501.843</v>
      </c>
      <c r="AD6" t="n">
        <v>3483.286</v>
      </c>
      <c r="AE6" t="n">
        <v>3545.599</v>
      </c>
      <c r="AF6" t="n">
        <v>3572.123</v>
      </c>
      <c r="AG6" t="n">
        <v>3676.706</v>
      </c>
      <c r="AH6" t="n">
        <v>3765.129</v>
      </c>
      <c r="AI6" t="n">
        <v>3851.375</v>
      </c>
      <c r="AJ6" t="n">
        <v>3910.377</v>
      </c>
      <c r="AK6" t="n">
        <v>3961.573</v>
      </c>
      <c r="AL6" t="n">
        <v>3945.801</v>
      </c>
      <c r="AM6" t="n">
        <v>3905.013</v>
      </c>
      <c r="AN6" t="n">
        <v>3884.154</v>
      </c>
      <c r="AO6" t="n">
        <v>3930.74</v>
      </c>
      <c r="AP6" t="n">
        <v>4040.503</v>
      </c>
      <c r="AQ6" t="n">
        <v>4073.163</v>
      </c>
      <c r="AR6" t="n">
        <v>4121.254</v>
      </c>
      <c r="AS6" t="n">
        <v>3958.094</v>
      </c>
      <c r="AT6" t="n">
        <v>3880.931</v>
      </c>
      <c r="AU6" t="n">
        <v>3918.214</v>
      </c>
      <c r="AV6" t="n">
        <v>3853.043</v>
      </c>
      <c r="AW6" t="n">
        <v>3862.289</v>
      </c>
      <c r="AX6" t="n">
        <v>3853.214</v>
      </c>
      <c r="AY6" t="n">
        <v>3889.911</v>
      </c>
      <c r="AZ6" t="n">
        <v>3974.827</v>
      </c>
      <c r="BA6" t="n">
        <v>4013.328</v>
      </c>
      <c r="BB6" t="n">
        <v>4009.856</v>
      </c>
      <c r="BC6" t="n">
        <v>4048.623</v>
      </c>
      <c r="BD6" t="n">
        <v>3907.512</v>
      </c>
      <c r="BE6" t="n">
        <v>4142.991</v>
      </c>
      <c r="BF6" t="n">
        <v>4306.497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1982</v>
      </c>
      <c r="C1" s="13" t="n">
        <v>1983</v>
      </c>
      <c r="D1" s="13" t="n">
        <v>1984</v>
      </c>
      <c r="E1" s="13" t="n">
        <v>1985</v>
      </c>
      <c r="F1" s="13" t="n">
        <v>1986</v>
      </c>
      <c r="G1" s="13" t="n">
        <v>1987</v>
      </c>
      <c r="H1" s="13" t="n">
        <v>1988</v>
      </c>
      <c r="I1" s="13" t="n">
        <v>1989</v>
      </c>
      <c r="J1" s="13" t="n">
        <v>1990</v>
      </c>
      <c r="K1" s="13" t="n">
        <v>1991</v>
      </c>
      <c r="L1" s="13" t="n">
        <v>1992</v>
      </c>
      <c r="M1" s="13" t="n">
        <v>1993</v>
      </c>
      <c r="N1" s="13" t="n">
        <v>1994</v>
      </c>
      <c r="O1" s="13" t="n">
        <v>1995</v>
      </c>
      <c r="P1" s="13" t="n">
        <v>1996</v>
      </c>
      <c r="Q1" s="13" t="n">
        <v>1997</v>
      </c>
      <c r="R1" s="13" t="n">
        <v>1998</v>
      </c>
      <c r="S1" s="13" t="n">
        <v>1999</v>
      </c>
      <c r="T1" s="13" t="n">
        <v>2000</v>
      </c>
      <c r="U1" s="13" t="n">
        <v>2001</v>
      </c>
      <c r="V1" s="13" t="n">
        <v>2002</v>
      </c>
      <c r="W1" s="13" t="n">
        <v>2003</v>
      </c>
      <c r="X1" s="13" t="n">
        <v>2004</v>
      </c>
      <c r="Y1" s="13" t="n">
        <v>2005</v>
      </c>
      <c r="Z1" s="13" t="n">
        <v>2006</v>
      </c>
      <c r="AA1" s="13" t="n">
        <v>2007</v>
      </c>
      <c r="AB1" s="13" t="n">
        <v>2008</v>
      </c>
      <c r="AC1" s="13" t="n">
        <v>2009</v>
      </c>
      <c r="AD1" s="13" t="n">
        <v>2010</v>
      </c>
      <c r="AE1" s="13" t="n">
        <v>2011</v>
      </c>
      <c r="AF1" s="13" t="n">
        <v>2012</v>
      </c>
      <c r="AG1" s="13" t="n">
        <v>2013</v>
      </c>
      <c r="AH1" s="13" t="n">
        <v>2014</v>
      </c>
      <c r="AI1" s="13" t="n">
        <v>2015</v>
      </c>
      <c r="AJ1" s="13" t="n">
        <v>2016</v>
      </c>
      <c r="AK1" s="13" t="n">
        <v>2017</v>
      </c>
      <c r="AL1" s="13" t="n">
        <v>2018</v>
      </c>
      <c r="AM1" s="13" t="n">
        <v>2019</v>
      </c>
      <c r="AN1" s="13" t="n">
        <v>2020</v>
      </c>
      <c r="AO1" s="13" t="n">
        <v>2021</v>
      </c>
      <c r="AP1" s="13" t="n">
        <v>2022</v>
      </c>
      <c r="AQ1" s="13" t="n">
        <v>2023</v>
      </c>
      <c r="AR1" s="13" t="n">
        <v>2024</v>
      </c>
    </row>
    <row r="2">
      <c r="A2" s="13" t="inlineStr">
        <is>
          <t>010000</t>
        </is>
      </c>
      <c r="B2" t="n">
        <v>2.622497</v>
      </c>
      <c r="C2" t="n">
        <v>2.609892</v>
      </c>
      <c r="D2" t="n">
        <v>2.62638</v>
      </c>
      <c r="E2" t="n">
        <v>2.613536</v>
      </c>
      <c r="F2" t="n">
        <v>2.604464</v>
      </c>
      <c r="G2" t="n">
        <v>2.587243</v>
      </c>
      <c r="H2" t="n">
        <v>2.569828</v>
      </c>
      <c r="I2" t="n">
        <v>2.555043</v>
      </c>
      <c r="J2" t="n">
        <v>2.571041</v>
      </c>
      <c r="K2" t="n">
        <v>2.557627</v>
      </c>
      <c r="L2" t="n">
        <v>2.548395</v>
      </c>
      <c r="M2" t="n">
        <v>2.326833</v>
      </c>
      <c r="N2" t="n">
        <v>2.287686</v>
      </c>
      <c r="O2" t="n">
        <v>2.301522</v>
      </c>
      <c r="P2" t="n">
        <v>2.332482</v>
      </c>
      <c r="Q2" t="n">
        <v>2.373014</v>
      </c>
      <c r="R2" t="n">
        <v>2.37405</v>
      </c>
      <c r="S2" t="n">
        <v>2.301485</v>
      </c>
      <c r="T2" t="n">
        <v>2.289403</v>
      </c>
      <c r="U2" t="n">
        <v>2.30001</v>
      </c>
      <c r="V2" t="n">
        <v>2.28324</v>
      </c>
      <c r="W2" t="n">
        <v>2.273478</v>
      </c>
      <c r="X2" t="n">
        <v>2.27579</v>
      </c>
      <c r="Y2" t="n">
        <v>2.338676</v>
      </c>
      <c r="Z2" t="n">
        <v>2.355327</v>
      </c>
      <c r="AA2" t="n">
        <v>2.316136</v>
      </c>
      <c r="AB2" t="n">
        <v>2.414401</v>
      </c>
      <c r="AC2" t="n">
        <v>2.394447</v>
      </c>
      <c r="AD2" t="n">
        <v>2.411801</v>
      </c>
      <c r="AE2" t="n">
        <v>2.428236</v>
      </c>
      <c r="AF2" t="n">
        <v>2.419649</v>
      </c>
      <c r="AG2" t="n">
        <v>2.406094</v>
      </c>
      <c r="AH2" t="n">
        <v>2.437626</v>
      </c>
      <c r="AI2" t="n">
        <v>2.351631</v>
      </c>
      <c r="AJ2" t="n">
        <v>2.365537</v>
      </c>
      <c r="AK2" t="n">
        <v>2.359346</v>
      </c>
      <c r="AL2" t="n">
        <v>2.343419</v>
      </c>
      <c r="AM2" t="n">
        <v>2.342263</v>
      </c>
      <c r="AN2" t="n">
        <v>2.315855</v>
      </c>
      <c r="AO2" t="n">
        <v>2.307046</v>
      </c>
      <c r="AP2" t="n">
        <v>2.289825</v>
      </c>
      <c r="AQ2" t="n">
        <v>2.226855</v>
      </c>
      <c r="AR2" t="n">
        <v>2.187941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3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0.2560739121458371</v>
      </c>
      <c r="C2" t="n">
        <v>0.2583400373049164</v>
      </c>
      <c r="D2" t="n">
        <v>0.2810525753243573</v>
      </c>
      <c r="E2" t="n">
        <v>0.3043012070476516</v>
      </c>
      <c r="F2" t="n">
        <v>0.2981196691805785</v>
      </c>
      <c r="G2" t="n">
        <v>0.3339359020225236</v>
      </c>
      <c r="H2" t="n">
        <v>0.4305279872834995</v>
      </c>
      <c r="I2" t="n">
        <v>0.4441488865810277</v>
      </c>
      <c r="J2" t="n">
        <v>0.4871519196396347</v>
      </c>
      <c r="K2" t="n">
        <v>0.5640882024993873</v>
      </c>
      <c r="L2" t="n">
        <v>0.5951435602038827</v>
      </c>
      <c r="M2" t="n">
        <v>0.6345172012790889</v>
      </c>
      <c r="N2" t="n">
        <v>0.6509635058807008</v>
      </c>
      <c r="O2" t="n">
        <v>0.7231817689893076</v>
      </c>
      <c r="P2" t="n">
        <v>0.8119098097553131</v>
      </c>
      <c r="Q2" t="n">
        <v>0.9104181225453216</v>
      </c>
      <c r="R2" t="n">
        <v>0.9546656452935764</v>
      </c>
      <c r="S2" t="n">
        <v>0.9919767301940784</v>
      </c>
      <c r="T2" t="n">
        <v>0.9874915133328732</v>
      </c>
      <c r="U2" t="n">
        <v>0.9547584228003702</v>
      </c>
      <c r="V2" t="n">
        <v>0.9536064786908648</v>
      </c>
      <c r="W2" t="n">
        <v>0.932897985505861</v>
      </c>
      <c r="X2" t="n">
        <v>0.9723989166633664</v>
      </c>
      <c r="Y2" t="n">
        <v>0.9061487322206676</v>
      </c>
      <c r="Z2" t="n">
        <v>0.8933905651510315</v>
      </c>
      <c r="AA2" t="n">
        <v>0.9027064033818472</v>
      </c>
      <c r="AB2" t="n">
        <v>0.80025434628797</v>
      </c>
      <c r="AC2" t="n">
        <v>0.8008948784587202</v>
      </c>
      <c r="AD2" t="n">
        <v>0.8356474583637411</v>
      </c>
      <c r="AE2" t="n">
        <v>0.8470011582738127</v>
      </c>
      <c r="AF2" t="n">
        <v>0.8467165829673531</v>
      </c>
      <c r="AG2" t="n">
        <v>0.7519186091872522</v>
      </c>
      <c r="AH2" t="n">
        <v>0.7351271869925892</v>
      </c>
      <c r="AI2" t="n">
        <v>0.8024794898099309</v>
      </c>
      <c r="AJ2" t="n">
        <v>0.8571823870657378</v>
      </c>
      <c r="AK2" t="n">
        <v>0.7809177322508079</v>
      </c>
      <c r="AL2" t="n">
        <v>0.7551537917641605</v>
      </c>
      <c r="AM2" t="n">
        <v>0.7775565705695168</v>
      </c>
      <c r="AN2" t="n">
        <v>0.7183385474398479</v>
      </c>
      <c r="AO2" t="n">
        <v>0.7313255284552777</v>
      </c>
      <c r="AP2" t="n">
        <v>0.7626810309872719</v>
      </c>
      <c r="AQ2" t="n">
        <v>0.8360712113801251</v>
      </c>
      <c r="AR2" t="n">
        <v>0.7960780301706646</v>
      </c>
      <c r="AS2" t="n">
        <v>0.844624641510905</v>
      </c>
      <c r="AT2" t="n">
        <v>0.9483546237484212</v>
      </c>
      <c r="AU2" t="n">
        <v>1.029352267303177</v>
      </c>
      <c r="AV2" t="n">
        <v>0.9779207033370632</v>
      </c>
      <c r="AW2" t="n">
        <v>0.9385341083305344</v>
      </c>
      <c r="AX2" t="n">
        <v>0.8680480687079508</v>
      </c>
      <c r="AY2" t="n">
        <v>0.881366596530159</v>
      </c>
      <c r="AZ2" t="n">
        <v>0.9560939020926764</v>
      </c>
      <c r="BA2" t="n">
        <v>0.9115415845099554</v>
      </c>
      <c r="BB2" t="n">
        <v>0.9851761620682608</v>
      </c>
      <c r="BC2" t="n">
        <v>1</v>
      </c>
      <c r="BD2" t="n">
        <v>0.9783678672673112</v>
      </c>
      <c r="BE2" t="n">
        <v>1.17552286550737</v>
      </c>
    </row>
    <row r="3">
      <c r="A3" s="13" t="inlineStr">
        <is>
          <t>100010</t>
        </is>
      </c>
      <c r="B3" t="n">
        <v>0.3500494351547784</v>
      </c>
      <c r="C3" t="n">
        <v>0.3472641726783977</v>
      </c>
      <c r="D3" t="n">
        <v>0.3854061974846678</v>
      </c>
      <c r="E3" t="n">
        <v>0.4095739028598369</v>
      </c>
      <c r="F3" t="n">
        <v>0.4058210303196274</v>
      </c>
      <c r="G3" t="n">
        <v>0.4450349839259528</v>
      </c>
      <c r="H3" t="n">
        <v>0.6165883389324178</v>
      </c>
      <c r="I3" t="n">
        <v>0.5942972697723046</v>
      </c>
      <c r="J3" t="n">
        <v>0.6569108903638132</v>
      </c>
      <c r="K3" t="n">
        <v>0.7476775260718892</v>
      </c>
      <c r="L3" t="n">
        <v>0.7653176924957569</v>
      </c>
      <c r="M3" t="n">
        <v>0.8135409818210457</v>
      </c>
      <c r="N3" t="n">
        <v>0.787078009113129</v>
      </c>
      <c r="O3" t="n">
        <v>0.8605891307602758</v>
      </c>
      <c r="P3" t="n">
        <v>0.9858255300861596</v>
      </c>
      <c r="Q3" t="n">
        <v>1.118154923088442</v>
      </c>
      <c r="R3" t="n">
        <v>1.108645089430785</v>
      </c>
      <c r="S3" t="n">
        <v>1.206195737618004</v>
      </c>
      <c r="T3" t="n">
        <v>1.176751210687921</v>
      </c>
      <c r="U3" t="n">
        <v>1.058721087022907</v>
      </c>
      <c r="V3" t="n">
        <v>1.000835993435935</v>
      </c>
      <c r="W3" t="n">
        <v>0.9934778091578292</v>
      </c>
      <c r="X3" t="n">
        <v>1.118696067664912</v>
      </c>
      <c r="Y3" t="n">
        <v>1.044328288972404</v>
      </c>
      <c r="Z3" t="n">
        <v>1.022061931765052</v>
      </c>
      <c r="AA3" t="n">
        <v>1.043129778564501</v>
      </c>
      <c r="AB3" t="n">
        <v>0.8626608425790895</v>
      </c>
      <c r="AC3" t="n">
        <v>0.8758070086667167</v>
      </c>
      <c r="AD3" t="n">
        <v>0.8958503811807654</v>
      </c>
      <c r="AE3" t="n">
        <v>0.9422095476161194</v>
      </c>
      <c r="AF3" t="n">
        <v>0.9647873324694044</v>
      </c>
      <c r="AG3" t="n">
        <v>0.7924192334516937</v>
      </c>
      <c r="AH3" t="n">
        <v>0.7356974168964477</v>
      </c>
      <c r="AI3" t="n">
        <v>0.8665035499424621</v>
      </c>
      <c r="AJ3" t="n">
        <v>0.9309541701120524</v>
      </c>
      <c r="AK3" t="n">
        <v>0.8904460620163924</v>
      </c>
      <c r="AL3" t="n">
        <v>0.8323319618457689</v>
      </c>
      <c r="AM3" t="n">
        <v>0.850000210644738</v>
      </c>
      <c r="AN3" t="n">
        <v>0.8745081029726598</v>
      </c>
      <c r="AO3" t="n">
        <v>0.9044985907532505</v>
      </c>
      <c r="AP3" t="n">
        <v>0.8927284502631667</v>
      </c>
      <c r="AQ3" t="n">
        <v>0.9502080728052364</v>
      </c>
      <c r="AR3" t="n">
        <v>0.919258609603876</v>
      </c>
      <c r="AS3" t="n">
        <v>0.9233594932012568</v>
      </c>
      <c r="AT3" t="n">
        <v>0.9536781304477798</v>
      </c>
      <c r="AU3" t="n">
        <v>1.008778649628367</v>
      </c>
      <c r="AV3" t="n">
        <v>1.030430978777725</v>
      </c>
      <c r="AW3" t="n">
        <v>0.9799064018790846</v>
      </c>
      <c r="AX3" t="n">
        <v>0.932354122312942</v>
      </c>
      <c r="AY3" t="n">
        <v>0.9474777075741502</v>
      </c>
      <c r="AZ3" t="n">
        <v>0.984523219196044</v>
      </c>
      <c r="BA3" t="n">
        <v>0.9493848306551528</v>
      </c>
      <c r="BB3" t="n">
        <v>1.007525031989112</v>
      </c>
      <c r="BC3" t="n">
        <v>1</v>
      </c>
      <c r="BD3" t="n">
        <v>0.9243401956871988</v>
      </c>
      <c r="BE3" t="n">
        <v>1.085472661994312</v>
      </c>
    </row>
    <row r="4">
      <c r="A4" s="13" t="inlineStr">
        <is>
          <t>100030</t>
        </is>
      </c>
      <c r="B4" t="n">
        <v>0.1543600660198406</v>
      </c>
      <c r="C4" t="n">
        <v>0.1559233428711302</v>
      </c>
      <c r="D4" t="n">
        <v>0.1630603287965225</v>
      </c>
      <c r="E4" t="n">
        <v>0.1703918777210732</v>
      </c>
      <c r="F4" t="n">
        <v>0.1879814115832065</v>
      </c>
      <c r="G4" t="n">
        <v>0.2055543054872377</v>
      </c>
      <c r="H4" t="n">
        <v>0.2590273368389043</v>
      </c>
      <c r="I4" t="n">
        <v>0.2881431938901129</v>
      </c>
      <c r="J4" t="n">
        <v>0.3301725269817057</v>
      </c>
      <c r="K4" t="n">
        <v>0.353677906723031</v>
      </c>
      <c r="L4" t="n">
        <v>0.393882563144758</v>
      </c>
      <c r="M4" t="n">
        <v>0.4206036277770338</v>
      </c>
      <c r="N4" t="n">
        <v>0.4363666922318053</v>
      </c>
      <c r="O4" t="n">
        <v>0.4940653863520321</v>
      </c>
      <c r="P4" t="n">
        <v>0.5476154213342072</v>
      </c>
      <c r="Q4" t="n">
        <v>0.6119655271686707</v>
      </c>
      <c r="R4" t="n">
        <v>0.642884898180923</v>
      </c>
      <c r="S4" t="n">
        <v>0.6640970682765989</v>
      </c>
      <c r="T4" t="n">
        <v>0.6852259122590666</v>
      </c>
      <c r="U4" t="n">
        <v>0.6809739581257145</v>
      </c>
      <c r="V4" t="n">
        <v>0.6856394142408803</v>
      </c>
      <c r="W4" t="n">
        <v>0.7162345119379916</v>
      </c>
      <c r="X4" t="n">
        <v>0.7561753724507498</v>
      </c>
      <c r="Y4" t="n">
        <v>0.7642685402983525</v>
      </c>
      <c r="Z4" t="n">
        <v>0.7530353794050533</v>
      </c>
      <c r="AA4" t="n">
        <v>0.7796291289427864</v>
      </c>
      <c r="AB4" t="n">
        <v>0.7923508181359457</v>
      </c>
      <c r="AC4" t="n">
        <v>0.7625634256507263</v>
      </c>
      <c r="AD4" t="n">
        <v>0.7489030329819854</v>
      </c>
      <c r="AE4" t="n">
        <v>0.740736129364401</v>
      </c>
      <c r="AF4" t="n">
        <v>0.7375389161891431</v>
      </c>
      <c r="AG4" t="n">
        <v>0.7527807053415603</v>
      </c>
      <c r="AH4" t="n">
        <v>0.7567426237163337</v>
      </c>
      <c r="AI4" t="n">
        <v>0.7817213676542666</v>
      </c>
      <c r="AJ4" t="n">
        <v>0.8111795181568108</v>
      </c>
      <c r="AK4" t="n">
        <v>0.8245139967032515</v>
      </c>
      <c r="AL4" t="n">
        <v>0.8195156179384132</v>
      </c>
      <c r="AM4" t="n">
        <v>0.8191396921509905</v>
      </c>
      <c r="AN4" t="n">
        <v>0.8154241861963271</v>
      </c>
      <c r="AO4" t="n">
        <v>0.802175650943041</v>
      </c>
      <c r="AP4" t="n">
        <v>0.8420155236912871</v>
      </c>
      <c r="AQ4" t="n">
        <v>0.9033585236183606</v>
      </c>
      <c r="AR4" t="n">
        <v>0.8362741060848966</v>
      </c>
      <c r="AS4" t="n">
        <v>0.8819149246526333</v>
      </c>
      <c r="AT4" t="n">
        <v>0.904365371829036</v>
      </c>
      <c r="AU4" t="n">
        <v>0.9247022643558036</v>
      </c>
      <c r="AV4" t="n">
        <v>0.9386283694765114</v>
      </c>
      <c r="AW4" t="n">
        <v>0.970847237339951</v>
      </c>
      <c r="AX4" t="n">
        <v>0.9734938252218306</v>
      </c>
      <c r="AY4" t="n">
        <v>0.96269381150838</v>
      </c>
      <c r="AZ4" t="n">
        <v>0.9680414100916112</v>
      </c>
      <c r="BA4" t="n">
        <v>0.9859185697877692</v>
      </c>
      <c r="BB4" t="n">
        <v>0.9942849702402428</v>
      </c>
      <c r="BC4" t="n">
        <v>1</v>
      </c>
      <c r="BD4" t="n">
        <v>1.012262843444447</v>
      </c>
      <c r="BE4" t="n">
        <v>1.173251866337763</v>
      </c>
    </row>
    <row r="5">
      <c r="A5" s="13" t="inlineStr">
        <is>
          <t>100040x100050</t>
        </is>
      </c>
      <c r="B5" t="n">
        <v>0.2078552906352204</v>
      </c>
      <c r="C5" t="n">
        <v>0.209504288448264</v>
      </c>
      <c r="D5" t="n">
        <v>0.2203438407415366</v>
      </c>
      <c r="E5" t="n">
        <v>0.2404510299485319</v>
      </c>
      <c r="F5" t="n">
        <v>0.2499513098520994</v>
      </c>
      <c r="G5" t="n">
        <v>0.2592910965610844</v>
      </c>
      <c r="H5" t="n">
        <v>0.3117207274284634</v>
      </c>
      <c r="I5" t="n">
        <v>0.3734528641994831</v>
      </c>
      <c r="J5" t="n">
        <v>0.3929945092292842</v>
      </c>
      <c r="K5" t="n">
        <v>0.4115757489552472</v>
      </c>
      <c r="L5" t="n">
        <v>0.4489421968616541</v>
      </c>
      <c r="M5" t="n">
        <v>0.4703116470777784</v>
      </c>
      <c r="N5" t="n">
        <v>0.4967300480738936</v>
      </c>
      <c r="O5" t="n">
        <v>0.5469937244030449</v>
      </c>
      <c r="P5" t="n">
        <v>0.6172636137241893</v>
      </c>
      <c r="Q5" t="n">
        <v>0.6678727233101507</v>
      </c>
      <c r="R5" t="n">
        <v>0.7024826233298768</v>
      </c>
      <c r="S5" t="n">
        <v>0.7771996571462226</v>
      </c>
      <c r="T5" t="n">
        <v>0.7731941007920664</v>
      </c>
      <c r="U5" t="n">
        <v>0.7415309409868754</v>
      </c>
      <c r="V5" t="n">
        <v>0.7370086678313659</v>
      </c>
      <c r="W5" t="n">
        <v>0.7539949801413834</v>
      </c>
      <c r="X5" t="n">
        <v>0.789640868779985</v>
      </c>
      <c r="Y5" t="n">
        <v>0.7697259076076939</v>
      </c>
      <c r="Z5" t="n">
        <v>0.7740023995654206</v>
      </c>
      <c r="AA5" t="n">
        <v>0.7990355273086155</v>
      </c>
      <c r="AB5" t="n">
        <v>0.7882478620780751</v>
      </c>
      <c r="AC5" t="n">
        <v>0.8052934759870782</v>
      </c>
      <c r="AD5" t="n">
        <v>0.8119834581078264</v>
      </c>
      <c r="AE5" t="n">
        <v>0.8233967536675658</v>
      </c>
      <c r="AF5" t="n">
        <v>0.8297999461094447</v>
      </c>
      <c r="AG5" t="n">
        <v>0.8174731961002092</v>
      </c>
      <c r="AH5" t="n">
        <v>0.8032683341180309</v>
      </c>
      <c r="AI5" t="n">
        <v>0.8182768126264423</v>
      </c>
      <c r="AJ5" t="n">
        <v>0.8449710026329764</v>
      </c>
      <c r="AK5" t="n">
        <v>0.8543250718537326</v>
      </c>
      <c r="AL5" t="n">
        <v>0.8533924611871927</v>
      </c>
      <c r="AM5" t="n">
        <v>0.8561349486053619</v>
      </c>
      <c r="AN5" t="n">
        <v>0.8518432321024646</v>
      </c>
      <c r="AO5" t="n">
        <v>0.8565113553646907</v>
      </c>
      <c r="AP5" t="n">
        <v>0.9129740128423212</v>
      </c>
      <c r="AQ5" t="n">
        <v>1.001978838097973</v>
      </c>
      <c r="AR5" t="n">
        <v>0.9582804978887424</v>
      </c>
      <c r="AS5" t="n">
        <v>0.9875226787862782</v>
      </c>
      <c r="AT5" t="n">
        <v>1.05998143352163</v>
      </c>
      <c r="AU5" t="n">
        <v>1.078304476095256</v>
      </c>
      <c r="AV5" t="n">
        <v>1.088925832992338</v>
      </c>
      <c r="AW5" t="n">
        <v>1.033359651370459</v>
      </c>
      <c r="AX5" t="n">
        <v>1.006482478701111</v>
      </c>
      <c r="AY5" t="n">
        <v>1.004819022512025</v>
      </c>
      <c r="AZ5" t="n">
        <v>1.003632636719739</v>
      </c>
      <c r="BA5" t="n">
        <v>0.9841570036987732</v>
      </c>
      <c r="BB5" t="n">
        <v>0.985124855612276</v>
      </c>
      <c r="BC5" t="n">
        <v>1</v>
      </c>
      <c r="BD5" t="n">
        <v>1.041193014465895</v>
      </c>
      <c r="BE5" t="n">
        <v>1.206345019955627</v>
      </c>
    </row>
    <row r="6">
      <c r="A6" s="13" t="inlineStr">
        <is>
          <t>REST</t>
        </is>
      </c>
      <c r="B6" t="n">
        <v>0.1141911133898056</v>
      </c>
      <c r="C6" t="n">
        <v>0.1200785114717625</v>
      </c>
      <c r="D6" t="n">
        <v>0.1275470672883863</v>
      </c>
      <c r="E6" t="n">
        <v>0.1384131147438269</v>
      </c>
      <c r="F6" t="n">
        <v>0.1485845117958427</v>
      </c>
      <c r="G6" t="n">
        <v>0.159651078174224</v>
      </c>
      <c r="H6" t="n">
        <v>0.1767193340693335</v>
      </c>
      <c r="I6" t="n">
        <v>0.2115551985660778</v>
      </c>
      <c r="J6" t="n">
        <v>0.2361167468939251</v>
      </c>
      <c r="K6" t="n">
        <v>0.2552067311847273</v>
      </c>
      <c r="L6" t="n">
        <v>0.2761265147287859</v>
      </c>
      <c r="M6" t="n">
        <v>0.2959314296101928</v>
      </c>
      <c r="N6" t="n">
        <v>0.3190680133117992</v>
      </c>
      <c r="O6" t="n">
        <v>0.3538563451647036</v>
      </c>
      <c r="P6" t="n">
        <v>0.3971195980882546</v>
      </c>
      <c r="Q6" t="n">
        <v>0.4399747671581505</v>
      </c>
      <c r="R6" t="n">
        <v>0.4724323599190684</v>
      </c>
      <c r="S6" t="n">
        <v>0.4980779257948481</v>
      </c>
      <c r="T6" t="n">
        <v>0.5202988993070292</v>
      </c>
      <c r="U6" t="n">
        <v>0.5173235819947749</v>
      </c>
      <c r="V6" t="n">
        <v>0.5333837781008941</v>
      </c>
      <c r="W6" t="n">
        <v>0.5490839467262166</v>
      </c>
      <c r="X6" t="n">
        <v>0.5816327043460029</v>
      </c>
      <c r="Y6" t="n">
        <v>0.5981505090280617</v>
      </c>
      <c r="Z6" t="n">
        <v>0.6152075957657542</v>
      </c>
      <c r="AA6" t="n">
        <v>0.6237600691581443</v>
      </c>
      <c r="AB6" t="n">
        <v>0.6277928170280495</v>
      </c>
      <c r="AC6" t="n">
        <v>0.639258465651997</v>
      </c>
      <c r="AD6" t="n">
        <v>0.6498374869538965</v>
      </c>
      <c r="AE6" t="n">
        <v>0.6595632040121445</v>
      </c>
      <c r="AF6" t="n">
        <v>0.6753806508936732</v>
      </c>
      <c r="AG6" t="n">
        <v>0.6827692042901338</v>
      </c>
      <c r="AH6" t="n">
        <v>0.6919185214421508</v>
      </c>
      <c r="AI6" t="n">
        <v>0.7199546147570244</v>
      </c>
      <c r="AJ6" t="n">
        <v>0.7376710349518165</v>
      </c>
      <c r="AK6" t="n">
        <v>0.7479557712086349</v>
      </c>
      <c r="AL6" t="n">
        <v>0.7558752685857022</v>
      </c>
      <c r="AM6" t="n">
        <v>0.7711105226200944</v>
      </c>
      <c r="AN6" t="n">
        <v>0.7950831181120688</v>
      </c>
      <c r="AO6" t="n">
        <v>0.8175746922691539</v>
      </c>
      <c r="AP6" t="n">
        <v>0.8401399844448536</v>
      </c>
      <c r="AQ6" t="n">
        <v>0.8773529354182862</v>
      </c>
      <c r="AR6" t="n">
        <v>0.8659048213663049</v>
      </c>
      <c r="AS6" t="n">
        <v>0.897835240407964</v>
      </c>
      <c r="AT6" t="n">
        <v>0.9114932243544882</v>
      </c>
      <c r="AU6" t="n">
        <v>0.9325490343325959</v>
      </c>
      <c r="AV6" t="n">
        <v>0.9405406045796114</v>
      </c>
      <c r="AW6" t="n">
        <v>0.9442075839220044</v>
      </c>
      <c r="AX6" t="n">
        <v>0.9465992290323388</v>
      </c>
      <c r="AY6" t="n">
        <v>0.9378954195708712</v>
      </c>
      <c r="AZ6" t="n">
        <v>0.9569058568783746</v>
      </c>
      <c r="BA6" t="n">
        <v>0.973386108836326</v>
      </c>
      <c r="BB6" t="n">
        <v>0.9864648413612034</v>
      </c>
      <c r="BC6" t="n">
        <v>1</v>
      </c>
      <c r="BD6" t="n">
        <v>1.049351527018623</v>
      </c>
      <c r="BE6" t="n">
        <v>1.187134375897881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4.961465856150742</v>
      </c>
      <c r="C2" t="n">
        <v>5.326186276671321</v>
      </c>
      <c r="D2" t="n">
        <v>5.644206084281077</v>
      </c>
      <c r="E2" t="n">
        <v>6.012332650485236</v>
      </c>
      <c r="F2" t="n">
        <v>5.843746132059673</v>
      </c>
      <c r="G2" t="n">
        <v>6.860279967100272</v>
      </c>
      <c r="H2" t="n">
        <v>7.078671089940801</v>
      </c>
      <c r="I2" t="n">
        <v>7.972720231543761</v>
      </c>
      <c r="J2" t="n">
        <v>9.640369336482715</v>
      </c>
      <c r="K2" t="n">
        <v>11.50581698993282</v>
      </c>
      <c r="L2" t="n">
        <v>12.85365745699843</v>
      </c>
      <c r="M2" t="n">
        <v>14.34634550721398</v>
      </c>
      <c r="N2" t="n">
        <v>16.74978601448369</v>
      </c>
      <c r="O2" t="n">
        <v>19.344179113318</v>
      </c>
      <c r="P2" t="n">
        <v>22.66203120200811</v>
      </c>
      <c r="Q2" t="n">
        <v>25.41239116915423</v>
      </c>
      <c r="R2" t="n">
        <v>28.23424381633438</v>
      </c>
      <c r="S2" t="n">
        <v>32.00441304274218</v>
      </c>
      <c r="T2" t="n">
        <v>35.98272495463004</v>
      </c>
      <c r="U2" t="n">
        <v>39.72670200411631</v>
      </c>
      <c r="V2" t="n">
        <v>43.97596448977664</v>
      </c>
      <c r="W2" t="n">
        <v>49.24480896513823</v>
      </c>
      <c r="X2" t="n">
        <v>54.20625447278521</v>
      </c>
      <c r="Y2" t="n">
        <v>57.80975101458813</v>
      </c>
      <c r="Z2" t="n">
        <v>61.15090804266359</v>
      </c>
      <c r="AA2" t="n">
        <v>62.96467185061076</v>
      </c>
      <c r="AB2" t="n">
        <v>68.24304726938962</v>
      </c>
      <c r="AC2" t="n">
        <v>70.47278483110684</v>
      </c>
      <c r="AD2" t="n">
        <v>72.40197125400465</v>
      </c>
      <c r="AE2" t="n">
        <v>73.66841896620072</v>
      </c>
      <c r="AF2" t="n">
        <v>77.60292760823279</v>
      </c>
      <c r="AG2" t="n">
        <v>82.11214838255977</v>
      </c>
      <c r="AH2" t="n">
        <v>85.65442745217563</v>
      </c>
      <c r="AI2" t="n">
        <v>87.36362446231531</v>
      </c>
      <c r="AJ2" t="n">
        <v>90.1477119846667</v>
      </c>
      <c r="AK2" t="n">
        <v>91.29734131122945</v>
      </c>
      <c r="AL2" t="n">
        <v>97.14543015199132</v>
      </c>
      <c r="AM2" t="n">
        <v>103.0156194928302</v>
      </c>
      <c r="AN2" t="n">
        <v>108.3957151617354</v>
      </c>
      <c r="AO2" t="n">
        <v>109.3107302675426</v>
      </c>
      <c r="AP2" t="n">
        <v>113.5215525764227</v>
      </c>
      <c r="AQ2" t="n">
        <v>120.938515391743</v>
      </c>
      <c r="AR2" t="n">
        <v>127.1319296478519</v>
      </c>
      <c r="AS2" t="n">
        <v>132.9063867016623</v>
      </c>
      <c r="AT2" t="n">
        <v>140.4118988187661</v>
      </c>
      <c r="AU2" t="n">
        <v>143.6153156920136</v>
      </c>
      <c r="AV2" t="n">
        <v>146.4079964656505</v>
      </c>
      <c r="AW2" t="n">
        <v>150.459150687682</v>
      </c>
      <c r="AX2" t="n">
        <v>156.5228404752214</v>
      </c>
      <c r="AY2" t="n">
        <v>175.9783909508379</v>
      </c>
      <c r="AZ2" t="n">
        <v>179.4635236129756</v>
      </c>
      <c r="BA2" t="n">
        <v>182.1442515646232</v>
      </c>
      <c r="BB2" t="n">
        <v>189.6717047587715</v>
      </c>
      <c r="BC2" t="n">
        <v>197.7102564102564</v>
      </c>
      <c r="BD2" t="n">
        <v>205.6869386807061</v>
      </c>
      <c r="BE2" t="n">
        <v>203.3906396942594</v>
      </c>
      <c r="BF2" t="n">
        <v>217.8911462658753</v>
      </c>
    </row>
    <row r="3">
      <c r="A3" s="13" t="inlineStr">
        <is>
          <t>100010</t>
        </is>
      </c>
      <c r="B3" t="n">
        <v>9.465933164764571</v>
      </c>
      <c r="C3" t="n">
        <v>10.6974409965855</v>
      </c>
      <c r="D3" t="n">
        <v>11.7625041533921</v>
      </c>
      <c r="E3" t="n">
        <v>12.92619544686351</v>
      </c>
      <c r="F3" t="n">
        <v>15.00130724055177</v>
      </c>
      <c r="G3" t="n">
        <v>17.99482424411982</v>
      </c>
      <c r="H3" t="n">
        <v>19.99917810470946</v>
      </c>
      <c r="I3" t="n">
        <v>24.75282832735134</v>
      </c>
      <c r="J3" t="n">
        <v>30.20148598591097</v>
      </c>
      <c r="K3" t="n">
        <v>37.03716751805531</v>
      </c>
      <c r="L3" t="n">
        <v>40.77741191112032</v>
      </c>
      <c r="M3" t="n">
        <v>45.26825388408717</v>
      </c>
      <c r="N3" t="n">
        <v>49.79653176203029</v>
      </c>
      <c r="O3" t="n">
        <v>54.94026127972735</v>
      </c>
      <c r="P3" t="n">
        <v>58.67441860465117</v>
      </c>
      <c r="Q3" t="n">
        <v>64.41712843971798</v>
      </c>
      <c r="R3" t="n">
        <v>69.61013169813951</v>
      </c>
      <c r="S3" t="n">
        <v>75.79622000905387</v>
      </c>
      <c r="T3" t="n">
        <v>82.17514881628573</v>
      </c>
      <c r="U3" t="n">
        <v>89.61129239147557</v>
      </c>
      <c r="V3" t="n">
        <v>95.26908392783122</v>
      </c>
      <c r="W3" t="n">
        <v>111.4403727726134</v>
      </c>
      <c r="X3" t="n">
        <v>117.1416126175717</v>
      </c>
      <c r="Y3" t="n">
        <v>119.6311797273237</v>
      </c>
      <c r="Z3" t="n">
        <v>128.676996966633</v>
      </c>
      <c r="AA3" t="n">
        <v>135.1157348915561</v>
      </c>
      <c r="AB3" t="n">
        <v>139.1541304119929</v>
      </c>
      <c r="AC3" t="n">
        <v>140.1823439315517</v>
      </c>
      <c r="AD3" t="n">
        <v>144.1129456568036</v>
      </c>
      <c r="AE3" t="n">
        <v>142.973226629799</v>
      </c>
      <c r="AF3" t="n">
        <v>147.9077905420477</v>
      </c>
      <c r="AG3" t="n">
        <v>151.8210773230839</v>
      </c>
      <c r="AH3" t="n">
        <v>165.1366120218579</v>
      </c>
      <c r="AI3" t="n">
        <v>170.9497605597454</v>
      </c>
      <c r="AJ3" t="n">
        <v>171.1839818551356</v>
      </c>
      <c r="AK3" t="n">
        <v>181.0935243316533</v>
      </c>
      <c r="AL3" t="n">
        <v>190.2233067315395</v>
      </c>
      <c r="AM3" t="n">
        <v>196.712893194594</v>
      </c>
      <c r="AN3" t="n">
        <v>200.2881213142376</v>
      </c>
      <c r="AO3" t="n">
        <v>217.9460161768474</v>
      </c>
      <c r="AP3" t="n">
        <v>222.4052977571539</v>
      </c>
      <c r="AQ3" t="n">
        <v>238.4968697995087</v>
      </c>
      <c r="AR3" t="n">
        <v>249.5721862819946</v>
      </c>
      <c r="AS3" t="n">
        <v>246.0841771379773</v>
      </c>
      <c r="AT3" t="n">
        <v>254.2402710141859</v>
      </c>
      <c r="AU3" t="n">
        <v>253.9494814174589</v>
      </c>
      <c r="AV3" t="n">
        <v>258.1779847140473</v>
      </c>
      <c r="AW3" t="n">
        <v>276.3944821609129</v>
      </c>
      <c r="AX3" t="n">
        <v>285.155595390525</v>
      </c>
      <c r="AY3" t="n">
        <v>290.0287483176312</v>
      </c>
      <c r="AZ3" t="n">
        <v>316.8309759930635</v>
      </c>
      <c r="BA3" t="n">
        <v>319.169814474344</v>
      </c>
      <c r="BB3" t="n">
        <v>334.3943857698722</v>
      </c>
      <c r="BC3" t="n">
        <v>359.650762796725</v>
      </c>
      <c r="BD3" t="n">
        <v>321.2341077607513</v>
      </c>
      <c r="BE3" t="n">
        <v>349.3707297554144</v>
      </c>
      <c r="BF3" t="n">
        <v>359.4524933608734</v>
      </c>
    </row>
    <row r="4">
      <c r="A4" s="13" t="inlineStr">
        <is>
          <t>100030</t>
        </is>
      </c>
      <c r="B4" t="n">
        <v>10.27249804673627</v>
      </c>
      <c r="C4" t="n">
        <v>11.56368305209097</v>
      </c>
      <c r="D4" t="n">
        <v>12.84490325535244</v>
      </c>
      <c r="E4" t="n">
        <v>14.46356582946728</v>
      </c>
      <c r="F4" t="n">
        <v>15.93316216663906</v>
      </c>
      <c r="G4" t="n">
        <v>18.50724890829694</v>
      </c>
      <c r="H4" t="n">
        <v>21.18098510882016</v>
      </c>
      <c r="I4" t="n">
        <v>23.83506100357766</v>
      </c>
      <c r="J4" t="n">
        <v>28.78218297014496</v>
      </c>
      <c r="K4" t="n">
        <v>36.01276864063896</v>
      </c>
      <c r="L4" t="n">
        <v>40.69589473684211</v>
      </c>
      <c r="M4" t="n">
        <v>47.16321656050955</v>
      </c>
      <c r="N4" t="n">
        <v>53.54568499944891</v>
      </c>
      <c r="O4" t="n">
        <v>57.97524696901662</v>
      </c>
      <c r="P4" t="n">
        <v>62.86094792676667</v>
      </c>
      <c r="Q4" t="n">
        <v>71.1956962327134</v>
      </c>
      <c r="R4" t="n">
        <v>79.45262503883194</v>
      </c>
      <c r="S4" t="n">
        <v>82.76108870967741</v>
      </c>
      <c r="T4" t="n">
        <v>87.87780762416413</v>
      </c>
      <c r="U4" t="n">
        <v>93.57537255833284</v>
      </c>
      <c r="V4" t="n">
        <v>96.56676026046956</v>
      </c>
      <c r="W4" t="n">
        <v>113.8517463933182</v>
      </c>
      <c r="X4" t="n">
        <v>115.3150488383643</v>
      </c>
      <c r="Y4" t="n">
        <v>132.5728826338276</v>
      </c>
      <c r="Z4" t="n">
        <v>138.3560344827586</v>
      </c>
      <c r="AA4" t="n">
        <v>146.84796943366</v>
      </c>
      <c r="AB4" t="n">
        <v>151.6126208838291</v>
      </c>
      <c r="AC4" t="n">
        <v>158.4283888328288</v>
      </c>
      <c r="AD4" t="n">
        <v>165.4488937250635</v>
      </c>
      <c r="AE4" t="n">
        <v>166.6495281709686</v>
      </c>
      <c r="AF4" t="n">
        <v>175.9086662834148</v>
      </c>
      <c r="AG4" t="n">
        <v>189.2692480191359</v>
      </c>
      <c r="AH4" t="n">
        <v>196.3677517032551</v>
      </c>
      <c r="AI4" t="n">
        <v>204.4459531619498</v>
      </c>
      <c r="AJ4" t="n">
        <v>203.3199605161109</v>
      </c>
      <c r="AK4" t="n">
        <v>200.0169197697802</v>
      </c>
      <c r="AL4" t="n">
        <v>213.2830288588827</v>
      </c>
      <c r="AM4" t="n">
        <v>228.9473399214837</v>
      </c>
      <c r="AN4" t="n">
        <v>240.2545682800949</v>
      </c>
      <c r="AO4" t="n">
        <v>245.6442058230038</v>
      </c>
      <c r="AP4" t="n">
        <v>264.4720231865389</v>
      </c>
      <c r="AQ4" t="n">
        <v>278.2966733959449</v>
      </c>
      <c r="AR4" t="n">
        <v>276.8259727049249</v>
      </c>
      <c r="AS4" t="n">
        <v>278.3103389973793</v>
      </c>
      <c r="AT4" t="n">
        <v>286.2603029533722</v>
      </c>
      <c r="AU4" t="n">
        <v>287.5313793394712</v>
      </c>
      <c r="AV4" t="n">
        <v>299.1331797628189</v>
      </c>
      <c r="AW4" t="n">
        <v>295.519269388926</v>
      </c>
      <c r="AX4" t="n">
        <v>297.2414867828697</v>
      </c>
      <c r="AY4" t="n">
        <v>307.801192590713</v>
      </c>
      <c r="AZ4" t="n">
        <v>335.9011564477416</v>
      </c>
      <c r="BA4" t="n">
        <v>350.1131093232371</v>
      </c>
      <c r="BB4" t="n">
        <v>360.5027406886858</v>
      </c>
      <c r="BC4" t="n">
        <v>360.8306841741534</v>
      </c>
      <c r="BD4" t="n">
        <v>363.8492094861661</v>
      </c>
      <c r="BE4" t="n">
        <v>384.9727942565653</v>
      </c>
      <c r="BF4" t="n">
        <v>381.9686378035902</v>
      </c>
    </row>
    <row r="5">
      <c r="A5" s="13" t="inlineStr">
        <is>
          <t>100040x100050</t>
        </is>
      </c>
      <c r="B5" t="n">
        <v>9.174340662019205</v>
      </c>
      <c r="C5" t="n">
        <v>10.34080957912608</v>
      </c>
      <c r="D5" t="n">
        <v>11.51983667914257</v>
      </c>
      <c r="E5" t="n">
        <v>13.16113850291349</v>
      </c>
      <c r="F5" t="n">
        <v>14.6402320809453</v>
      </c>
      <c r="G5" t="n">
        <v>17.18871289523003</v>
      </c>
      <c r="H5" t="n">
        <v>19.31935170281598</v>
      </c>
      <c r="I5" t="n">
        <v>23.09002358770724</v>
      </c>
      <c r="J5" t="n">
        <v>28.39280834356677</v>
      </c>
      <c r="K5" t="n">
        <v>34.36925078441877</v>
      </c>
      <c r="L5" t="n">
        <v>38.0443185732328</v>
      </c>
      <c r="M5" t="n">
        <v>42.29564430706598</v>
      </c>
      <c r="N5" t="n">
        <v>46.71192861675737</v>
      </c>
      <c r="O5" t="n">
        <v>52.21277295321354</v>
      </c>
      <c r="P5" t="n">
        <v>58.05638705186217</v>
      </c>
      <c r="Q5" t="n">
        <v>65.07649789962414</v>
      </c>
      <c r="R5" t="n">
        <v>70.1052891549602</v>
      </c>
      <c r="S5" t="n">
        <v>76.48176760826404</v>
      </c>
      <c r="T5" t="n">
        <v>81.3680786187341</v>
      </c>
      <c r="U5" t="n">
        <v>85.51131644311971</v>
      </c>
      <c r="V5" t="n">
        <v>89.16198381883213</v>
      </c>
      <c r="W5" t="n">
        <v>100.2744846124958</v>
      </c>
      <c r="X5" t="n">
        <v>106.7404196430389</v>
      </c>
      <c r="Y5" t="n">
        <v>113.4994091917328</v>
      </c>
      <c r="Z5" t="n">
        <v>119.9295650900571</v>
      </c>
      <c r="AA5" t="n">
        <v>122.4078630541673</v>
      </c>
      <c r="AB5" t="n">
        <v>123.8232524522457</v>
      </c>
      <c r="AC5" t="n">
        <v>125.5419042070659</v>
      </c>
      <c r="AD5" t="n">
        <v>129.0228082679972</v>
      </c>
      <c r="AE5" t="n">
        <v>131.0122346911361</v>
      </c>
      <c r="AF5" t="n">
        <v>137.7141655804566</v>
      </c>
      <c r="AG5" t="n">
        <v>143.7204679888657</v>
      </c>
      <c r="AH5" t="n">
        <v>148.9042529845506</v>
      </c>
      <c r="AI5" t="n">
        <v>150.4902707275804</v>
      </c>
      <c r="AJ5" t="n">
        <v>157.0376736262776</v>
      </c>
      <c r="AK5" t="n">
        <v>165.312657977449</v>
      </c>
      <c r="AL5" t="n">
        <v>172.650378063619</v>
      </c>
      <c r="AM5" t="n">
        <v>185.7006050048259</v>
      </c>
      <c r="AN5" t="n">
        <v>192.1539031679617</v>
      </c>
      <c r="AO5" t="n">
        <v>203.3292673511928</v>
      </c>
      <c r="AP5" t="n">
        <v>212.1637968090217</v>
      </c>
      <c r="AQ5" t="n">
        <v>225.0579675059178</v>
      </c>
      <c r="AR5" t="n">
        <v>232.8715210875615</v>
      </c>
      <c r="AS5" t="n">
        <v>244.5888287401575</v>
      </c>
      <c r="AT5" t="n">
        <v>248.2419219876416</v>
      </c>
      <c r="AU5" t="n">
        <v>253.7027593553486</v>
      </c>
      <c r="AV5" t="n">
        <v>255.1657571873284</v>
      </c>
      <c r="AW5" t="n">
        <v>256.70374231585</v>
      </c>
      <c r="AX5" t="n">
        <v>261.1357677902621</v>
      </c>
      <c r="AY5" t="n">
        <v>258.9608302522238</v>
      </c>
      <c r="AZ5" t="n">
        <v>266.3180028180209</v>
      </c>
      <c r="BA5" t="n">
        <v>274.2272963155164</v>
      </c>
      <c r="BB5" t="n">
        <v>284.0166961100142</v>
      </c>
      <c r="BC5" t="n">
        <v>283.3451544195953</v>
      </c>
      <c r="BD5" t="n">
        <v>292.9395020282557</v>
      </c>
      <c r="BE5" t="n">
        <v>294.0570323313341</v>
      </c>
      <c r="BF5" t="n">
        <v>304.2582025677603</v>
      </c>
    </row>
    <row r="6">
      <c r="A6" s="13" t="inlineStr">
        <is>
          <t>REST</t>
        </is>
      </c>
      <c r="B6" t="n">
        <v>10.92432962042088</v>
      </c>
      <c r="C6" t="n">
        <v>12.29082984799415</v>
      </c>
      <c r="D6" t="n">
        <v>13.84158103050384</v>
      </c>
      <c r="E6" t="n">
        <v>15.73375803718663</v>
      </c>
      <c r="F6" t="n">
        <v>17.72343840524188</v>
      </c>
      <c r="G6" t="n">
        <v>20.34442430140511</v>
      </c>
      <c r="H6" t="n">
        <v>22.84796684789127</v>
      </c>
      <c r="I6" t="n">
        <v>26.49424750564953</v>
      </c>
      <c r="J6" t="n">
        <v>31.60268590206997</v>
      </c>
      <c r="K6" t="n">
        <v>37.79003913929839</v>
      </c>
      <c r="L6" t="n">
        <v>42.04802989661753</v>
      </c>
      <c r="M6" t="n">
        <v>47.31938447359926</v>
      </c>
      <c r="N6" t="n">
        <v>52.51649325713509</v>
      </c>
      <c r="O6" t="n">
        <v>57.71886677233339</v>
      </c>
      <c r="P6" t="n">
        <v>62.68402124330503</v>
      </c>
      <c r="Q6" t="n">
        <v>69.87281272978507</v>
      </c>
      <c r="R6" t="n">
        <v>78.1047537162777</v>
      </c>
      <c r="S6" t="n">
        <v>85.14478128335179</v>
      </c>
      <c r="T6" t="n">
        <v>90.23450556737978</v>
      </c>
      <c r="U6" t="n">
        <v>95.60455700919336</v>
      </c>
      <c r="V6" t="n">
        <v>99.72882733248636</v>
      </c>
      <c r="W6" t="n">
        <v>110.5219208208354</v>
      </c>
      <c r="X6" t="n">
        <v>118.3393071356088</v>
      </c>
      <c r="Y6" t="n">
        <v>124.7880859653681</v>
      </c>
      <c r="Z6" t="n">
        <v>130.9928443059422</v>
      </c>
      <c r="AA6" t="n">
        <v>136.9325863833281</v>
      </c>
      <c r="AB6" t="n">
        <v>140.7872780035249</v>
      </c>
      <c r="AC6" t="n">
        <v>144.2260229773601</v>
      </c>
      <c r="AD6" t="n">
        <v>149.5814955483937</v>
      </c>
      <c r="AE6" t="n">
        <v>153.5597671871082</v>
      </c>
      <c r="AF6" t="n">
        <v>161.0509305880319</v>
      </c>
      <c r="AG6" t="n">
        <v>163.6023164745137</v>
      </c>
      <c r="AH6" t="n">
        <v>168.9831915629143</v>
      </c>
      <c r="AI6" t="n">
        <v>173.4418819377879</v>
      </c>
      <c r="AJ6" t="n">
        <v>178.696248342563</v>
      </c>
      <c r="AK6" t="n">
        <v>185.1877511400187</v>
      </c>
      <c r="AL6" t="n">
        <v>193.4485448871873</v>
      </c>
      <c r="AM6" t="n">
        <v>200.9227918182872</v>
      </c>
      <c r="AN6" t="n">
        <v>207.2613238533196</v>
      </c>
      <c r="AO6" t="n">
        <v>214.575867838799</v>
      </c>
      <c r="AP6" t="n">
        <v>221.3850395723751</v>
      </c>
      <c r="AQ6" t="n">
        <v>232.8515484033458</v>
      </c>
      <c r="AR6" t="n">
        <v>241.6765221751553</v>
      </c>
      <c r="AS6" t="n">
        <v>250.6440700221317</v>
      </c>
      <c r="AT6" t="n">
        <v>257.7919096285702</v>
      </c>
      <c r="AU6" t="n">
        <v>259.1454142409844</v>
      </c>
      <c r="AV6" t="n">
        <v>266.2198324005196</v>
      </c>
      <c r="AW6" t="n">
        <v>270.2792682804596</v>
      </c>
      <c r="AX6" t="n">
        <v>276.8681767662576</v>
      </c>
      <c r="AY6" t="n">
        <v>283.685152754641</v>
      </c>
      <c r="AZ6" t="n">
        <v>285.2288676040025</v>
      </c>
      <c r="BA6" t="n">
        <v>291.2281701187143</v>
      </c>
      <c r="BB6" t="n">
        <v>301.0809696608653</v>
      </c>
      <c r="BC6" t="n">
        <v>306.638691275406</v>
      </c>
      <c r="BD6" t="n">
        <v>321.5198818994621</v>
      </c>
      <c r="BE6" t="n">
        <v>321.8308648783769</v>
      </c>
      <c r="BF6" t="n">
        <v>330.8127572047019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0.06075127845510062</v>
      </c>
      <c r="AE2" t="n">
        <v>0.06979108059879782</v>
      </c>
      <c r="AF2" t="n">
        <v>0.08502653550465021</v>
      </c>
      <c r="AG2" t="n">
        <v>0.07036896321872319</v>
      </c>
      <c r="AH2" t="n">
        <v>0.06786334189928389</v>
      </c>
      <c r="AI2" t="n">
        <v>0.08887160585153009</v>
      </c>
      <c r="AJ2" t="n">
        <v>0.0624156091372849</v>
      </c>
      <c r="AK2" t="n">
        <v>0.05608512922721279</v>
      </c>
      <c r="AL2" t="n">
        <v>0.05987537353692002</v>
      </c>
      <c r="AM2" t="n">
        <v>0.06363606750636322</v>
      </c>
      <c r="AN2" t="n">
        <v>0.07090956673943913</v>
      </c>
      <c r="AO2" t="n">
        <v>0.04563679868450381</v>
      </c>
      <c r="AP2" t="n">
        <v>0.06395583376790558</v>
      </c>
      <c r="AQ2" t="n">
        <v>0.05215034659493861</v>
      </c>
      <c r="AR2" t="n">
        <v>0.06619729289394451</v>
      </c>
      <c r="AS2" t="n">
        <v>0.07295948186737371</v>
      </c>
      <c r="AT2" t="n">
        <v>0.07474765158758047</v>
      </c>
      <c r="AU2" t="n">
        <v>0.07434565915727266</v>
      </c>
      <c r="AV2" t="n">
        <v>0.055688748115678</v>
      </c>
      <c r="AW2" t="n">
        <v>0.06165052974060092</v>
      </c>
      <c r="AX2" t="n">
        <v>0.05809535726583558</v>
      </c>
      <c r="AY2" t="n">
        <v>0.05616667499025472</v>
      </c>
      <c r="AZ2" t="n">
        <v>0.04699751225800289</v>
      </c>
      <c r="BA2" t="n">
        <v>0.06361090307951567</v>
      </c>
      <c r="BB2" t="n">
        <v>0.09395303481392898</v>
      </c>
      <c r="BC2" t="n">
        <v>0.06946861459892774</v>
      </c>
      <c r="BD2" t="n">
        <v>0.06813356760998626</v>
      </c>
      <c r="BE2" t="n">
        <v>0.1007265941214398</v>
      </c>
      <c r="BF2" t="n">
        <v>0.06587272917157451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0.102035384485007</v>
      </c>
      <c r="AE3" t="n">
        <v>0.1077747853893783</v>
      </c>
      <c r="AF3" t="n">
        <v>0.118773275694326</v>
      </c>
      <c r="AG3" t="n">
        <v>0.1116450723910383</v>
      </c>
      <c r="AH3" t="n">
        <v>0.1065830842140049</v>
      </c>
      <c r="AI3" t="n">
        <v>0.09634680014017925</v>
      </c>
      <c r="AJ3" t="n">
        <v>0.1108574399228473</v>
      </c>
      <c r="AK3" t="n">
        <v>0.08669004334689977</v>
      </c>
      <c r="AL3" t="n">
        <v>0.09385783615985641</v>
      </c>
      <c r="AM3" t="n">
        <v>0.09654273032002353</v>
      </c>
      <c r="AN3" t="n">
        <v>0.1040068537917273</v>
      </c>
      <c r="AO3" t="n">
        <v>0.08336590856138601</v>
      </c>
      <c r="AP3" t="n">
        <v>0.1027803265946198</v>
      </c>
      <c r="AQ3" t="n">
        <v>0.07426519508294409</v>
      </c>
      <c r="AR3" t="n">
        <v>0.09818828054788641</v>
      </c>
      <c r="AS3" t="n">
        <v>0.1032565829165594</v>
      </c>
      <c r="AT3" t="n">
        <v>0.1076011574568646</v>
      </c>
      <c r="AU3" t="n">
        <v>0.1048953793390602</v>
      </c>
      <c r="AV3" t="n">
        <v>0.09593269822537366</v>
      </c>
      <c r="AW3" t="n">
        <v>0.09564006583360633</v>
      </c>
      <c r="AX3" t="n">
        <v>0.07855379299835906</v>
      </c>
      <c r="AY3" t="n">
        <v>0.07951903952722307</v>
      </c>
      <c r="AZ3" t="n">
        <v>0.07790811200161911</v>
      </c>
      <c r="BA3" t="n">
        <v>0.09466332388529115</v>
      </c>
      <c r="BB3" t="n">
        <v>0.09516005633794716</v>
      </c>
      <c r="BC3" t="n">
        <v>0.08301997452312941</v>
      </c>
      <c r="BD3" t="n">
        <v>0.08390417810858884</v>
      </c>
      <c r="BE3" t="n">
        <v>0.08639892236241876</v>
      </c>
      <c r="BF3" t="n">
        <v>0.08233012443934364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0.102035384485007</v>
      </c>
      <c r="AE4" t="n">
        <v>0.1077747853893783</v>
      </c>
      <c r="AF4" t="n">
        <v>0.118773275694326</v>
      </c>
      <c r="AG4" t="n">
        <v>0.1116450723910383</v>
      </c>
      <c r="AH4" t="n">
        <v>0.1065830842140049</v>
      </c>
      <c r="AI4" t="n">
        <v>0.09634680014017925</v>
      </c>
      <c r="AJ4" t="n">
        <v>0.1108574399228473</v>
      </c>
      <c r="AK4" t="n">
        <v>0.08669004334689977</v>
      </c>
      <c r="AL4" t="n">
        <v>0.09385783615985641</v>
      </c>
      <c r="AM4" t="n">
        <v>0.09654273032002353</v>
      </c>
      <c r="AN4" t="n">
        <v>0.1040068537917273</v>
      </c>
      <c r="AO4" t="n">
        <v>0.08336590856138601</v>
      </c>
      <c r="AP4" t="n">
        <v>0.1027803265946198</v>
      </c>
      <c r="AQ4" t="n">
        <v>0.07426519508294409</v>
      </c>
      <c r="AR4" t="n">
        <v>0.09818828054788641</v>
      </c>
      <c r="AS4" t="n">
        <v>0.1032565829165594</v>
      </c>
      <c r="AT4" t="n">
        <v>0.1076011574568646</v>
      </c>
      <c r="AU4" t="n">
        <v>0.1048953793390602</v>
      </c>
      <c r="AV4" t="n">
        <v>0.09593269822537366</v>
      </c>
      <c r="AW4" t="n">
        <v>0.09564006583360633</v>
      </c>
      <c r="AX4" t="n">
        <v>0.07855379299835906</v>
      </c>
      <c r="AY4" t="n">
        <v>0.07951903952722307</v>
      </c>
      <c r="AZ4" t="n">
        <v>0.07790811200161911</v>
      </c>
      <c r="BA4" t="n">
        <v>0.09466332388529115</v>
      </c>
      <c r="BB4" t="n">
        <v>0.09516005633794716</v>
      </c>
      <c r="BC4" t="n">
        <v>0.08301997452312941</v>
      </c>
      <c r="BD4" t="n">
        <v>0.08390417810858884</v>
      </c>
      <c r="BE4" t="n">
        <v>0.08639892236241876</v>
      </c>
      <c r="BF4" t="n">
        <v>0.08233012443934364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0.102035384485007</v>
      </c>
      <c r="AE5" t="n">
        <v>0.1077747853893783</v>
      </c>
      <c r="AF5" t="n">
        <v>0.118773275694326</v>
      </c>
      <c r="AG5" t="n">
        <v>0.1116450723910383</v>
      </c>
      <c r="AH5" t="n">
        <v>0.1065830842140049</v>
      </c>
      <c r="AI5" t="n">
        <v>0.09634680014017925</v>
      </c>
      <c r="AJ5" t="n">
        <v>0.1108574399228473</v>
      </c>
      <c r="AK5" t="n">
        <v>0.08669004334689977</v>
      </c>
      <c r="AL5" t="n">
        <v>0.09385783615985641</v>
      </c>
      <c r="AM5" t="n">
        <v>0.09654273032002353</v>
      </c>
      <c r="AN5" t="n">
        <v>0.1040068537917273</v>
      </c>
      <c r="AO5" t="n">
        <v>0.08336590856138601</v>
      </c>
      <c r="AP5" t="n">
        <v>0.1027803265946198</v>
      </c>
      <c r="AQ5" t="n">
        <v>0.07426519508294409</v>
      </c>
      <c r="AR5" t="n">
        <v>0.09818828054788641</v>
      </c>
      <c r="AS5" t="n">
        <v>0.1032565829165594</v>
      </c>
      <c r="AT5" t="n">
        <v>0.1076011574568646</v>
      </c>
      <c r="AU5" t="n">
        <v>0.1048953793390602</v>
      </c>
      <c r="AV5" t="n">
        <v>0.09593269822537366</v>
      </c>
      <c r="AW5" t="n">
        <v>0.09564006583360633</v>
      </c>
      <c r="AX5" t="n">
        <v>0.07855379299835906</v>
      </c>
      <c r="AY5" t="n">
        <v>0.07951903952722307</v>
      </c>
      <c r="AZ5" t="n">
        <v>0.07790811200161911</v>
      </c>
      <c r="BA5" t="n">
        <v>0.09466332388529115</v>
      </c>
      <c r="BB5" t="n">
        <v>0.09516005633794716</v>
      </c>
      <c r="BC5" t="n">
        <v>0.08301997452312941</v>
      </c>
      <c r="BD5" t="n">
        <v>0.08390417810858884</v>
      </c>
      <c r="BE5" t="n">
        <v>0.08639892236241876</v>
      </c>
      <c r="BF5" t="n">
        <v>0.08233012443934364</v>
      </c>
      <c r="BG5" t="inlineStr"/>
      <c r="BH5" t="inlineStr"/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0.08955087708996311</v>
      </c>
      <c r="AE6" t="n">
        <v>0.09556327752044948</v>
      </c>
      <c r="AF6" t="n">
        <v>0.09342214484438933</v>
      </c>
      <c r="AG6" t="n">
        <v>0.09473986162545268</v>
      </c>
      <c r="AH6" t="n">
        <v>0.09101742693012409</v>
      </c>
      <c r="AI6" t="n">
        <v>0.0876348514542488</v>
      </c>
      <c r="AJ6" t="n">
        <v>0.0831324656857996</v>
      </c>
      <c r="AK6" t="n">
        <v>0.0731823589901676</v>
      </c>
      <c r="AL6" t="n">
        <v>0.07897032963572896</v>
      </c>
      <c r="AM6" t="n">
        <v>0.08235998469924993</v>
      </c>
      <c r="AN6" t="n">
        <v>0.08536540859217946</v>
      </c>
      <c r="AO6" t="n">
        <v>0.07164768631701722</v>
      </c>
      <c r="AP6" t="n">
        <v>0.0807691198837454</v>
      </c>
      <c r="AQ6" t="n">
        <v>0.0660854036450302</v>
      </c>
      <c r="AR6" t="n">
        <v>0.08153243368236643</v>
      </c>
      <c r="AS6" t="n">
        <v>0.09886734645265989</v>
      </c>
      <c r="AT6" t="n">
        <v>0.09819307458043397</v>
      </c>
      <c r="AU6" t="n">
        <v>0.0903700479077028</v>
      </c>
      <c r="AV6" t="n">
        <v>0.08060789549652707</v>
      </c>
      <c r="AW6" t="n">
        <v>0.08551032607591136</v>
      </c>
      <c r="AX6" t="n">
        <v>0.08566151963116023</v>
      </c>
      <c r="AY6" t="n">
        <v>0.08114877490899977</v>
      </c>
      <c r="AZ6" t="n">
        <v>0.07507253804334653</v>
      </c>
      <c r="BA6" t="n">
        <v>0.08098312172726914</v>
      </c>
      <c r="BB6" t="n">
        <v>0.08266987435273389</v>
      </c>
      <c r="BC6" t="n">
        <v>0.08093253552276662</v>
      </c>
      <c r="BD6" t="n">
        <v>0.08438049730930323</v>
      </c>
      <c r="BE6" t="n">
        <v>0.0827757371052755</v>
      </c>
      <c r="BF6" t="n">
        <v>0.06325768603167772</v>
      </c>
      <c r="BG6" t="inlineStr"/>
      <c r="BH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52111.65977828924</v>
      </c>
      <c r="C2" t="n">
        <v>50894.35316003712</v>
      </c>
      <c r="D2" t="n">
        <v>49675.43810918328</v>
      </c>
      <c r="E2" t="n">
        <v>48137.29524549461</v>
      </c>
      <c r="F2" t="n">
        <v>47702.90296983753</v>
      </c>
      <c r="G2" t="n">
        <v>46308.31470954438</v>
      </c>
      <c r="H2" t="n">
        <v>45111.56875859744</v>
      </c>
      <c r="I2" t="n">
        <v>44426.74327087939</v>
      </c>
      <c r="J2" t="n">
        <v>44474.22258714725</v>
      </c>
      <c r="K2" t="n">
        <v>42594.91785523714</v>
      </c>
      <c r="L2" t="n">
        <v>42235.47333559884</v>
      </c>
      <c r="M2" t="n">
        <v>40919.61352087891</v>
      </c>
      <c r="N2" t="n">
        <v>39419.05627812327</v>
      </c>
      <c r="O2" t="n">
        <v>39020.47043306985</v>
      </c>
      <c r="P2" t="n">
        <v>38322.65357372513</v>
      </c>
      <c r="Q2" t="n">
        <v>37349.63615050088</v>
      </c>
      <c r="R2" t="n">
        <v>36536.94007568898</v>
      </c>
      <c r="S2" t="n">
        <v>35873.71601794605</v>
      </c>
      <c r="T2" t="n">
        <v>35216.20503183508</v>
      </c>
      <c r="U2" t="n">
        <v>34751.18631540414</v>
      </c>
      <c r="V2" t="n">
        <v>34677.69308160184</v>
      </c>
      <c r="W2" t="n">
        <v>34770.27829572828</v>
      </c>
      <c r="X2" t="n">
        <v>33356.73823748684</v>
      </c>
      <c r="Y2" t="n">
        <v>33295.40043422655</v>
      </c>
      <c r="Z2" t="n">
        <v>32587.80917123709</v>
      </c>
      <c r="AA2" t="n">
        <v>31413.49690578704</v>
      </c>
      <c r="AB2" t="n">
        <v>31260.35487989565</v>
      </c>
      <c r="AC2" t="n">
        <v>31283.34650971421</v>
      </c>
      <c r="AD2" t="n">
        <v>30686.03989829757</v>
      </c>
    </row>
    <row r="3">
      <c r="A3" s="13" t="inlineStr">
        <is>
          <t>100010</t>
        </is>
      </c>
      <c r="B3" t="n">
        <v>13131.83697020666</v>
      </c>
      <c r="C3" t="n">
        <v>12651.37282615858</v>
      </c>
      <c r="D3" t="n">
        <v>12275.05967618591</v>
      </c>
      <c r="E3" t="n">
        <v>12290.32468462763</v>
      </c>
      <c r="F3" t="n">
        <v>12333.56478780217</v>
      </c>
      <c r="G3" t="n">
        <v>12223.66621664735</v>
      </c>
      <c r="H3" t="n">
        <v>12005.97882333169</v>
      </c>
      <c r="I3" t="n">
        <v>12094.75927908178</v>
      </c>
      <c r="J3" t="n">
        <v>12111.99100639666</v>
      </c>
      <c r="K3" t="n">
        <v>12088.27585041318</v>
      </c>
      <c r="L3" t="n">
        <v>11821.75149860505</v>
      </c>
      <c r="M3" t="n">
        <v>10687.96811922096</v>
      </c>
      <c r="N3" t="n">
        <v>10255.62843039756</v>
      </c>
      <c r="O3" t="n">
        <v>10068.82365491455</v>
      </c>
      <c r="P3" t="n">
        <v>9971.702277326871</v>
      </c>
      <c r="Q3" t="n">
        <v>9966.351405580728</v>
      </c>
      <c r="R3" t="n">
        <v>9766.515650591631</v>
      </c>
      <c r="S3" t="n">
        <v>9567.734718449035</v>
      </c>
      <c r="T3" t="n">
        <v>9407.939191671332</v>
      </c>
      <c r="U3" t="n">
        <v>8853.711643570246</v>
      </c>
      <c r="V3" t="n">
        <v>8474.539429767687</v>
      </c>
      <c r="W3" t="n">
        <v>8155.772068932567</v>
      </c>
      <c r="X3" t="n">
        <v>8091.949808375113</v>
      </c>
      <c r="Y3" t="n">
        <v>7916.517645483197</v>
      </c>
      <c r="Z3" t="n">
        <v>7914.491619793648</v>
      </c>
      <c r="AA3" t="n">
        <v>7644.483882295487</v>
      </c>
      <c r="AB3" t="n">
        <v>8743.813288616098</v>
      </c>
      <c r="AC3" t="n">
        <v>8674.101991819149</v>
      </c>
      <c r="AD3" t="n">
        <v>8797.412197545433</v>
      </c>
    </row>
    <row r="4">
      <c r="A4" s="13" t="inlineStr">
        <is>
          <t>100030</t>
        </is>
      </c>
      <c r="B4" t="n">
        <v>5381.272290517351</v>
      </c>
      <c r="C4" t="n">
        <v>5564.329542719538</v>
      </c>
      <c r="D4" t="n">
        <v>5457.28693041243</v>
      </c>
      <c r="E4" t="n">
        <v>5377.051697259623</v>
      </c>
      <c r="F4" t="n">
        <v>5343.950798559429</v>
      </c>
      <c r="G4" t="n">
        <v>5328.738699977867</v>
      </c>
      <c r="H4" t="n">
        <v>5649.200091084122</v>
      </c>
      <c r="I4" t="n">
        <v>5799.319323948903</v>
      </c>
      <c r="J4" t="n">
        <v>6050.58651199826</v>
      </c>
      <c r="K4" t="n">
        <v>5998.736753245461</v>
      </c>
      <c r="L4" t="n">
        <v>5931.949380441147</v>
      </c>
      <c r="M4" t="n">
        <v>5863.329505449417</v>
      </c>
      <c r="N4" t="n">
        <v>5419.826067598205</v>
      </c>
      <c r="O4" t="n">
        <v>5107.329750833806</v>
      </c>
      <c r="P4" t="n">
        <v>5259.08728733737</v>
      </c>
      <c r="Q4" t="n">
        <v>5328.611128141665</v>
      </c>
      <c r="R4" t="n">
        <v>5378.835675865754</v>
      </c>
      <c r="S4" t="n">
        <v>5363.490297087908</v>
      </c>
      <c r="T4" t="n">
        <v>5318.380532948839</v>
      </c>
      <c r="U4" t="n">
        <v>4952.292060719964</v>
      </c>
      <c r="V4" t="n">
        <v>4362.8623137699</v>
      </c>
      <c r="W4" t="n">
        <v>4094.84395640499</v>
      </c>
      <c r="X4" t="n">
        <v>4562.422644888904</v>
      </c>
      <c r="Y4" t="n">
        <v>4322.075838009063</v>
      </c>
      <c r="Z4" t="n">
        <v>3876.346520065824</v>
      </c>
      <c r="AA4" t="n">
        <v>4454.841571475213</v>
      </c>
      <c r="AB4" t="n">
        <v>5015.108216397785</v>
      </c>
      <c r="AC4" t="n">
        <v>5189.3742092763</v>
      </c>
      <c r="AD4" t="n">
        <v>4801.357297841261</v>
      </c>
    </row>
    <row r="5">
      <c r="A5" s="13" t="inlineStr">
        <is>
          <t>100040x100050</t>
        </is>
      </c>
      <c r="B5" t="n">
        <v>15072.49454135165</v>
      </c>
      <c r="C5" t="n">
        <v>15944.63777929625</v>
      </c>
      <c r="D5" t="n">
        <v>15794.01056898527</v>
      </c>
      <c r="E5" t="n">
        <v>15620.58281187801</v>
      </c>
      <c r="F5" t="n">
        <v>15580.22854423679</v>
      </c>
      <c r="G5" t="n">
        <v>15416.0566296243</v>
      </c>
      <c r="H5" t="n">
        <v>15575.77779541135</v>
      </c>
      <c r="I5" t="n">
        <v>15654.77718616244</v>
      </c>
      <c r="J5" t="n">
        <v>15836.11081027391</v>
      </c>
      <c r="K5" t="n">
        <v>15011.58884009185</v>
      </c>
      <c r="L5" t="n">
        <v>14941.16842151887</v>
      </c>
      <c r="M5" t="n">
        <v>14399.20972996375</v>
      </c>
      <c r="N5" t="n">
        <v>14458.01170879888</v>
      </c>
      <c r="O5" t="n">
        <v>13866.94880610872</v>
      </c>
      <c r="P5" t="n">
        <v>13902.70710494969</v>
      </c>
      <c r="Q5" t="n">
        <v>12783.62032376928</v>
      </c>
      <c r="R5" t="n">
        <v>12510.77561609221</v>
      </c>
      <c r="S5" t="n">
        <v>11909.12185509749</v>
      </c>
      <c r="T5" t="n">
        <v>11384.70388326687</v>
      </c>
      <c r="U5" t="n">
        <v>11558.76848768884</v>
      </c>
      <c r="V5" t="n">
        <v>11288.50309437841</v>
      </c>
      <c r="W5" t="n">
        <v>11492.62971971108</v>
      </c>
      <c r="X5" t="n">
        <v>11543.97345154855</v>
      </c>
      <c r="Y5" t="n">
        <v>11906.96232813515</v>
      </c>
      <c r="Z5" t="n">
        <v>11919.47949560205</v>
      </c>
      <c r="AA5" t="n">
        <v>11785.4797928614</v>
      </c>
      <c r="AB5" t="n">
        <v>11939.69628862952</v>
      </c>
      <c r="AC5" t="n">
        <v>11838.67893176619</v>
      </c>
      <c r="AD5" t="n">
        <v>11811.48920016659</v>
      </c>
    </row>
    <row r="6">
      <c r="A6" s="13" t="inlineStr">
        <is>
          <t>REST</t>
        </is>
      </c>
      <c r="B6" t="n">
        <v>1564219.524843564</v>
      </c>
      <c r="C6" t="n">
        <v>1582480.100099907</v>
      </c>
      <c r="D6" t="n">
        <v>1595512.589268679</v>
      </c>
      <c r="E6" t="n">
        <v>1628592.111492665</v>
      </c>
      <c r="F6" t="n">
        <v>1659107.924335009</v>
      </c>
      <c r="G6" t="n">
        <v>1691114.315467385</v>
      </c>
      <c r="H6" t="n">
        <v>1714917.423816194</v>
      </c>
      <c r="I6" t="n">
        <v>1739417.692668996</v>
      </c>
      <c r="J6" t="n">
        <v>1743699.728689336</v>
      </c>
      <c r="K6" t="n">
        <v>1739917.359559206</v>
      </c>
      <c r="L6" t="n">
        <v>1741233.945265928</v>
      </c>
      <c r="M6" t="n">
        <v>1761417.889604983</v>
      </c>
      <c r="N6" t="n">
        <v>1802425.918371209</v>
      </c>
      <c r="O6" t="n">
        <v>1826273.241807905</v>
      </c>
      <c r="P6" t="n">
        <v>1852287.652537687</v>
      </c>
      <c r="Q6" t="n">
        <v>1813299.508960806</v>
      </c>
      <c r="R6" t="n">
        <v>1796958.012727657</v>
      </c>
      <c r="S6" t="n">
        <v>1809317.823733389</v>
      </c>
      <c r="T6" t="n">
        <v>1792123.266406846</v>
      </c>
      <c r="U6" t="n">
        <v>1797859.165942372</v>
      </c>
      <c r="V6" t="n">
        <v>1798767.567456925</v>
      </c>
      <c r="W6" t="n">
        <v>1815486.948892803</v>
      </c>
      <c r="X6" t="n">
        <v>1848526.857540756</v>
      </c>
      <c r="Y6" t="n">
        <v>1869464.551019916</v>
      </c>
      <c r="Z6" t="n">
        <v>1878393.38976849</v>
      </c>
      <c r="AA6" t="n">
        <v>1901301.219009444</v>
      </c>
      <c r="AB6" t="n">
        <v>1864663.572031804</v>
      </c>
      <c r="AC6" t="n">
        <v>1950137.660220791</v>
      </c>
      <c r="AD6" t="n">
        <v>2016611.625598729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39608.65403172307</v>
      </c>
      <c r="C2" t="n">
        <v>38696.67211822949</v>
      </c>
      <c r="D2" t="n">
        <v>37837.16430290245</v>
      </c>
      <c r="E2" t="n">
        <v>36750.26901722777</v>
      </c>
      <c r="F2" t="n">
        <v>36460.37823477112</v>
      </c>
      <c r="G2" t="n">
        <v>35422.62052993877</v>
      </c>
      <c r="H2" t="n">
        <v>34498.49701688785</v>
      </c>
      <c r="I2" t="n">
        <v>34000.31761829093</v>
      </c>
      <c r="J2" t="n">
        <v>34040.53274606468</v>
      </c>
      <c r="K2" t="n">
        <v>32619.99955051328</v>
      </c>
      <c r="L2" t="n">
        <v>32338.50139801596</v>
      </c>
      <c r="M2" t="n">
        <v>31276.65344258656</v>
      </c>
      <c r="N2" t="n">
        <v>29793.87818165284</v>
      </c>
      <c r="O2" t="n">
        <v>29457.26630085586</v>
      </c>
      <c r="P2" t="n">
        <v>28932.02230153119</v>
      </c>
      <c r="Q2" t="n">
        <v>28436.99625945719</v>
      </c>
      <c r="R2" t="n">
        <v>27828.86352802676</v>
      </c>
      <c r="S2" t="n">
        <v>27245.99922875025</v>
      </c>
      <c r="T2" t="n">
        <v>26659.08804778022</v>
      </c>
      <c r="U2" t="n">
        <v>26227.38710211472</v>
      </c>
      <c r="V2" t="n">
        <v>26200.94034051175</v>
      </c>
      <c r="W2" t="n">
        <v>26190.28931981885</v>
      </c>
      <c r="X2" t="n">
        <v>25083.62360664769</v>
      </c>
      <c r="Y2" t="n">
        <v>24969.95432190785</v>
      </c>
      <c r="Z2" t="n">
        <v>24301.59297416826</v>
      </c>
      <c r="AA2" t="n">
        <v>23232.31122854124</v>
      </c>
      <c r="AB2" t="n">
        <v>23084.53597390154</v>
      </c>
      <c r="AC2" t="n">
        <v>23199.70641782829</v>
      </c>
      <c r="AD2" t="n">
        <v>22668.60813134432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13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0.5693627204637731</v>
      </c>
      <c r="C2" t="n">
        <v>0.6202942430952038</v>
      </c>
      <c r="D2" t="n">
        <v>0.7133885271635384</v>
      </c>
      <c r="E2" t="n">
        <v>0.650728735873206</v>
      </c>
      <c r="F2" t="n">
        <v>0.6493557900688537</v>
      </c>
      <c r="G2" t="n">
        <v>0.7688011425030348</v>
      </c>
      <c r="H2" t="n">
        <v>0.6350461673925741</v>
      </c>
      <c r="I2" t="n">
        <v>0.6043100420427541</v>
      </c>
      <c r="J2" t="n">
        <v>0.6440956449498891</v>
      </c>
      <c r="K2" t="n">
        <v>0.6838203991060258</v>
      </c>
      <c r="L2" t="n">
        <v>0.7417982785351768</v>
      </c>
      <c r="M2" t="n">
        <v>0.5987939379770805</v>
      </c>
      <c r="N2" t="n">
        <v>0.7204589133275752</v>
      </c>
      <c r="O2" t="n">
        <v>0.6709204823046365</v>
      </c>
      <c r="P2" t="n">
        <v>0.7763254117765904</v>
      </c>
      <c r="Q2" t="n">
        <v>0.8359440998906603</v>
      </c>
      <c r="R2" t="n">
        <v>0.8678957066332621</v>
      </c>
      <c r="S2" t="n">
        <v>0.8739467090347627</v>
      </c>
      <c r="T2" t="n">
        <v>0.760161332349754</v>
      </c>
      <c r="U2" t="n">
        <v>0.8098299550752027</v>
      </c>
      <c r="V2" t="n">
        <v>0.8037988889321013</v>
      </c>
      <c r="W2" t="n">
        <v>0.8462173420759189</v>
      </c>
      <c r="X2" t="n">
        <v>0.7966243166144166</v>
      </c>
      <c r="Y2" t="n">
        <v>0.9094951906752602</v>
      </c>
      <c r="Z2" t="n">
        <v>1.12420535329864</v>
      </c>
      <c r="AA2" t="n">
        <v>0.9867580541875202</v>
      </c>
      <c r="AB2" t="n">
        <v>1</v>
      </c>
      <c r="AC2" t="n">
        <v>1.198355213916165</v>
      </c>
      <c r="AD2" t="n">
        <v>1.017397249481252</v>
      </c>
    </row>
    <row r="3">
      <c r="A3" s="13" t="inlineStr">
        <is>
          <t>100010</t>
        </is>
      </c>
      <c r="B3" t="n">
        <v>0.6053087217323102</v>
      </c>
      <c r="C3" t="n">
        <v>0.611673136669081</v>
      </c>
      <c r="D3" t="n">
        <v>0.6456769396314226</v>
      </c>
      <c r="E3" t="n">
        <v>0.643990517114635</v>
      </c>
      <c r="F3" t="n">
        <v>0.6732918559012728</v>
      </c>
      <c r="G3" t="n">
        <v>0.6707715840523111</v>
      </c>
      <c r="H3" t="n">
        <v>0.6992215968660184</v>
      </c>
      <c r="I3" t="n">
        <v>0.6800378553275034</v>
      </c>
      <c r="J3" t="n">
        <v>0.7199090039226208</v>
      </c>
      <c r="K3" t="n">
        <v>0.7434162820707819</v>
      </c>
      <c r="L3" t="n">
        <v>0.7691998464273392</v>
      </c>
      <c r="M3" t="n">
        <v>0.7641345446442657</v>
      </c>
      <c r="N3" t="n">
        <v>0.8246992868223055</v>
      </c>
      <c r="O3" t="n">
        <v>0.7918907744736038</v>
      </c>
      <c r="P3" t="n">
        <v>0.8820248778932022</v>
      </c>
      <c r="Q3" t="n">
        <v>0.8869686801738002</v>
      </c>
      <c r="R3" t="n">
        <v>0.9189497642598868</v>
      </c>
      <c r="S3" t="n">
        <v>0.9106745052522988</v>
      </c>
      <c r="T3" t="n">
        <v>0.8958728137170949</v>
      </c>
      <c r="U3" t="n">
        <v>0.9379257110308954</v>
      </c>
      <c r="V3" t="n">
        <v>0.9050692879325936</v>
      </c>
      <c r="W3" t="n">
        <v>0.9193261331716724</v>
      </c>
      <c r="X3" t="n">
        <v>0.9756004675536492</v>
      </c>
      <c r="Y3" t="n">
        <v>1.035373274762747</v>
      </c>
      <c r="Z3" t="n">
        <v>1.071756158479777</v>
      </c>
      <c r="AA3" t="n">
        <v>1.086568145375624</v>
      </c>
      <c r="AB3" t="n">
        <v>1</v>
      </c>
      <c r="AC3" t="n">
        <v>1.072757022589805</v>
      </c>
      <c r="AD3" t="n">
        <v>1.083819215951592</v>
      </c>
    </row>
    <row r="4">
      <c r="A4" s="13" t="inlineStr">
        <is>
          <t>100030</t>
        </is>
      </c>
      <c r="B4" t="n">
        <v>0.6090370160587525</v>
      </c>
      <c r="C4" t="n">
        <v>0.6222509056316587</v>
      </c>
      <c r="D4" t="n">
        <v>0.6659390861668046</v>
      </c>
      <c r="E4" t="n">
        <v>0.6856441566310305</v>
      </c>
      <c r="F4" t="n">
        <v>0.6934316477740806</v>
      </c>
      <c r="G4" t="n">
        <v>0.6932635852770761</v>
      </c>
      <c r="H4" t="n">
        <v>0.7173562956582783</v>
      </c>
      <c r="I4" t="n">
        <v>0.6632101598480794</v>
      </c>
      <c r="J4" t="n">
        <v>0.7098658113288948</v>
      </c>
      <c r="K4" t="n">
        <v>0.7537566996405562</v>
      </c>
      <c r="L4" t="n">
        <v>0.7965583433951482</v>
      </c>
      <c r="M4" t="n">
        <v>0.7642050778194464</v>
      </c>
      <c r="N4" t="n">
        <v>0.8540079827199097</v>
      </c>
      <c r="O4" t="n">
        <v>0.8121197847704654</v>
      </c>
      <c r="P4" t="n">
        <v>0.8687973093065398</v>
      </c>
      <c r="Q4" t="n">
        <v>0.8851501586194119</v>
      </c>
      <c r="R4" t="n">
        <v>0.914108142454748</v>
      </c>
      <c r="S4" t="n">
        <v>0.9098687090532804</v>
      </c>
      <c r="T4" t="n">
        <v>0.912008942766164</v>
      </c>
      <c r="U4" t="n">
        <v>0.9035091081039353</v>
      </c>
      <c r="V4" t="n">
        <v>0.850721184630543</v>
      </c>
      <c r="W4" t="n">
        <v>0.874527514288151</v>
      </c>
      <c r="X4" t="n">
        <v>0.9260100011463452</v>
      </c>
      <c r="Y4" t="n">
        <v>1.011268392707195</v>
      </c>
      <c r="Z4" t="n">
        <v>1.032321389340373</v>
      </c>
      <c r="AA4" t="n">
        <v>0.9911120379075776</v>
      </c>
      <c r="AB4" t="n">
        <v>1</v>
      </c>
      <c r="AC4" t="n">
        <v>1.050814720626324</v>
      </c>
      <c r="AD4" t="n">
        <v>1.031258968506964</v>
      </c>
    </row>
    <row r="5">
      <c r="A5" s="13" t="inlineStr">
        <is>
          <t>100040x100050</t>
        </is>
      </c>
      <c r="B5" t="n">
        <v>0.6025902616222283</v>
      </c>
      <c r="C5" t="n">
        <v>0.6193079837538932</v>
      </c>
      <c r="D5" t="n">
        <v>0.6609977361219767</v>
      </c>
      <c r="E5" t="n">
        <v>0.6662275786089755</v>
      </c>
      <c r="F5" t="n">
        <v>0.6726397018297602</v>
      </c>
      <c r="G5" t="n">
        <v>0.6572390866854734</v>
      </c>
      <c r="H5" t="n">
        <v>0.7061274156858776</v>
      </c>
      <c r="I5" t="n">
        <v>0.6827830746621916</v>
      </c>
      <c r="J5" t="n">
        <v>0.7198930824693764</v>
      </c>
      <c r="K5" t="n">
        <v>0.7645304703554828</v>
      </c>
      <c r="L5" t="n">
        <v>0.8004901469180098</v>
      </c>
      <c r="M5" t="n">
        <v>0.7817906618928383</v>
      </c>
      <c r="N5" t="n">
        <v>0.8544048607275956</v>
      </c>
      <c r="O5" t="n">
        <v>0.8173448971950442</v>
      </c>
      <c r="P5" t="n">
        <v>0.900941828068042</v>
      </c>
      <c r="Q5" t="n">
        <v>0.9466486227370416</v>
      </c>
      <c r="R5" t="n">
        <v>0.9694043970020696</v>
      </c>
      <c r="S5" t="n">
        <v>0.9746767589036376</v>
      </c>
      <c r="T5" t="n">
        <v>0.9489308230480265</v>
      </c>
      <c r="U5" t="n">
        <v>0.951818462378386</v>
      </c>
      <c r="V5" t="n">
        <v>0.9055667357447964</v>
      </c>
      <c r="W5" t="n">
        <v>0.9033550245508456</v>
      </c>
      <c r="X5" t="n">
        <v>0.9164329143900588</v>
      </c>
      <c r="Y5" t="n">
        <v>0.9892237223589369</v>
      </c>
      <c r="Z5" t="n">
        <v>1.015361579827754</v>
      </c>
      <c r="AA5" t="n">
        <v>0.9734378505604891</v>
      </c>
      <c r="AB5" t="n">
        <v>1</v>
      </c>
      <c r="AC5" t="n">
        <v>1.011099375660303</v>
      </c>
      <c r="AD5" t="n">
        <v>1.022302055792154</v>
      </c>
    </row>
    <row r="6">
      <c r="A6" s="13" t="inlineStr">
        <is>
          <t>REST</t>
        </is>
      </c>
      <c r="B6" t="n">
        <v>0.6381581418684804</v>
      </c>
      <c r="C6" t="n">
        <v>0.6674159216758531</v>
      </c>
      <c r="D6" t="n">
        <v>0.6769367765427277</v>
      </c>
      <c r="E6" t="n">
        <v>0.6871165523830011</v>
      </c>
      <c r="F6" t="n">
        <v>0.6869179452613267</v>
      </c>
      <c r="G6" t="n">
        <v>0.6858460140101922</v>
      </c>
      <c r="H6" t="n">
        <v>0.6829092810449867</v>
      </c>
      <c r="I6" t="n">
        <v>0.6646686362851368</v>
      </c>
      <c r="J6" t="n">
        <v>0.7027870541953202</v>
      </c>
      <c r="K6" t="n">
        <v>0.7310919168563894</v>
      </c>
      <c r="L6" t="n">
        <v>0.7555544426679704</v>
      </c>
      <c r="M6" t="n">
        <v>0.7247884327108562</v>
      </c>
      <c r="N6" t="n">
        <v>0.7710872155823761</v>
      </c>
      <c r="O6" t="n">
        <v>0.7462430903249487</v>
      </c>
      <c r="P6" t="n">
        <v>0.8192089671938657</v>
      </c>
      <c r="Q6" t="n">
        <v>0.9007973973353074</v>
      </c>
      <c r="R6" t="n">
        <v>0.9137831368682146</v>
      </c>
      <c r="S6" t="n">
        <v>0.8883904020413947</v>
      </c>
      <c r="T6" t="n">
        <v>0.8678193551620986</v>
      </c>
      <c r="U6" t="n">
        <v>0.8945366659979019</v>
      </c>
      <c r="V6" t="n">
        <v>0.9092089902599462</v>
      </c>
      <c r="W6" t="n">
        <v>0.9071688448160315</v>
      </c>
      <c r="X6" t="n">
        <v>0.8882368328723784</v>
      </c>
      <c r="Y6" t="n">
        <v>0.9228391230669472</v>
      </c>
      <c r="Z6" t="n">
        <v>0.9501445715675346</v>
      </c>
      <c r="AA6" t="n">
        <v>0.9554849044749536</v>
      </c>
      <c r="AB6" t="n">
        <v>1</v>
      </c>
      <c r="AC6" t="n">
        <v>0.9946329927214714</v>
      </c>
      <c r="AD6" t="n">
        <v>0.9413402851741756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0.7895324210238747</v>
      </c>
      <c r="C2" t="n">
        <v>0.866007211279627</v>
      </c>
      <c r="D2" t="n">
        <v>0.9862916937740795</v>
      </c>
      <c r="E2" t="n">
        <v>0.8906772266254707</v>
      </c>
      <c r="F2" t="n">
        <v>0.8722870262855018</v>
      </c>
      <c r="G2" t="n">
        <v>1.060171373059168</v>
      </c>
      <c r="H2" t="n">
        <v>0.8972791353685899</v>
      </c>
      <c r="I2" t="n">
        <v>0.8157330194935462</v>
      </c>
      <c r="J2" t="n">
        <v>0.8543541287553298</v>
      </c>
      <c r="K2" t="n">
        <v>0.8537681060483878</v>
      </c>
      <c r="L2" t="n">
        <v>0.9207380397148232</v>
      </c>
      <c r="M2" t="n">
        <v>0.6713121339542161</v>
      </c>
      <c r="N2" t="n">
        <v>0.8918016809406801</v>
      </c>
      <c r="O2" t="n">
        <v>0.9280012979796362</v>
      </c>
      <c r="P2" t="n">
        <v>1.171315686850741</v>
      </c>
      <c r="Q2" t="n">
        <v>1.129229379122893</v>
      </c>
      <c r="R2" t="n">
        <v>1.026608376787058</v>
      </c>
      <c r="S2" t="n">
        <v>1.020316973395317</v>
      </c>
      <c r="T2" t="n">
        <v>0.7670485184921673</v>
      </c>
      <c r="U2" t="n">
        <v>0.8145640013905706</v>
      </c>
      <c r="V2" t="n">
        <v>0.8216272050074593</v>
      </c>
      <c r="W2" t="n">
        <v>0.8656128131732816</v>
      </c>
      <c r="X2" t="n">
        <v>0.7862567862106564</v>
      </c>
      <c r="Y2" t="n">
        <v>0.935800471987266</v>
      </c>
      <c r="Z2" t="n">
        <v>1.185174601868927</v>
      </c>
      <c r="AA2" t="n">
        <v>0.99639308015196</v>
      </c>
      <c r="AB2" t="n">
        <v>1</v>
      </c>
      <c r="AC2" t="n">
        <v>1.29430970263776</v>
      </c>
      <c r="AD2" t="n">
        <v>1.19444028518357</v>
      </c>
    </row>
    <row r="3">
      <c r="A3" s="13" t="inlineStr">
        <is>
          <t>100010</t>
        </is>
      </c>
      <c r="B3" t="n">
        <v>11.146218331138</v>
      </c>
      <c r="C3" t="n">
        <v>11.68670747042945</v>
      </c>
      <c r="D3" t="n">
        <v>12.11173218226965</v>
      </c>
      <c r="E3" t="n">
        <v>11.47385528934802</v>
      </c>
      <c r="F3" t="n">
        <v>11.17569686204904</v>
      </c>
      <c r="G3" t="n">
        <v>12.5244917454462</v>
      </c>
      <c r="H3" t="n">
        <v>13.47641817289704</v>
      </c>
      <c r="I3" t="n">
        <v>11.42191297415287</v>
      </c>
      <c r="J3" t="n">
        <v>11.45715873122752</v>
      </c>
      <c r="K3" t="n">
        <v>9.667628385241828</v>
      </c>
      <c r="L3" t="n">
        <v>9.695655383075382</v>
      </c>
      <c r="M3" t="n">
        <v>6.780766779441537</v>
      </c>
      <c r="N3" t="n">
        <v>10.6156861715675</v>
      </c>
      <c r="O3" t="n">
        <v>15.00088201160717</v>
      </c>
      <c r="P3" t="n">
        <v>21.47509122942362</v>
      </c>
      <c r="Q3" t="n">
        <v>15.94518178064226</v>
      </c>
      <c r="R3" t="n">
        <v>9.74597995552023</v>
      </c>
      <c r="S3" t="n">
        <v>8.936215777851023</v>
      </c>
      <c r="T3" t="n">
        <v>3.772596943352282</v>
      </c>
      <c r="U3" t="n">
        <v>3.524214624988363</v>
      </c>
      <c r="V3" t="n">
        <v>3.861997993419261</v>
      </c>
      <c r="W3" t="n">
        <v>3.023653731173049</v>
      </c>
      <c r="X3" t="n">
        <v>3.413035435171767</v>
      </c>
      <c r="Y3" t="n">
        <v>5.25528314121588</v>
      </c>
      <c r="Z3" t="n">
        <v>2.627344292773538</v>
      </c>
      <c r="AA3" t="n">
        <v>2.914842096319618</v>
      </c>
      <c r="AB3" t="n">
        <v>1</v>
      </c>
      <c r="AC3" t="n">
        <v>3.123398042910726</v>
      </c>
      <c r="AD3" t="n">
        <v>8.398832238340715</v>
      </c>
    </row>
    <row r="4">
      <c r="A4" s="13" t="inlineStr">
        <is>
          <t>100030</t>
        </is>
      </c>
      <c r="B4" t="n">
        <v>-0.918464666545845</v>
      </c>
      <c r="C4" t="n">
        <v>-1.000011907554682</v>
      </c>
      <c r="D4" t="n">
        <v>-1.030882085616102</v>
      </c>
      <c r="E4" t="n">
        <v>-0.957299577046088</v>
      </c>
      <c r="F4" t="n">
        <v>-0.8514795159762631</v>
      </c>
      <c r="G4" t="n">
        <v>-1.062907125069213</v>
      </c>
      <c r="H4" t="n">
        <v>-1.163630882577326</v>
      </c>
      <c r="I4" t="n">
        <v>-0.8533678170492836</v>
      </c>
      <c r="J4" t="n">
        <v>-0.8233613831628235</v>
      </c>
      <c r="K4" t="n">
        <v>-0.5692882025079214</v>
      </c>
      <c r="L4" t="n">
        <v>-0.5641068572401156</v>
      </c>
      <c r="M4" t="n">
        <v>-0.1765813577231166</v>
      </c>
      <c r="N4" t="n">
        <v>-0.9170469141012034</v>
      </c>
      <c r="O4" t="n">
        <v>-1.931045812855837</v>
      </c>
      <c r="P4" t="n">
        <v>-3.108648770432462</v>
      </c>
      <c r="Q4" t="n">
        <v>-1.948853288154944</v>
      </c>
      <c r="R4" t="n">
        <v>-0.6132861599735926</v>
      </c>
      <c r="S4" t="n">
        <v>-0.4682722810104114</v>
      </c>
      <c r="T4" t="n">
        <v>0.5454526555386233</v>
      </c>
      <c r="U4" t="n">
        <v>0.7051839256923261</v>
      </c>
      <c r="V4" t="n">
        <v>0.6638879728800066</v>
      </c>
      <c r="W4" t="n">
        <v>0.7146859503701231</v>
      </c>
      <c r="X4" t="n">
        <v>0.7433908999883483</v>
      </c>
      <c r="Y4" t="n">
        <v>0.6547372568808403</v>
      </c>
      <c r="Z4" t="n">
        <v>0.8428098803032913</v>
      </c>
      <c r="AA4" t="n">
        <v>0.9094792941231784</v>
      </c>
      <c r="AB4" t="n">
        <v>1</v>
      </c>
      <c r="AC4" t="n">
        <v>0.6937460327462666</v>
      </c>
      <c r="AD4" t="n">
        <v>-0.2347657175297021</v>
      </c>
    </row>
    <row r="5">
      <c r="A5" s="13" t="inlineStr">
        <is>
          <t>100040x100050</t>
        </is>
      </c>
      <c r="B5" t="n">
        <v>2.482951513136938</v>
      </c>
      <c r="C5" t="n">
        <v>2.623662516651413</v>
      </c>
      <c r="D5" t="n">
        <v>2.754490495787426</v>
      </c>
      <c r="E5" t="n">
        <v>2.660829877854449</v>
      </c>
      <c r="F5" t="n">
        <v>2.547051815700483</v>
      </c>
      <c r="G5" t="n">
        <v>2.748727937989582</v>
      </c>
      <c r="H5" t="n">
        <v>3.015189415299973</v>
      </c>
      <c r="I5" t="n">
        <v>2.614819732433867</v>
      </c>
      <c r="J5" t="n">
        <v>2.644516407518006</v>
      </c>
      <c r="K5" t="n">
        <v>2.399579163984884</v>
      </c>
      <c r="L5" t="n">
        <v>2.459683683494359</v>
      </c>
      <c r="M5" t="n">
        <v>1.912287277211601</v>
      </c>
      <c r="N5" t="n">
        <v>2.613398765590616</v>
      </c>
      <c r="O5" t="n">
        <v>3.262595503176809</v>
      </c>
      <c r="P5" t="n">
        <v>4.348944647327833</v>
      </c>
      <c r="Q5" t="n">
        <v>3.568950088767632</v>
      </c>
      <c r="R5" t="n">
        <v>2.520461377030085</v>
      </c>
      <c r="S5" t="n">
        <v>2.422513401161007</v>
      </c>
      <c r="T5" t="n">
        <v>1.443872540838561</v>
      </c>
      <c r="U5" t="n">
        <v>1.30582556601557</v>
      </c>
      <c r="V5" t="n">
        <v>1.264110415625708</v>
      </c>
      <c r="W5" t="n">
        <v>1.153412901259195</v>
      </c>
      <c r="X5" t="n">
        <v>1.098805216816136</v>
      </c>
      <c r="Y5" t="n">
        <v>1.329108022624935</v>
      </c>
      <c r="Z5" t="n">
        <v>1.1593186263527</v>
      </c>
      <c r="AA5" t="n">
        <v>1.00359731626565</v>
      </c>
      <c r="AB5" t="n">
        <v>1</v>
      </c>
      <c r="AC5" t="n">
        <v>1.200819694577628</v>
      </c>
      <c r="AD5" t="n">
        <v>2.11176342611839</v>
      </c>
    </row>
    <row r="6">
      <c r="A6" s="13" t="inlineStr">
        <is>
          <t>REST</t>
        </is>
      </c>
      <c r="B6" t="n">
        <v>0.64215440461365</v>
      </c>
      <c r="C6" t="n">
        <v>0.67178268514186</v>
      </c>
      <c r="D6" t="n">
        <v>0.6813021397353668</v>
      </c>
      <c r="E6" t="n">
        <v>0.6912229104184708</v>
      </c>
      <c r="F6" t="n">
        <v>0.6906569823803449</v>
      </c>
      <c r="G6" t="n">
        <v>0.6902478019606115</v>
      </c>
      <c r="H6" t="n">
        <v>0.687539749596789</v>
      </c>
      <c r="I6" t="n">
        <v>0.66839797562949</v>
      </c>
      <c r="J6" t="n">
        <v>0.7064387395416202</v>
      </c>
      <c r="K6" t="n">
        <v>0.7338923355462506</v>
      </c>
      <c r="L6" t="n">
        <v>0.7583098002306173</v>
      </c>
      <c r="M6" t="n">
        <v>0.7262833066749911</v>
      </c>
      <c r="N6" t="n">
        <v>0.7737944943723494</v>
      </c>
      <c r="O6" t="n">
        <v>0.7504807387659589</v>
      </c>
      <c r="P6" t="n">
        <v>0.8254282005116115</v>
      </c>
      <c r="Q6" t="n">
        <v>0.905501176649668</v>
      </c>
      <c r="R6" t="n">
        <v>0.916298231562936</v>
      </c>
      <c r="S6" t="n">
        <v>0.8905710704334043</v>
      </c>
      <c r="T6" t="n">
        <v>0.8683642858803279</v>
      </c>
      <c r="U6" t="n">
        <v>0.8949385969103626</v>
      </c>
      <c r="V6" t="n">
        <v>0.9098994395662416</v>
      </c>
      <c r="W6" t="n">
        <v>0.90767106808923</v>
      </c>
      <c r="X6" t="n">
        <v>0.8884719765658409</v>
      </c>
      <c r="Y6" t="n">
        <v>0.9232147768097364</v>
      </c>
      <c r="Z6" t="n">
        <v>0.9501395699338924</v>
      </c>
      <c r="AA6" t="n">
        <v>0.9554669870364312</v>
      </c>
      <c r="AB6" t="n">
        <v>1</v>
      </c>
      <c r="AC6" t="n">
        <v>0.9949312845542176</v>
      </c>
      <c r="AD6" t="n">
        <v>0.9430618229792704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0.925240617036854</v>
      </c>
      <c r="AD2" t="n">
        <v>0.9377233335922464</v>
      </c>
      <c r="AE2" t="n">
        <v>0.9891571923389239</v>
      </c>
      <c r="AF2" t="n">
        <v>0.9282935954499451</v>
      </c>
      <c r="AG2" t="n">
        <v>0.8867680325742801</v>
      </c>
      <c r="AH2" t="n">
        <v>0.9647181004063824</v>
      </c>
      <c r="AI2" t="n">
        <v>0.876782642935006</v>
      </c>
      <c r="AJ2" t="n">
        <v>0.847883088618073</v>
      </c>
      <c r="AK2" t="n">
        <v>0.8856732356517357</v>
      </c>
      <c r="AL2" t="n">
        <v>0.8577493392790394</v>
      </c>
      <c r="AM2" t="n">
        <v>0.8838595640802275</v>
      </c>
      <c r="AN2" t="n">
        <v>0.7929052557256585</v>
      </c>
      <c r="AO2" t="n">
        <v>0.864893030875502</v>
      </c>
      <c r="AP2" t="n">
        <v>0.8870899943004373</v>
      </c>
      <c r="AQ2" t="n">
        <v>1.128762377851784</v>
      </c>
      <c r="AR2" t="n">
        <v>1.070524346368493</v>
      </c>
      <c r="AS2" t="n">
        <v>0.9738391005909487</v>
      </c>
      <c r="AT2" t="n">
        <v>1.03991514781746</v>
      </c>
      <c r="AU2" t="n">
        <v>0.9348505027911652</v>
      </c>
      <c r="AV2" t="n">
        <v>0.9823005180848211</v>
      </c>
      <c r="AW2" t="n">
        <v>0.915049555620412</v>
      </c>
      <c r="AX2" t="n">
        <v>0.9640310185291021</v>
      </c>
      <c r="AY2" t="n">
        <v>0.9312388149140549</v>
      </c>
      <c r="AZ2" t="n">
        <v>0.9454999777421582</v>
      </c>
      <c r="BA2" t="n">
        <v>1.040140568595995</v>
      </c>
      <c r="BB2" t="n">
        <v>0.9588840493371551</v>
      </c>
      <c r="BC2" t="n">
        <v>0.9501122376377044</v>
      </c>
      <c r="BD2" t="n">
        <v>1.061746851688124</v>
      </c>
      <c r="BE2" t="n">
        <v>1.206521027004192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0.8852976261582942</v>
      </c>
      <c r="AD3" t="n">
        <v>0.9295991303729031</v>
      </c>
      <c r="AE3" t="n">
        <v>0.9725706567610589</v>
      </c>
      <c r="AF3" t="n">
        <v>0.9845348384102455</v>
      </c>
      <c r="AG3" t="n">
        <v>0.8117495589244055</v>
      </c>
      <c r="AH3" t="n">
        <v>0.7536287439441847</v>
      </c>
      <c r="AI3" t="n">
        <v>0.8919535675584888</v>
      </c>
      <c r="AJ3" t="n">
        <v>0.930919198832713</v>
      </c>
      <c r="AK3" t="n">
        <v>0.9038816811033633</v>
      </c>
      <c r="AL3" t="n">
        <v>0.8339260636084953</v>
      </c>
      <c r="AM3" t="n">
        <v>0.8644059579132028</v>
      </c>
      <c r="AN3" t="n">
        <v>0.8904846591597234</v>
      </c>
      <c r="AO3" t="n">
        <v>0.9240710882689042</v>
      </c>
      <c r="AP3" t="n">
        <v>0.9111957522722637</v>
      </c>
      <c r="AQ3" t="n">
        <v>0.9859801033151636</v>
      </c>
      <c r="AR3" t="n">
        <v>0.9520773987198915</v>
      </c>
      <c r="AS3" t="n">
        <v>0.9726517409192421</v>
      </c>
      <c r="AT3" t="n">
        <v>1.02314670148144</v>
      </c>
      <c r="AU3" t="n">
        <v>1.070580463231767</v>
      </c>
      <c r="AV3" t="n">
        <v>1.094788842742106</v>
      </c>
      <c r="AW3" t="n">
        <v>1.039364676805977</v>
      </c>
      <c r="AX3" t="n">
        <v>0.9733962521025196</v>
      </c>
      <c r="AY3" t="n">
        <v>0.996512333446183</v>
      </c>
      <c r="AZ3" t="n">
        <v>1.055240834699628</v>
      </c>
      <c r="BA3" t="n">
        <v>1.000679420234792</v>
      </c>
      <c r="BB3" t="n">
        <v>1.040184702905442</v>
      </c>
      <c r="BC3" t="n">
        <v>1.01995288585233</v>
      </c>
      <c r="BD3" t="n">
        <v>0.9729216901897865</v>
      </c>
      <c r="BE3" t="n">
        <v>1.143187014757574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0.7767172479582675</v>
      </c>
      <c r="AD4" t="n">
        <v>0.7492271005428958</v>
      </c>
      <c r="AE4" t="n">
        <v>0.7549627484144387</v>
      </c>
      <c r="AF4" t="n">
        <v>0.7471597392405047</v>
      </c>
      <c r="AG4" t="n">
        <v>0.7720258937887352</v>
      </c>
      <c r="AH4" t="n">
        <v>0.7674932989999509</v>
      </c>
      <c r="AI4" t="n">
        <v>0.7573267151107198</v>
      </c>
      <c r="AJ4" t="n">
        <v>0.7896821573085638</v>
      </c>
      <c r="AK4" t="n">
        <v>0.8042205811012684</v>
      </c>
      <c r="AL4" t="n">
        <v>0.8092592914301138</v>
      </c>
      <c r="AM4" t="n">
        <v>0.8121108948005394</v>
      </c>
      <c r="AN4" t="n">
        <v>0.8025901671160451</v>
      </c>
      <c r="AO4" t="n">
        <v>0.817531844431571</v>
      </c>
      <c r="AP4" t="n">
        <v>0.8401183813157787</v>
      </c>
      <c r="AQ4" t="n">
        <v>0.9039822108690155</v>
      </c>
      <c r="AR4" t="n">
        <v>0.8485262508870434</v>
      </c>
      <c r="AS4" t="n">
        <v>0.889256786448364</v>
      </c>
      <c r="AT4" t="n">
        <v>0.9199943351157219</v>
      </c>
      <c r="AU4" t="n">
        <v>0.9204642794525983</v>
      </c>
      <c r="AV4" t="n">
        <v>0.9646312603761508</v>
      </c>
      <c r="AW4" t="n">
        <v>0.9394115948969197</v>
      </c>
      <c r="AX4" t="n">
        <v>0.8625768465940884</v>
      </c>
      <c r="AY4" t="n">
        <v>0.8879470877452325</v>
      </c>
      <c r="AZ4" t="n">
        <v>0.9267026593852838</v>
      </c>
      <c r="BA4" t="n">
        <v>0.9506822772298678</v>
      </c>
      <c r="BB4" t="n">
        <v>0.9326645159503808</v>
      </c>
      <c r="BC4" t="n">
        <v>1.0012898486713</v>
      </c>
      <c r="BD4" t="n">
        <v>1.009999758666104</v>
      </c>
      <c r="BE4" t="n">
        <v>1.142600617635712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0.7633238487094786</v>
      </c>
      <c r="AD5" t="n">
        <v>0.7894390333740452</v>
      </c>
      <c r="AE5" t="n">
        <v>0.8129003852719915</v>
      </c>
      <c r="AF5" t="n">
        <v>0.808097192968987</v>
      </c>
      <c r="AG5" t="n">
        <v>0.804378151322037</v>
      </c>
      <c r="AH5" t="n">
        <v>0.7769086676034944</v>
      </c>
      <c r="AI5" t="n">
        <v>0.8030111649338318</v>
      </c>
      <c r="AJ5" t="n">
        <v>0.8035713691640819</v>
      </c>
      <c r="AK5" t="n">
        <v>0.7997889329212761</v>
      </c>
      <c r="AL5" t="n">
        <v>0.8395014112240241</v>
      </c>
      <c r="AM5" t="n">
        <v>0.836452608670245</v>
      </c>
      <c r="AN5" t="n">
        <v>0.8181289138652817</v>
      </c>
      <c r="AO5" t="n">
        <v>0.8642380392805222</v>
      </c>
      <c r="AP5" t="n">
        <v>0.8941062818941301</v>
      </c>
      <c r="AQ5" t="n">
        <v>0.994663193299626</v>
      </c>
      <c r="AR5" t="n">
        <v>0.958345484175688</v>
      </c>
      <c r="AS5" t="n">
        <v>1.0005810864536</v>
      </c>
      <c r="AT5" t="n">
        <v>1.052512813533877</v>
      </c>
      <c r="AU5" t="n">
        <v>1.093906065311312</v>
      </c>
      <c r="AV5" t="n">
        <v>1.041280565338526</v>
      </c>
      <c r="AW5" t="n">
        <v>0.9893802382717811</v>
      </c>
      <c r="AX5" t="n">
        <v>1.00060871287679</v>
      </c>
      <c r="AY5" t="n">
        <v>0.9444684003579318</v>
      </c>
      <c r="AZ5" t="n">
        <v>0.9782881052883764</v>
      </c>
      <c r="BA5" t="n">
        <v>0.9681646998214867</v>
      </c>
      <c r="BB5" t="n">
        <v>0.950527086344096</v>
      </c>
      <c r="BC5" t="n">
        <v>0.9816759857447184</v>
      </c>
      <c r="BD5" t="n">
        <v>1.015543571157518</v>
      </c>
      <c r="BE5" t="n">
        <v>1.176860779368419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0.7027001731895051</v>
      </c>
      <c r="AD6" t="n">
        <v>0.7218632282622646</v>
      </c>
      <c r="AE6" t="n">
        <v>0.7216688431994017</v>
      </c>
      <c r="AF6" t="n">
        <v>0.7291652883809361</v>
      </c>
      <c r="AG6" t="n">
        <v>0.7298528680904893</v>
      </c>
      <c r="AH6" t="n">
        <v>0.7250978795823573</v>
      </c>
      <c r="AI6" t="n">
        <v>0.7171973072400704</v>
      </c>
      <c r="AJ6" t="n">
        <v>0.7152118181204906</v>
      </c>
      <c r="AK6" t="n">
        <v>0.7391737414603381</v>
      </c>
      <c r="AL6" t="n">
        <v>0.7531034928231021</v>
      </c>
      <c r="AM6" t="n">
        <v>0.7631460192040521</v>
      </c>
      <c r="AN6" t="n">
        <v>0.7491497349129368</v>
      </c>
      <c r="AO6" t="n">
        <v>0.7748079002656291</v>
      </c>
      <c r="AP6" t="n">
        <v>0.7702108265639436</v>
      </c>
      <c r="AQ6" t="n">
        <v>0.8281465713662078</v>
      </c>
      <c r="AR6" t="n">
        <v>0.8803307923919587</v>
      </c>
      <c r="AS6" t="n">
        <v>0.8886539997008723</v>
      </c>
      <c r="AT6" t="n">
        <v>0.8775619868871699</v>
      </c>
      <c r="AU6" t="n">
        <v>0.8702026388609204</v>
      </c>
      <c r="AV6" t="n">
        <v>0.8816853154226433</v>
      </c>
      <c r="AW6" t="n">
        <v>0.8841636142983035</v>
      </c>
      <c r="AX6" t="n">
        <v>0.8758325108100734</v>
      </c>
      <c r="AY6" t="n">
        <v>0.8552495044690801</v>
      </c>
      <c r="AZ6" t="n">
        <v>0.874496465591022</v>
      </c>
      <c r="BA6" t="n">
        <v>0.8896495255778981</v>
      </c>
      <c r="BB6" t="n">
        <v>0.8956270056434132</v>
      </c>
      <c r="BC6" t="n">
        <v>0.9227346845413267</v>
      </c>
      <c r="BD6" t="n">
        <v>0.9329073977495439</v>
      </c>
      <c r="BE6" t="n">
        <v>0.9735202109159509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0.8827671011305391</v>
      </c>
      <c r="C2" t="n">
        <v>0.8765234084143863</v>
      </c>
      <c r="D2" t="n">
        <v>0.8531393473994705</v>
      </c>
      <c r="E2" t="n">
        <v>0.9609185478231221</v>
      </c>
      <c r="F2" t="n">
        <v>0.8999601288504998</v>
      </c>
      <c r="G2" t="n">
        <v>0.8855931038025977</v>
      </c>
      <c r="H2" t="n">
        <v>0.9454817963474411</v>
      </c>
      <c r="I2" t="n">
        <v>0.84990087417382</v>
      </c>
      <c r="J2" t="n">
        <v>0.907940985740981</v>
      </c>
      <c r="K2" t="n">
        <v>0.9929997017285215</v>
      </c>
      <c r="L2" t="n">
        <v>0.9215612105635218</v>
      </c>
      <c r="M2" t="n">
        <v>0.9417759149536683</v>
      </c>
      <c r="N2" t="n">
        <v>0.9669520143698935</v>
      </c>
      <c r="O2" t="n">
        <v>0.9459919005231596</v>
      </c>
      <c r="P2" t="n">
        <v>0.9065185438051809</v>
      </c>
      <c r="Q2" t="n">
        <v>0.8825600294865663</v>
      </c>
      <c r="R2" t="n">
        <v>0.9213041140892912</v>
      </c>
      <c r="S2" t="n">
        <v>0.8369532984737901</v>
      </c>
      <c r="T2" t="n">
        <v>0.8542402373289358</v>
      </c>
      <c r="U2" t="n">
        <v>0.8315821547174235</v>
      </c>
      <c r="V2" t="n">
        <v>0.89745751454287</v>
      </c>
      <c r="W2" t="n">
        <v>0.8547285309655775</v>
      </c>
      <c r="X2" t="n">
        <v>0.793680923191283</v>
      </c>
      <c r="Y2" t="n">
        <v>0.7771874559894409</v>
      </c>
      <c r="Z2" t="n">
        <v>0.7683744749432939</v>
      </c>
      <c r="AA2" t="n">
        <v>0.8020988434901475</v>
      </c>
      <c r="AB2" t="n">
        <v>0.7660940304330199</v>
      </c>
      <c r="AC2" t="n">
        <v>0.745173300250125</v>
      </c>
      <c r="AD2" t="n">
        <v>0.7183582911654159</v>
      </c>
      <c r="AE2" t="n">
        <v>0.7014622043530576</v>
      </c>
      <c r="AF2" t="n">
        <v>0.7066537293379774</v>
      </c>
      <c r="AG2" t="n">
        <v>0.714148856045737</v>
      </c>
      <c r="AH2" t="n">
        <v>0.7251340396439346</v>
      </c>
      <c r="AI2" t="n">
        <v>0.6897723944785377</v>
      </c>
      <c r="AJ2" t="n">
        <v>0.6739901786752583</v>
      </c>
      <c r="AK2" t="n">
        <v>0.6935563336177279</v>
      </c>
      <c r="AL2" t="n">
        <v>0.673575818764831</v>
      </c>
      <c r="AM2" t="n">
        <v>0.668967855383186</v>
      </c>
      <c r="AN2" t="n">
        <v>0.6737002900740476</v>
      </c>
      <c r="AO2" t="n">
        <v>0.6674841081992093</v>
      </c>
      <c r="AP2" t="n">
        <v>0.6394021240917748</v>
      </c>
      <c r="AQ2" t="n">
        <v>0.7012388242480223</v>
      </c>
      <c r="AR2" t="n">
        <v>0.7097889050804976</v>
      </c>
      <c r="AS2" t="n">
        <v>0.6608476193781528</v>
      </c>
      <c r="AT2" t="n">
        <v>0.6844641795559606</v>
      </c>
      <c r="AU2" t="n">
        <v>0.6586667757199969</v>
      </c>
      <c r="AV2" t="n">
        <v>0.6782979583881225</v>
      </c>
      <c r="AW2" t="n">
        <v>0.6376548060226628</v>
      </c>
      <c r="AX2" t="n">
        <v>0.6792746229714762</v>
      </c>
      <c r="AY2" t="n">
        <v>0.7027471109901169</v>
      </c>
      <c r="AZ2" t="n">
        <v>0.6766739794416522</v>
      </c>
      <c r="BA2" t="n">
        <v>0.6812199436765362</v>
      </c>
      <c r="BB2" t="n">
        <v>0.6575392785013953</v>
      </c>
      <c r="BC2" t="n">
        <v>0.6633603222597335</v>
      </c>
      <c r="BD2" t="n">
        <v>0.6488258580900595</v>
      </c>
      <c r="BE2" t="n">
        <v>0.6665858882200117</v>
      </c>
    </row>
    <row r="3">
      <c r="A3" s="13" t="inlineStr">
        <is>
          <t>100010</t>
        </is>
      </c>
      <c r="B3" t="n">
        <v>1.134782238444609</v>
      </c>
      <c r="C3" t="n">
        <v>1.098428258065758</v>
      </c>
      <c r="D3" t="n">
        <v>1.118722165653131</v>
      </c>
      <c r="E3" t="n">
        <v>1.1047319611136</v>
      </c>
      <c r="F3" t="n">
        <v>1.108197742283705</v>
      </c>
      <c r="G3" t="n">
        <v>1.085011720752083</v>
      </c>
      <c r="H3" t="n">
        <v>1.102149948996655</v>
      </c>
      <c r="I3" t="n">
        <v>1.075958458385726</v>
      </c>
      <c r="J3" t="n">
        <v>1.096887440475029</v>
      </c>
      <c r="K3" t="n">
        <v>1.102361034172109</v>
      </c>
      <c r="L3" t="n">
        <v>1.041638786370533</v>
      </c>
      <c r="M3" t="n">
        <v>1.043966681018049</v>
      </c>
      <c r="N3" t="n">
        <v>0.9961011145751609</v>
      </c>
      <c r="O3" t="n">
        <v>0.9876527034796305</v>
      </c>
      <c r="P3" t="n">
        <v>0.9778438730389589</v>
      </c>
      <c r="Q3" t="n">
        <v>1.008493046132228</v>
      </c>
      <c r="R3" t="n">
        <v>1.056079117817341</v>
      </c>
      <c r="S3" t="n">
        <v>1.058221423272411</v>
      </c>
      <c r="T3" t="n">
        <v>1.028090640468872</v>
      </c>
      <c r="U3" t="n">
        <v>1.010011707970754</v>
      </c>
      <c r="V3" t="n">
        <v>1.008243631808625</v>
      </c>
      <c r="W3" t="n">
        <v>0.9813828330859976</v>
      </c>
      <c r="X3" t="n">
        <v>0.9929430658620307</v>
      </c>
      <c r="Y3" t="n">
        <v>0.9866152088899188</v>
      </c>
      <c r="Z3" t="n">
        <v>1.012550280382545</v>
      </c>
      <c r="AA3" t="n">
        <v>0.9897779582294185</v>
      </c>
      <c r="AB3" t="n">
        <v>0.9496528933584665</v>
      </c>
      <c r="AC3" t="n">
        <v>0.9589669776732959</v>
      </c>
      <c r="AD3" t="n">
        <v>0.9432053120391053</v>
      </c>
      <c r="AE3" t="n">
        <v>0.9462036808700324</v>
      </c>
      <c r="AF3" t="n">
        <v>0.9469010492799728</v>
      </c>
      <c r="AG3" t="n">
        <v>0.9200280786390896</v>
      </c>
      <c r="AH3" t="n">
        <v>0.8855632299189771</v>
      </c>
      <c r="AI3" t="n">
        <v>0.9305900645970947</v>
      </c>
      <c r="AJ3" t="n">
        <v>0.891319806166351</v>
      </c>
      <c r="AK3" t="n">
        <v>0.9608646601197105</v>
      </c>
      <c r="AL3" t="n">
        <v>0.942606921925869</v>
      </c>
      <c r="AM3" t="n">
        <v>0.9130108460912227</v>
      </c>
      <c r="AN3" t="n">
        <v>0.9428605748671121</v>
      </c>
      <c r="AO3" t="n">
        <v>0.9302482461287761</v>
      </c>
      <c r="AP3" t="n">
        <v>0.9746766052478002</v>
      </c>
      <c r="AQ3" t="n">
        <v>0.9629564244696854</v>
      </c>
      <c r="AR3" t="n">
        <v>0.9558226864368422</v>
      </c>
      <c r="AS3" t="n">
        <v>0.9494235065613978</v>
      </c>
      <c r="AT3" t="n">
        <v>0.9395605755466525</v>
      </c>
      <c r="AU3" t="n">
        <v>0.8933245075944838</v>
      </c>
      <c r="AV3" t="n">
        <v>0.9186185066169336</v>
      </c>
      <c r="AW3" t="n">
        <v>0.93136739375151</v>
      </c>
      <c r="AX3" t="n">
        <v>0.9208693213553474</v>
      </c>
      <c r="AY3" t="n">
        <v>0.9029638863371516</v>
      </c>
      <c r="AZ3" t="n">
        <v>0.9003082967335165</v>
      </c>
      <c r="BA3" t="n">
        <v>0.9204482802851539</v>
      </c>
      <c r="BB3" t="n">
        <v>0.8651610014334573</v>
      </c>
      <c r="BC3" t="n">
        <v>0.826941813092995</v>
      </c>
      <c r="BD3" t="n">
        <v>0.8598532119744908</v>
      </c>
      <c r="BE3" t="n">
        <v>0.8888771316096288</v>
      </c>
    </row>
    <row r="4">
      <c r="A4" s="13" t="inlineStr">
        <is>
          <t>100030</t>
        </is>
      </c>
      <c r="B4" t="n">
        <v>0.8313997400414171</v>
      </c>
      <c r="C4" t="n">
        <v>0.8289817248215039</v>
      </c>
      <c r="D4" t="n">
        <v>0.8327425207546193</v>
      </c>
      <c r="E4" t="n">
        <v>0.834695295785905</v>
      </c>
      <c r="F4" t="n">
        <v>0.8588952728684153</v>
      </c>
      <c r="G4" t="n">
        <v>0.8641893345153744</v>
      </c>
      <c r="H4" t="n">
        <v>0.7876632356663354</v>
      </c>
      <c r="I4" t="n">
        <v>0.7775273265000495</v>
      </c>
      <c r="J4" t="n">
        <v>0.7988559943446829</v>
      </c>
      <c r="K4" t="n">
        <v>0.80967631240643</v>
      </c>
      <c r="L4" t="n">
        <v>0.7996376381374929</v>
      </c>
      <c r="M4" t="n">
        <v>0.7871156521587425</v>
      </c>
      <c r="N4" t="n">
        <v>0.7621750032658127</v>
      </c>
      <c r="O4" t="n">
        <v>0.770837050160507</v>
      </c>
      <c r="P4" t="n">
        <v>0.770264235941419</v>
      </c>
      <c r="Q4" t="n">
        <v>0.7660137943985043</v>
      </c>
      <c r="R4" t="n">
        <v>0.768250672367638</v>
      </c>
      <c r="S4" t="n">
        <v>0.7827467736143501</v>
      </c>
      <c r="T4" t="n">
        <v>0.7861261707827466</v>
      </c>
      <c r="U4" t="n">
        <v>0.8055995357603096</v>
      </c>
      <c r="V4" t="n">
        <v>0.8140943167893613</v>
      </c>
      <c r="W4" t="n">
        <v>0.7701155716733736</v>
      </c>
      <c r="X4" t="n">
        <v>0.7644513153251338</v>
      </c>
      <c r="Y4" t="n">
        <v>0.783929843460629</v>
      </c>
      <c r="Z4" t="n">
        <v>0.7816992337885856</v>
      </c>
      <c r="AA4" t="n">
        <v>0.7962488943617261</v>
      </c>
      <c r="AB4" t="n">
        <v>0.8281939745557927</v>
      </c>
      <c r="AC4" t="n">
        <v>0.8059116018956268</v>
      </c>
      <c r="AD4" t="n">
        <v>0.7824019934140892</v>
      </c>
      <c r="AE4" t="n">
        <v>0.7722884805539313</v>
      </c>
      <c r="AF4" t="n">
        <v>0.7583668102169324</v>
      </c>
      <c r="AG4" t="n">
        <v>0.7834224067552572</v>
      </c>
      <c r="AH4" t="n">
        <v>0.7914954183997559</v>
      </c>
      <c r="AI4" t="n">
        <v>0.7502011617501114</v>
      </c>
      <c r="AJ4" t="n">
        <v>0.7698600263399221</v>
      </c>
      <c r="AK4" t="n">
        <v>0.7627981958622337</v>
      </c>
      <c r="AL4" t="n">
        <v>0.7834045070674408</v>
      </c>
      <c r="AM4" t="n">
        <v>0.8007761624804195</v>
      </c>
      <c r="AN4" t="n">
        <v>0.8176079172266431</v>
      </c>
      <c r="AO4" t="n">
        <v>0.8371700125422035</v>
      </c>
      <c r="AP4" t="n">
        <v>0.8216606145239073</v>
      </c>
      <c r="AQ4" t="n">
        <v>0.8075530726394465</v>
      </c>
      <c r="AR4" t="n">
        <v>0.8494297064410715</v>
      </c>
      <c r="AS4" t="n">
        <v>0.8035662984260893</v>
      </c>
      <c r="AT4" t="n">
        <v>0.8054739764941636</v>
      </c>
      <c r="AU4" t="n">
        <v>0.807664923253812</v>
      </c>
      <c r="AV4" t="n">
        <v>0.8077539091309756</v>
      </c>
      <c r="AW4" t="n">
        <v>0.7909570638417478</v>
      </c>
      <c r="AX4" t="n">
        <v>0.8214503412121018</v>
      </c>
      <c r="AY4" t="n">
        <v>0.8584015447602475</v>
      </c>
      <c r="AZ4" t="n">
        <v>0.8046377093820644</v>
      </c>
      <c r="BA4" t="n">
        <v>0.8435525607192954</v>
      </c>
      <c r="BB4" t="n">
        <v>0.8335593390671507</v>
      </c>
      <c r="BC4" t="n">
        <v>0.8816695889714742</v>
      </c>
      <c r="BD4" t="n">
        <v>0.8232444605291489</v>
      </c>
      <c r="BE4" t="n">
        <v>0.7549896223026388</v>
      </c>
    </row>
    <row r="5">
      <c r="A5" s="13" t="inlineStr">
        <is>
          <t>100040x100050</t>
        </is>
      </c>
      <c r="B5" t="n">
        <v>0.5237730934518</v>
      </c>
      <c r="C5" t="n">
        <v>0.5551653415708617</v>
      </c>
      <c r="D5" t="n">
        <v>0.5509149808613663</v>
      </c>
      <c r="E5" t="n">
        <v>0.571958764406999</v>
      </c>
      <c r="F5" t="n">
        <v>0.5949633126747359</v>
      </c>
      <c r="G5" t="n">
        <v>0.5874688132387166</v>
      </c>
      <c r="H5" t="n">
        <v>0.5958730180657819</v>
      </c>
      <c r="I5" t="n">
        <v>0.6100324801645697</v>
      </c>
      <c r="J5" t="n">
        <v>0.6047915262462007</v>
      </c>
      <c r="K5" t="n">
        <v>0.6184074957550902</v>
      </c>
      <c r="L5" t="n">
        <v>0.6195128256696274</v>
      </c>
      <c r="M5" t="n">
        <v>0.6444535232253972</v>
      </c>
      <c r="N5" t="n">
        <v>0.7067093984407469</v>
      </c>
      <c r="O5" t="n">
        <v>0.7261850870929891</v>
      </c>
      <c r="P5" t="n">
        <v>0.7297257041765164</v>
      </c>
      <c r="Q5" t="n">
        <v>0.6789914694756685</v>
      </c>
      <c r="R5" t="n">
        <v>0.5958749919520129</v>
      </c>
      <c r="S5" t="n">
        <v>0.6164671246299654</v>
      </c>
      <c r="T5" t="n">
        <v>0.6531366819074287</v>
      </c>
      <c r="U5" t="n">
        <v>0.6685242896710478</v>
      </c>
      <c r="V5" t="n">
        <v>0.6988166186117013</v>
      </c>
      <c r="W5" t="n">
        <v>0.6897099124037602</v>
      </c>
      <c r="X5" t="n">
        <v>0.6704439621755297</v>
      </c>
      <c r="Y5" t="n">
        <v>0.6836694953563729</v>
      </c>
      <c r="Z5" t="n">
        <v>0.6772698118885663</v>
      </c>
      <c r="AA5" t="n">
        <v>0.705451021775493</v>
      </c>
      <c r="AB5" t="n">
        <v>0.7362055618983401</v>
      </c>
      <c r="AC5" t="n">
        <v>0.7256621422312912</v>
      </c>
      <c r="AD5" t="n">
        <v>0.7590235096853484</v>
      </c>
      <c r="AE5" t="n">
        <v>0.7638441095365198</v>
      </c>
      <c r="AF5" t="n">
        <v>0.7450134223124252</v>
      </c>
      <c r="AG5" t="n">
        <v>0.7494790636523401</v>
      </c>
      <c r="AH5" t="n">
        <v>0.7503932599346901</v>
      </c>
      <c r="AI5" t="n">
        <v>0.7410933482594495</v>
      </c>
      <c r="AJ5" t="n">
        <v>0.7320669940343937</v>
      </c>
      <c r="AK5" t="n">
        <v>0.7786551251947359</v>
      </c>
      <c r="AL5" t="n">
        <v>0.8322671216888491</v>
      </c>
      <c r="AM5" t="n">
        <v>0.8168353083839456</v>
      </c>
      <c r="AN5" t="n">
        <v>0.789623275182585</v>
      </c>
      <c r="AO5" t="n">
        <v>0.8086746091792278</v>
      </c>
      <c r="AP5" t="n">
        <v>0.7908807204581267</v>
      </c>
      <c r="AQ5" t="n">
        <v>0.784050565194319</v>
      </c>
      <c r="AR5" t="n">
        <v>0.7599976380670223</v>
      </c>
      <c r="AS5" t="n">
        <v>0.7489734254748703</v>
      </c>
      <c r="AT5" t="n">
        <v>0.7501643426912314</v>
      </c>
      <c r="AU5" t="n">
        <v>0.7657300447327483</v>
      </c>
      <c r="AV5" t="n">
        <v>0.7402444689270583</v>
      </c>
      <c r="AW5" t="n">
        <v>0.7519615213435819</v>
      </c>
      <c r="AX5" t="n">
        <v>0.7953954396470557</v>
      </c>
      <c r="AY5" t="n">
        <v>0.7550957413871122</v>
      </c>
      <c r="AZ5" t="n">
        <v>0.7588001130091642</v>
      </c>
      <c r="BA5" t="n">
        <v>0.7453130236895932</v>
      </c>
      <c r="BB5" t="n">
        <v>0.7352513330003019</v>
      </c>
      <c r="BC5" t="n">
        <v>0.7527741489864097</v>
      </c>
      <c r="BD5" t="n">
        <v>0.7069749577211202</v>
      </c>
      <c r="BE5" t="n">
        <v>0.7039185388767606</v>
      </c>
    </row>
    <row r="6">
      <c r="A6" s="13" t="inlineStr">
        <is>
          <t>REST</t>
        </is>
      </c>
      <c r="B6" t="n">
        <v>0.3862810407570217</v>
      </c>
      <c r="C6" t="n">
        <v>0.3809209094152517</v>
      </c>
      <c r="D6" t="n">
        <v>0.3867143374248923</v>
      </c>
      <c r="E6" t="n">
        <v>0.3926574875310925</v>
      </c>
      <c r="F6" t="n">
        <v>0.3863226984431174</v>
      </c>
      <c r="G6" t="n">
        <v>0.3896177162459168</v>
      </c>
      <c r="H6" t="n">
        <v>0.3923257881756245</v>
      </c>
      <c r="I6" t="n">
        <v>0.389938441049288</v>
      </c>
      <c r="J6" t="n">
        <v>0.3851692390596759</v>
      </c>
      <c r="K6" t="n">
        <v>0.3890729941489428</v>
      </c>
      <c r="L6" t="n">
        <v>0.3895187449106868</v>
      </c>
      <c r="M6" t="n">
        <v>0.3901354987156747</v>
      </c>
      <c r="N6" t="n">
        <v>0.3883677842993369</v>
      </c>
      <c r="O6" t="n">
        <v>0.386211182834015</v>
      </c>
      <c r="P6" t="n">
        <v>0.3790125200785306</v>
      </c>
      <c r="Q6" t="n">
        <v>0.3698112192366613</v>
      </c>
      <c r="R6" t="n">
        <v>0.3704879050698635</v>
      </c>
      <c r="S6" t="n">
        <v>0.3844910833711075</v>
      </c>
      <c r="T6" t="n">
        <v>0.3888463307686049</v>
      </c>
      <c r="U6" t="n">
        <v>0.3980485418723272</v>
      </c>
      <c r="V6" t="n">
        <v>0.3980735130853829</v>
      </c>
      <c r="W6" t="n">
        <v>0.396384700374772</v>
      </c>
      <c r="X6" t="n">
        <v>0.3932297789629478</v>
      </c>
      <c r="Y6" t="n">
        <v>0.3914236433404262</v>
      </c>
      <c r="Z6" t="n">
        <v>0.3879759356015692</v>
      </c>
      <c r="AA6" t="n">
        <v>0.3867321561600901</v>
      </c>
      <c r="AB6" t="n">
        <v>0.3876203933022995</v>
      </c>
      <c r="AC6" t="n">
        <v>0.3900713043257811</v>
      </c>
      <c r="AD6" t="n">
        <v>0.3958298293231623</v>
      </c>
      <c r="AE6" t="n">
        <v>0.3983372159056742</v>
      </c>
      <c r="AF6" t="n">
        <v>0.3972147290749353</v>
      </c>
      <c r="AG6" t="n">
        <v>0.3998980324195895</v>
      </c>
      <c r="AH6" t="n">
        <v>0.4064886855889048</v>
      </c>
      <c r="AI6" t="n">
        <v>0.4049400909848332</v>
      </c>
      <c r="AJ6" t="n">
        <v>0.412630329264761</v>
      </c>
      <c r="AK6" t="n">
        <v>0.4148863467178169</v>
      </c>
      <c r="AL6" t="n">
        <v>0.4096111231458623</v>
      </c>
      <c r="AM6" t="n">
        <v>0.4107705197609726</v>
      </c>
      <c r="AN6" t="n">
        <v>0.4261266407935849</v>
      </c>
      <c r="AO6" t="n">
        <v>0.4313602248650104</v>
      </c>
      <c r="AP6" t="n">
        <v>0.4364285690217791</v>
      </c>
      <c r="AQ6" t="n">
        <v>0.4372225343099636</v>
      </c>
      <c r="AR6" t="n">
        <v>0.4256554306263727</v>
      </c>
      <c r="AS6" t="n">
        <v>0.420469830788175</v>
      </c>
      <c r="AT6" t="n">
        <v>0.4200081589903699</v>
      </c>
      <c r="AU6" t="n">
        <v>0.4245884032830328</v>
      </c>
      <c r="AV6" t="n">
        <v>0.4210671135192254</v>
      </c>
      <c r="AW6" t="n">
        <v>0.425605188713725</v>
      </c>
      <c r="AX6" t="n">
        <v>0.4299326052017349</v>
      </c>
      <c r="AY6" t="n">
        <v>0.4312634982715036</v>
      </c>
      <c r="AZ6" t="n">
        <v>0.4302240721285102</v>
      </c>
      <c r="BA6" t="n">
        <v>0.4306818762351995</v>
      </c>
      <c r="BB6" t="n">
        <v>0.4318473368322761</v>
      </c>
      <c r="BC6" t="n">
        <v>0.436580561482262</v>
      </c>
      <c r="BD6" t="n">
        <v>0.4366177201650498</v>
      </c>
      <c r="BE6" t="n">
        <v>0.4471971577120691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0.7568120294566388</v>
      </c>
      <c r="AD2" t="n">
        <v>0.7298031621908015</v>
      </c>
      <c r="AE2" t="n">
        <v>0.706814768409141</v>
      </c>
      <c r="AF2" t="n">
        <v>0.6669272418025655</v>
      </c>
      <c r="AG2" t="n">
        <v>0.6520513603721158</v>
      </c>
      <c r="AH2" t="n">
        <v>0.6328553958009578</v>
      </c>
      <c r="AI2" t="n">
        <v>0.6058154507682817</v>
      </c>
      <c r="AJ2" t="n">
        <v>0.6040559120665007</v>
      </c>
      <c r="AK2" t="n">
        <v>0.5962695277309148</v>
      </c>
      <c r="AL2" t="n">
        <v>0.5700680544648865</v>
      </c>
      <c r="AM2" t="n">
        <v>0.558532459663334</v>
      </c>
      <c r="AN2" t="n">
        <v>0.5515065556701798</v>
      </c>
      <c r="AO2" t="n">
        <v>0.5212853521774994</v>
      </c>
      <c r="AP2" t="n">
        <v>0.4929325725238506</v>
      </c>
      <c r="AQ2" t="n">
        <v>0.524060510059889</v>
      </c>
      <c r="AR2" t="n">
        <v>0.5085442549588255</v>
      </c>
      <c r="AS2" t="n">
        <v>0.4724516578052263</v>
      </c>
      <c r="AT2" t="n">
        <v>0.4728320156899007</v>
      </c>
      <c r="AU2" t="n">
        <v>0.4537147986601462</v>
      </c>
      <c r="AV2" t="n">
        <v>0.4537092815617692</v>
      </c>
      <c r="AW2" t="n">
        <v>0.431450188589636</v>
      </c>
      <c r="AX2" t="n">
        <v>0.4389600328198253</v>
      </c>
      <c r="AY2" t="n">
        <v>0.4332921230115589</v>
      </c>
      <c r="AZ2" t="n">
        <v>0.4125412652387045</v>
      </c>
      <c r="BA2" t="n">
        <v>0.4087550634044438</v>
      </c>
      <c r="BB2" t="n">
        <v>0.4007101148671989</v>
      </c>
      <c r="BC2" t="n">
        <v>0.3883104536881087</v>
      </c>
      <c r="BD2" t="n">
        <v>0.3783732654002728</v>
      </c>
      <c r="BE2" t="n">
        <v>0.3766035400126145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0.2854877654986617</v>
      </c>
      <c r="AD3" t="n">
        <v>0.3285542234959212</v>
      </c>
      <c r="AE3" t="n">
        <v>0.3330084761870292</v>
      </c>
      <c r="AF3" t="n">
        <v>0.3212465894406036</v>
      </c>
      <c r="AG3" t="n">
        <v>0.2860236893512142</v>
      </c>
      <c r="AH3" t="n">
        <v>0.2858305315437559</v>
      </c>
      <c r="AI3" t="n">
        <v>0.2924982670897206</v>
      </c>
      <c r="AJ3" t="n">
        <v>0.2891426614193157</v>
      </c>
      <c r="AK3" t="n">
        <v>0.3014582426434948</v>
      </c>
      <c r="AL3" t="n">
        <v>0.2920038148253468</v>
      </c>
      <c r="AM3" t="n">
        <v>0.2844523281999307</v>
      </c>
      <c r="AN3" t="n">
        <v>0.2596891060768657</v>
      </c>
      <c r="AO3" t="n">
        <v>0.2553130567328621</v>
      </c>
      <c r="AP3" t="n">
        <v>0.2540716541105714</v>
      </c>
      <c r="AQ3" t="n">
        <v>0.2522217693169305</v>
      </c>
      <c r="AR3" t="n">
        <v>0.2420264143656412</v>
      </c>
      <c r="AS3" t="n">
        <v>0.2387191483589836</v>
      </c>
      <c r="AT3" t="n">
        <v>0.2278495089242056</v>
      </c>
      <c r="AU3" t="n">
        <v>0.2326311978224579</v>
      </c>
      <c r="AV3" t="n">
        <v>0.2208794445277527</v>
      </c>
      <c r="AW3" t="n">
        <v>0.211090567757596</v>
      </c>
      <c r="AX3" t="n">
        <v>0.1990797932435483</v>
      </c>
      <c r="AY3" t="n">
        <v>0.1988187338048661</v>
      </c>
      <c r="AZ3" t="n">
        <v>0.1914064597913807</v>
      </c>
      <c r="BA3" t="n">
        <v>0.1922692558879334</v>
      </c>
      <c r="BB3" t="n">
        <v>0.1802756029283917</v>
      </c>
      <c r="BC3" t="n">
        <v>0.1930110727593356</v>
      </c>
      <c r="BD3" t="n">
        <v>0.1750777933873235</v>
      </c>
      <c r="BE3" t="n">
        <v>0.186869679193792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0.1930642095185202</v>
      </c>
      <c r="AD4" t="n">
        <v>0.1908350254748867</v>
      </c>
      <c r="AE4" t="n">
        <v>0.1956090743573843</v>
      </c>
      <c r="AF4" t="n">
        <v>0.1904209092678627</v>
      </c>
      <c r="AG4" t="n">
        <v>0.1895240485855957</v>
      </c>
      <c r="AH4" t="n">
        <v>0.1924295914778431</v>
      </c>
      <c r="AI4" t="n">
        <v>0.2000605704647677</v>
      </c>
      <c r="AJ4" t="n">
        <v>0.198428045964414</v>
      </c>
      <c r="AK4" t="n">
        <v>0.2137641112508329</v>
      </c>
      <c r="AL4" t="n">
        <v>0.2027724244490242</v>
      </c>
      <c r="AM4" t="n">
        <v>0.2001950571679723</v>
      </c>
      <c r="AN4" t="n">
        <v>0.1826716280670785</v>
      </c>
      <c r="AO4" t="n">
        <v>0.1639872215445154</v>
      </c>
      <c r="AP4" t="n">
        <v>0.1616034330444374</v>
      </c>
      <c r="AQ4" t="n">
        <v>0.1636422155171129</v>
      </c>
      <c r="AR4" t="n">
        <v>0.1677361046666025</v>
      </c>
      <c r="AS4" t="n">
        <v>0.1696819329854321</v>
      </c>
      <c r="AT4" t="n">
        <v>0.1535847599802551</v>
      </c>
      <c r="AU4" t="n">
        <v>0.1474120725930344</v>
      </c>
      <c r="AV4" t="n">
        <v>0.140209848429962</v>
      </c>
      <c r="AW4" t="n">
        <v>0.1207739316938183</v>
      </c>
      <c r="AX4" t="n">
        <v>0.1149974999279428</v>
      </c>
      <c r="AY4" t="n">
        <v>0.125344310211002</v>
      </c>
      <c r="AZ4" t="n">
        <v>0.109565471407568</v>
      </c>
      <c r="BA4" t="n">
        <v>0.1020381185248709</v>
      </c>
      <c r="BB4" t="n">
        <v>0.1115921248028783</v>
      </c>
      <c r="BC4" t="n">
        <v>0.1196202596998258</v>
      </c>
      <c r="BD4" t="n">
        <v>0.1218254214600042</v>
      </c>
      <c r="BE4" t="n">
        <v>0.1024569847128422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0.3632059773744556</v>
      </c>
      <c r="AD5" t="n">
        <v>0.3438328938785259</v>
      </c>
      <c r="AE5" t="n">
        <v>0.3528206411572146</v>
      </c>
      <c r="AF5" t="n">
        <v>0.3531262499691331</v>
      </c>
      <c r="AG5" t="n">
        <v>0.3480448460268954</v>
      </c>
      <c r="AH5" t="n">
        <v>0.3427596281210888</v>
      </c>
      <c r="AI5" t="n">
        <v>0.3431729486789756</v>
      </c>
      <c r="AJ5" t="n">
        <v>0.3352928690200306</v>
      </c>
      <c r="AK5" t="n">
        <v>0.3051381820233424</v>
      </c>
      <c r="AL5" t="n">
        <v>0.294965928701967</v>
      </c>
      <c r="AM5" t="n">
        <v>0.2775491340722889</v>
      </c>
      <c r="AN5" t="n">
        <v>0.2596624495328096</v>
      </c>
      <c r="AO5" t="n">
        <v>0.2659596432293496</v>
      </c>
      <c r="AP5" t="n">
        <v>0.2503766309426844</v>
      </c>
      <c r="AQ5" t="n">
        <v>0.2553921187783532</v>
      </c>
      <c r="AR5" t="n">
        <v>0.2687175733933931</v>
      </c>
      <c r="AS5" t="n">
        <v>0.2820405124049141</v>
      </c>
      <c r="AT5" t="n">
        <v>0.2745429739643414</v>
      </c>
      <c r="AU5" t="n">
        <v>0.274575129442674</v>
      </c>
      <c r="AV5" t="n">
        <v>0.2649000994665827</v>
      </c>
      <c r="AW5" t="n">
        <v>0.2580968682288355</v>
      </c>
      <c r="AX5" t="n">
        <v>0.248835045782354</v>
      </c>
      <c r="AY5" t="n">
        <v>0.2385571219019711</v>
      </c>
      <c r="AZ5" t="n">
        <v>0.2413588527778585</v>
      </c>
      <c r="BA5" t="n">
        <v>0.2362463143865658</v>
      </c>
      <c r="BB5" t="n">
        <v>0.230935540847317</v>
      </c>
      <c r="BC5" t="n">
        <v>0.2289018367583087</v>
      </c>
      <c r="BD5" t="n">
        <v>0.2356057281619705</v>
      </c>
      <c r="BE5" t="n">
        <v>0.2289325931722243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0.6883172208906245</v>
      </c>
      <c r="AD6" t="n">
        <v>0.6706706657823182</v>
      </c>
      <c r="AE6" t="n">
        <v>0.6538327972516637</v>
      </c>
      <c r="AF6" t="n">
        <v>0.646483786619686</v>
      </c>
      <c r="AG6" t="n">
        <v>0.6406579821376486</v>
      </c>
      <c r="AH6" t="n">
        <v>0.6248700825976182</v>
      </c>
      <c r="AI6" t="n">
        <v>0.601958155251425</v>
      </c>
      <c r="AJ6" t="n">
        <v>0.5953932243083798</v>
      </c>
      <c r="AK6" t="n">
        <v>0.5903194161819558</v>
      </c>
      <c r="AL6" t="n">
        <v>0.5880298679219768</v>
      </c>
      <c r="AM6" t="n">
        <v>0.5751780198659873</v>
      </c>
      <c r="AN6" t="n">
        <v>0.5508988813467215</v>
      </c>
      <c r="AO6" t="n">
        <v>0.5333257267598522</v>
      </c>
      <c r="AP6" t="n">
        <v>0.5243453937749345</v>
      </c>
      <c r="AQ6" t="n">
        <v>0.5261253227575285</v>
      </c>
      <c r="AR6" t="n">
        <v>0.5518099187110896</v>
      </c>
      <c r="AS6" t="n">
        <v>0.5464020490665088</v>
      </c>
      <c r="AT6" t="n">
        <v>0.5360560822650638</v>
      </c>
      <c r="AU6" t="n">
        <v>0.5264602273928415</v>
      </c>
      <c r="AV6" t="n">
        <v>0.5273656047023173</v>
      </c>
      <c r="AW6" t="n">
        <v>0.516884117682904</v>
      </c>
      <c r="AX6" t="n">
        <v>0.508649677495427</v>
      </c>
      <c r="AY6" t="n">
        <v>0.4990317899308157</v>
      </c>
      <c r="AZ6" t="n">
        <v>0.4921229866999139</v>
      </c>
      <c r="BA6" t="n">
        <v>0.4848506904927977</v>
      </c>
      <c r="BB6" t="n">
        <v>0.4832745944632996</v>
      </c>
      <c r="BC6" t="n">
        <v>0.4861541230590646</v>
      </c>
      <c r="BD6" t="n">
        <v>0.4770931037830412</v>
      </c>
      <c r="BE6" t="n">
        <v>0.4797246286329724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0.5752322219121284</v>
      </c>
      <c r="AD2" t="n">
        <v>0.5548936556741554</v>
      </c>
      <c r="AE2" t="n">
        <v>0.5383720313695752</v>
      </c>
      <c r="AF2" t="n">
        <v>0.5091635378798307</v>
      </c>
      <c r="AG2" t="n">
        <v>0.4983772002868813</v>
      </c>
      <c r="AH2" t="n">
        <v>0.4840900964845779</v>
      </c>
      <c r="AI2" t="n">
        <v>0.4632896415762759</v>
      </c>
      <c r="AJ2" t="n">
        <v>0.4622912092439971</v>
      </c>
      <c r="AK2" t="n">
        <v>0.456384197485006</v>
      </c>
      <c r="AL2" t="n">
        <v>0.4365689762240076</v>
      </c>
      <c r="AM2" t="n">
        <v>0.4276524281885126</v>
      </c>
      <c r="AN2" t="n">
        <v>0.4215406238919993</v>
      </c>
      <c r="AO2" t="n">
        <v>0.3940001041901108</v>
      </c>
      <c r="AP2" t="n">
        <v>0.3721238082484759</v>
      </c>
      <c r="AQ2" t="n">
        <v>0.3956440629883733</v>
      </c>
      <c r="AR2" t="n">
        <v>0.3871917524915066</v>
      </c>
      <c r="AS2" t="n">
        <v>0.3598493109005575</v>
      </c>
      <c r="AT2" t="n">
        <v>0.3591147548910397</v>
      </c>
      <c r="AU2" t="n">
        <v>0.3434675245423917</v>
      </c>
      <c r="AV2" t="n">
        <v>0.3424231003609839</v>
      </c>
      <c r="AW2" t="n">
        <v>0.3259847944480803</v>
      </c>
      <c r="AX2" t="n">
        <v>0.3306413069693724</v>
      </c>
      <c r="AY2" t="n">
        <v>0.3258273170466349</v>
      </c>
      <c r="AZ2" t="n">
        <v>0.3093861739029665</v>
      </c>
      <c r="BA2" t="n">
        <v>0.3048194840220382</v>
      </c>
      <c r="BB2" t="n">
        <v>0.2963510279972772</v>
      </c>
      <c r="BC2" t="n">
        <v>0.2867519153779708</v>
      </c>
      <c r="BD2" t="n">
        <v>0.2806013311560365</v>
      </c>
      <c r="BE2" t="n">
        <v>0.2782072270556044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0.2854877654986617</v>
      </c>
      <c r="AD3" t="n">
        <v>0.3285542234959212</v>
      </c>
      <c r="AE3" t="n">
        <v>0.3330084761870292</v>
      </c>
      <c r="AF3" t="n">
        <v>0.3212465894406036</v>
      </c>
      <c r="AG3" t="n">
        <v>0.2860236893512142</v>
      </c>
      <c r="AH3" t="n">
        <v>0.2858305315437559</v>
      </c>
      <c r="AI3" t="n">
        <v>0.2924982670897206</v>
      </c>
      <c r="AJ3" t="n">
        <v>0.2891426614193157</v>
      </c>
      <c r="AK3" t="n">
        <v>0.3014582426434948</v>
      </c>
      <c r="AL3" t="n">
        <v>0.2920038148253468</v>
      </c>
      <c r="AM3" t="n">
        <v>0.2844523281999307</v>
      </c>
      <c r="AN3" t="n">
        <v>0.2596891060768657</v>
      </c>
      <c r="AO3" t="n">
        <v>0.2553130567328621</v>
      </c>
      <c r="AP3" t="n">
        <v>0.2540716541105714</v>
      </c>
      <c r="AQ3" t="n">
        <v>0.2522217693169305</v>
      </c>
      <c r="AR3" t="n">
        <v>0.2420264143656412</v>
      </c>
      <c r="AS3" t="n">
        <v>0.2387191483589836</v>
      </c>
      <c r="AT3" t="n">
        <v>0.2278495089242056</v>
      </c>
      <c r="AU3" t="n">
        <v>0.2326311978224579</v>
      </c>
      <c r="AV3" t="n">
        <v>0.2208794445277527</v>
      </c>
      <c r="AW3" t="n">
        <v>0.211090567757596</v>
      </c>
      <c r="AX3" t="n">
        <v>0.1990797932435483</v>
      </c>
      <c r="AY3" t="n">
        <v>0.1988187338048661</v>
      </c>
      <c r="AZ3" t="n">
        <v>0.1914064597913807</v>
      </c>
      <c r="BA3" t="n">
        <v>0.1922692558879334</v>
      </c>
      <c r="BB3" t="n">
        <v>0.1802756029283917</v>
      </c>
      <c r="BC3" t="n">
        <v>0.1930110727593356</v>
      </c>
      <c r="BD3" t="n">
        <v>0.1750777933873235</v>
      </c>
      <c r="BE3" t="n">
        <v>0.186869679193792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0.1930642095185202</v>
      </c>
      <c r="AD4" t="n">
        <v>0.1908350254748867</v>
      </c>
      <c r="AE4" t="n">
        <v>0.1956090743573843</v>
      </c>
      <c r="AF4" t="n">
        <v>0.1904209092678627</v>
      </c>
      <c r="AG4" t="n">
        <v>0.1895240485855957</v>
      </c>
      <c r="AH4" t="n">
        <v>0.1924295914778431</v>
      </c>
      <c r="AI4" t="n">
        <v>0.2000605704647677</v>
      </c>
      <c r="AJ4" t="n">
        <v>0.198428045964414</v>
      </c>
      <c r="AK4" t="n">
        <v>0.2137641112508329</v>
      </c>
      <c r="AL4" t="n">
        <v>0.2027724244490242</v>
      </c>
      <c r="AM4" t="n">
        <v>0.2001950571679723</v>
      </c>
      <c r="AN4" t="n">
        <v>0.1826716280670785</v>
      </c>
      <c r="AO4" t="n">
        <v>0.1639872215445154</v>
      </c>
      <c r="AP4" t="n">
        <v>0.1616034330444374</v>
      </c>
      <c r="AQ4" t="n">
        <v>0.1636422155171129</v>
      </c>
      <c r="AR4" t="n">
        <v>0.1677361046666025</v>
      </c>
      <c r="AS4" t="n">
        <v>0.1696819329854321</v>
      </c>
      <c r="AT4" t="n">
        <v>0.1535847599802551</v>
      </c>
      <c r="AU4" t="n">
        <v>0.1474120725930344</v>
      </c>
      <c r="AV4" t="n">
        <v>0.140209848429962</v>
      </c>
      <c r="AW4" t="n">
        <v>0.1207739316938183</v>
      </c>
      <c r="AX4" t="n">
        <v>0.1149974999279428</v>
      </c>
      <c r="AY4" t="n">
        <v>0.125344310211002</v>
      </c>
      <c r="AZ4" t="n">
        <v>0.109565471407568</v>
      </c>
      <c r="BA4" t="n">
        <v>0.1020381185248709</v>
      </c>
      <c r="BB4" t="n">
        <v>0.1115921248028783</v>
      </c>
      <c r="BC4" t="n">
        <v>0.1196202596998258</v>
      </c>
      <c r="BD4" t="n">
        <v>0.1218254214600042</v>
      </c>
      <c r="BE4" t="n">
        <v>0.1024569847128422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0.3632059773744556</v>
      </c>
      <c r="AD5" t="n">
        <v>0.3438328938785259</v>
      </c>
      <c r="AE5" t="n">
        <v>0.3528206411572146</v>
      </c>
      <c r="AF5" t="n">
        <v>0.3531262499691331</v>
      </c>
      <c r="AG5" t="n">
        <v>0.3480448460268954</v>
      </c>
      <c r="AH5" t="n">
        <v>0.3427596281210888</v>
      </c>
      <c r="AI5" t="n">
        <v>0.3431729486789756</v>
      </c>
      <c r="AJ5" t="n">
        <v>0.3352928690200306</v>
      </c>
      <c r="AK5" t="n">
        <v>0.3051381820233424</v>
      </c>
      <c r="AL5" t="n">
        <v>0.294965928701967</v>
      </c>
      <c r="AM5" t="n">
        <v>0.2775491340722889</v>
      </c>
      <c r="AN5" t="n">
        <v>0.2596624495328096</v>
      </c>
      <c r="AO5" t="n">
        <v>0.2659596432293496</v>
      </c>
      <c r="AP5" t="n">
        <v>0.2503766309426844</v>
      </c>
      <c r="AQ5" t="n">
        <v>0.2553921187783532</v>
      </c>
      <c r="AR5" t="n">
        <v>0.2687175733933931</v>
      </c>
      <c r="AS5" t="n">
        <v>0.2820405124049141</v>
      </c>
      <c r="AT5" t="n">
        <v>0.2745429739643414</v>
      </c>
      <c r="AU5" t="n">
        <v>0.274575129442674</v>
      </c>
      <c r="AV5" t="n">
        <v>0.2649000994665827</v>
      </c>
      <c r="AW5" t="n">
        <v>0.2580968682288355</v>
      </c>
      <c r="AX5" t="n">
        <v>0.248835045782354</v>
      </c>
      <c r="AY5" t="n">
        <v>0.2385571219019711</v>
      </c>
      <c r="AZ5" t="n">
        <v>0.2413588527778585</v>
      </c>
      <c r="BA5" t="n">
        <v>0.2362463143865658</v>
      </c>
      <c r="BB5" t="n">
        <v>0.230935540847317</v>
      </c>
      <c r="BC5" t="n">
        <v>0.2289018367583087</v>
      </c>
      <c r="BD5" t="n">
        <v>0.2356057281619705</v>
      </c>
      <c r="BE5" t="n">
        <v>0.2289325931722243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0.6883172208906245</v>
      </c>
      <c r="AD6" t="n">
        <v>0.6706706657823182</v>
      </c>
      <c r="AE6" t="n">
        <v>0.6538327972516637</v>
      </c>
      <c r="AF6" t="n">
        <v>0.646483786619686</v>
      </c>
      <c r="AG6" t="n">
        <v>0.6406579821376486</v>
      </c>
      <c r="AH6" t="n">
        <v>0.6248700825976182</v>
      </c>
      <c r="AI6" t="n">
        <v>0.601958155251425</v>
      </c>
      <c r="AJ6" t="n">
        <v>0.5953932243083798</v>
      </c>
      <c r="AK6" t="n">
        <v>0.5903194161819558</v>
      </c>
      <c r="AL6" t="n">
        <v>0.5880298679219768</v>
      </c>
      <c r="AM6" t="n">
        <v>0.5751780198659873</v>
      </c>
      <c r="AN6" t="n">
        <v>0.5508988813467215</v>
      </c>
      <c r="AO6" t="n">
        <v>0.5333257267598522</v>
      </c>
      <c r="AP6" t="n">
        <v>0.5243453937749345</v>
      </c>
      <c r="AQ6" t="n">
        <v>0.5261253227575285</v>
      </c>
      <c r="AR6" t="n">
        <v>0.5518099187110896</v>
      </c>
      <c r="AS6" t="n">
        <v>0.5464020490665088</v>
      </c>
      <c r="AT6" t="n">
        <v>0.5360560822650638</v>
      </c>
      <c r="AU6" t="n">
        <v>0.5264602273928415</v>
      </c>
      <c r="AV6" t="n">
        <v>0.5273656047023173</v>
      </c>
      <c r="AW6" t="n">
        <v>0.516884117682904</v>
      </c>
      <c r="AX6" t="n">
        <v>0.508649677495427</v>
      </c>
      <c r="AY6" t="n">
        <v>0.4990317899308157</v>
      </c>
      <c r="AZ6" t="n">
        <v>0.4921229866999139</v>
      </c>
      <c r="BA6" t="n">
        <v>0.4848506904927977</v>
      </c>
      <c r="BB6" t="n">
        <v>0.4832745944632996</v>
      </c>
      <c r="BC6" t="n">
        <v>0.4861541230590646</v>
      </c>
      <c r="BD6" t="n">
        <v>0.4770931037830412</v>
      </c>
      <c r="BE6" t="n">
        <v>0.4797246286329724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5.874557105970858e-05</v>
      </c>
      <c r="AE2" t="n">
        <v>5.91184170310682e-05</v>
      </c>
      <c r="AF2" t="n">
        <v>6.082702132684538e-05</v>
      </c>
      <c r="AG2" t="n">
        <v>6.346843335776891e-05</v>
      </c>
      <c r="AH2" t="n">
        <v>6.508473348027232e-05</v>
      </c>
      <c r="AI2" t="n">
        <v>6.702073320615796e-05</v>
      </c>
      <c r="AJ2" t="n">
        <v>6.671261646191042e-05</v>
      </c>
      <c r="AK2" t="n">
        <v>6.733475333090374e-05</v>
      </c>
      <c r="AL2" t="n">
        <v>6.756680387929289e-05</v>
      </c>
      <c r="AM2" t="n">
        <v>6.999509599821785e-05</v>
      </c>
      <c r="AN2" t="n">
        <v>7.030251563047021e-05</v>
      </c>
      <c r="AO2" t="n">
        <v>7.276321951060355e-05</v>
      </c>
      <c r="AP2" t="n">
        <v>7.849518568012956e-05</v>
      </c>
      <c r="AQ2" t="n">
        <v>7.995741953595903e-05</v>
      </c>
      <c r="AR2" t="n">
        <v>8.005441084833611e-05</v>
      </c>
      <c r="AS2" t="n">
        <v>8.490351716373881e-05</v>
      </c>
      <c r="AT2" t="n">
        <v>8.60418535449184e-05</v>
      </c>
      <c r="AU2" t="n">
        <v>8.851945490239329e-05</v>
      </c>
      <c r="AV2" t="n">
        <v>9.108473611880314e-05</v>
      </c>
      <c r="AW2" t="n">
        <v>9.225657861300653e-05</v>
      </c>
      <c r="AX2" t="n">
        <v>9.183235291291094e-05</v>
      </c>
      <c r="AY2" t="n">
        <v>9.307365681353459e-05</v>
      </c>
      <c r="AZ2" t="n">
        <v>9.375164596939527e-05</v>
      </c>
      <c r="BA2" t="n">
        <v>9.47353354957703e-05</v>
      </c>
      <c r="BB2" t="n">
        <v>9.708606355591181e-05</v>
      </c>
      <c r="BC2" t="n">
        <v>0.0001008689569000382</v>
      </c>
      <c r="BD2" t="n">
        <v>0.0001014645909559573</v>
      </c>
      <c r="BE2" t="n">
        <v>9.982259940239302e-05</v>
      </c>
      <c r="BF2" t="n">
        <v>0.0001017727240522546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1.315663484463581</v>
      </c>
      <c r="C2" t="n">
        <v>1.315212662332828</v>
      </c>
      <c r="D2" t="n">
        <v>1.312874234218782</v>
      </c>
      <c r="E2" t="n">
        <v>1.30984878567634</v>
      </c>
      <c r="F2" t="n">
        <v>1.308349097825452</v>
      </c>
      <c r="G2" t="n">
        <v>1.307309115383068</v>
      </c>
      <c r="H2" t="n">
        <v>1.30763867007059</v>
      </c>
      <c r="I2" t="n">
        <v>1.306656713317861</v>
      </c>
      <c r="J2" t="n">
        <v>1.306507830500649</v>
      </c>
      <c r="K2" t="n">
        <v>1.305791491176366</v>
      </c>
      <c r="L2" t="n">
        <v>1.306042998584656</v>
      </c>
      <c r="M2" t="n">
        <v>1.308311760271718</v>
      </c>
      <c r="N2" t="n">
        <v>1.323058919613817</v>
      </c>
      <c r="O2" t="n">
        <v>1.324646694453658</v>
      </c>
      <c r="P2" t="n">
        <v>1.324575695895857</v>
      </c>
      <c r="Q2" t="n">
        <v>1.313417064507284</v>
      </c>
      <c r="R2" t="n">
        <v>1.312915277294461</v>
      </c>
      <c r="S2" t="n">
        <v>1.316659951311007</v>
      </c>
      <c r="T2" t="n">
        <v>1.320983109726718</v>
      </c>
      <c r="U2" t="n">
        <v>1.324996126381272</v>
      </c>
      <c r="V2" t="n">
        <v>1.323528569239303</v>
      </c>
      <c r="W2" t="n">
        <v>1.327601916539988</v>
      </c>
      <c r="X2" t="n">
        <v>1.329821351196109</v>
      </c>
      <c r="Y2" t="n">
        <v>1.333418555956837</v>
      </c>
      <c r="Z2" t="n">
        <v>1.340974198929131</v>
      </c>
      <c r="AA2" t="n">
        <v>1.352146869795507</v>
      </c>
      <c r="AB2" t="n">
        <v>1.354168648450953</v>
      </c>
      <c r="AC2" t="n">
        <v>1.348437171846014</v>
      </c>
      <c r="AD2" t="n">
        <v>1.353679931317327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5.088400583058632</v>
      </c>
      <c r="AE2" t="n">
        <v>5.136208317217747</v>
      </c>
      <c r="AF2" t="n">
        <v>5.21074417967032</v>
      </c>
      <c r="AG2" t="n">
        <v>5.312346667918243</v>
      </c>
      <c r="AH2" t="n">
        <v>5.313743697323319</v>
      </c>
      <c r="AI2" t="n">
        <v>5.418098274007964</v>
      </c>
      <c r="AJ2" t="n">
        <v>5.403381143856691</v>
      </c>
      <c r="AK2" t="n">
        <v>5.449375357628097</v>
      </c>
      <c r="AL2" t="n">
        <v>5.44429977444899</v>
      </c>
      <c r="AM2" t="n">
        <v>5.63825479875815</v>
      </c>
      <c r="AN2" t="n">
        <v>5.636565218729177</v>
      </c>
      <c r="AO2" t="n">
        <v>5.769555958282401</v>
      </c>
      <c r="AP2" t="n">
        <v>5.953643292324231</v>
      </c>
      <c r="AQ2" t="n">
        <v>6.04413522908533</v>
      </c>
      <c r="AR2" t="n">
        <v>6.245131213045487</v>
      </c>
      <c r="AS2" t="n">
        <v>6.485846315178932</v>
      </c>
      <c r="AT2" t="n">
        <v>6.541981882030735</v>
      </c>
      <c r="AU2" t="n">
        <v>6.524665576404408</v>
      </c>
      <c r="AV2" t="n">
        <v>6.505612964057123</v>
      </c>
      <c r="AW2" t="n">
        <v>6.477188949956061</v>
      </c>
      <c r="AX2" t="n">
        <v>6.402271324034239</v>
      </c>
      <c r="AY2" t="n">
        <v>6.283441223616582</v>
      </c>
      <c r="AZ2" t="n">
        <v>6.453508687431506</v>
      </c>
      <c r="BA2" t="n">
        <v>6.34586150772955</v>
      </c>
      <c r="BB2" t="n">
        <v>6.391285738343894</v>
      </c>
      <c r="BC2" t="n">
        <v>6.50217327324586</v>
      </c>
      <c r="BD2" t="n">
        <v>6.421104327548505</v>
      </c>
      <c r="BE2" t="n">
        <v>6.281744823527041</v>
      </c>
      <c r="BF2" t="n">
        <v>6.337409474944631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1.604689562508823</v>
      </c>
      <c r="AE3" t="n">
        <v>1.70346959547872</v>
      </c>
      <c r="AF3" t="n">
        <v>1.771259516617467</v>
      </c>
      <c r="AG3" t="n">
        <v>1.827486356195078</v>
      </c>
      <c r="AH3" t="n">
        <v>1.829835372647736</v>
      </c>
      <c r="AI3" t="n">
        <v>1.874542699439532</v>
      </c>
      <c r="AJ3" t="n">
        <v>1.914714435034732</v>
      </c>
      <c r="AK3" t="n">
        <v>1.95066102783555</v>
      </c>
      <c r="AL3" t="n">
        <v>1.997334900830684</v>
      </c>
      <c r="AM3" t="n">
        <v>2.036000631547636</v>
      </c>
      <c r="AN3" t="n">
        <v>2.149424473954567</v>
      </c>
      <c r="AO3" t="n">
        <v>2.44477582418767</v>
      </c>
      <c r="AP3" t="n">
        <v>2.537179443987516</v>
      </c>
      <c r="AQ3" t="n">
        <v>2.572283026033484</v>
      </c>
      <c r="AR3" t="n">
        <v>2.606200480771328</v>
      </c>
      <c r="AS3" t="n">
        <v>2.681582733739898</v>
      </c>
      <c r="AT3" t="n">
        <v>2.801538030807317</v>
      </c>
      <c r="AU3" t="n">
        <v>2.797142006364246</v>
      </c>
      <c r="AV3" t="n">
        <v>2.798065808955671</v>
      </c>
      <c r="AW3" t="n">
        <v>2.996273159487278</v>
      </c>
      <c r="AX3" t="n">
        <v>3.111000153831557</v>
      </c>
      <c r="AY3" t="n">
        <v>3.208668944434116</v>
      </c>
      <c r="AZ3" t="n">
        <v>3.20138731408895</v>
      </c>
      <c r="BA3" t="n">
        <v>3.249112251982551</v>
      </c>
      <c r="BB3" t="n">
        <v>3.236067935232823</v>
      </c>
      <c r="BC3" t="n">
        <v>3.421897442084568</v>
      </c>
      <c r="BD3" t="n">
        <v>3.024506063957435</v>
      </c>
      <c r="BE3" t="n">
        <v>3.055429071915188</v>
      </c>
      <c r="BF3" t="n">
        <v>3.031736798408894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1.804335471159211</v>
      </c>
      <c r="AE4" t="n">
        <v>1.759212648972197</v>
      </c>
      <c r="AF4" t="n">
        <v>1.819308843987619</v>
      </c>
      <c r="AG4" t="n">
        <v>1.911804669037702</v>
      </c>
      <c r="AH4" t="n">
        <v>1.938267540914155</v>
      </c>
      <c r="AI4" t="n">
        <v>1.962568445109232</v>
      </c>
      <c r="AJ4" t="n">
        <v>1.855619670552123</v>
      </c>
      <c r="AK4" t="n">
        <v>1.899822523124761</v>
      </c>
      <c r="AL4" t="n">
        <v>1.881613542503541</v>
      </c>
      <c r="AM4" t="n">
        <v>1.959028892241055</v>
      </c>
      <c r="AN4" t="n">
        <v>2.067884337250637</v>
      </c>
      <c r="AO4" t="n">
        <v>2.186044602678298</v>
      </c>
      <c r="AP4" t="n">
        <v>2.397684203378284</v>
      </c>
      <c r="AQ4" t="n">
        <v>2.553415262729927</v>
      </c>
      <c r="AR4" t="n">
        <v>2.507419785874857</v>
      </c>
      <c r="AS4" t="n">
        <v>2.574806967146558</v>
      </c>
      <c r="AT4" t="n">
        <v>2.633314023034807</v>
      </c>
      <c r="AU4" t="n">
        <v>2.606621957918082</v>
      </c>
      <c r="AV4" t="n">
        <v>2.620099958400695</v>
      </c>
      <c r="AW4" t="n">
        <v>2.906881082216071</v>
      </c>
      <c r="AX4" t="n">
        <v>3.290327909746495</v>
      </c>
      <c r="AY4" t="n">
        <v>3.514852559384651</v>
      </c>
      <c r="AZ4" t="n">
        <v>3.196620379956677</v>
      </c>
      <c r="BA4" t="n">
        <v>3.423674316597843</v>
      </c>
      <c r="BB4" t="n">
        <v>3.873219229132611</v>
      </c>
      <c r="BC4" t="n">
        <v>3.447260409570538</v>
      </c>
      <c r="BD4" t="n">
        <v>3.14613608087529</v>
      </c>
      <c r="BE4" t="n">
        <v>3.047129048951362</v>
      </c>
      <c r="BF4" t="n">
        <v>3.345233942442225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1.859578488827462</v>
      </c>
      <c r="AE5" t="n">
        <v>1.782548333579428</v>
      </c>
      <c r="AF5" t="n">
        <v>1.824714238140581</v>
      </c>
      <c r="AG5" t="n">
        <v>1.917313789948429</v>
      </c>
      <c r="AH5" t="n">
        <v>1.938386054885857</v>
      </c>
      <c r="AI5" t="n">
        <v>1.984348500835734</v>
      </c>
      <c r="AJ5" t="n">
        <v>1.966662895288794</v>
      </c>
      <c r="AK5" t="n">
        <v>2.017838314805259</v>
      </c>
      <c r="AL5" t="n">
        <v>2.049276169168305</v>
      </c>
      <c r="AM5" t="n">
        <v>2.217346824165073</v>
      </c>
      <c r="AN5" t="n">
        <v>2.285482660202629</v>
      </c>
      <c r="AO5" t="n">
        <v>2.444929161027525</v>
      </c>
      <c r="AP5" t="n">
        <v>2.447146766413131</v>
      </c>
      <c r="AQ5" t="n">
        <v>2.559898557121355</v>
      </c>
      <c r="AR5" t="n">
        <v>2.587071050635208</v>
      </c>
      <c r="AS5" t="n">
        <v>2.929950230326843</v>
      </c>
      <c r="AT5" t="n">
        <v>3.074883183345834</v>
      </c>
      <c r="AU5" t="n">
        <v>3.164457913278612</v>
      </c>
      <c r="AV5" t="n">
        <v>3.278417927981075</v>
      </c>
      <c r="AW5" t="n">
        <v>3.251904135216149</v>
      </c>
      <c r="AX5" t="n">
        <v>3.345428376735085</v>
      </c>
      <c r="AY5" t="n">
        <v>3.291466813777004</v>
      </c>
      <c r="AZ5" t="n">
        <v>3.252314612211415</v>
      </c>
      <c r="BA5" t="n">
        <v>3.155775825234741</v>
      </c>
      <c r="BB5" t="n">
        <v>3.183121683433614</v>
      </c>
      <c r="BC5" t="n">
        <v>3.317053635694633</v>
      </c>
      <c r="BD5" t="n">
        <v>3.321035993490675</v>
      </c>
      <c r="BE5" t="n">
        <v>3.349715804415972</v>
      </c>
      <c r="BF5" t="n">
        <v>3.378608539026186</v>
      </c>
      <c r="BG5" t="inlineStr"/>
      <c r="BH5" t="inlineStr"/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3.406580032641462</v>
      </c>
      <c r="AE6" t="n">
        <v>3.383728490274184</v>
      </c>
      <c r="AF6" t="n">
        <v>3.38642329514715</v>
      </c>
      <c r="AG6" t="n">
        <v>3.354114244722351</v>
      </c>
      <c r="AH6" t="n">
        <v>3.333786138244706</v>
      </c>
      <c r="AI6" t="n">
        <v>3.318842463023456</v>
      </c>
      <c r="AJ6" t="n">
        <v>3.313311720488418</v>
      </c>
      <c r="AK6" t="n">
        <v>3.319082601224655</v>
      </c>
      <c r="AL6" t="n">
        <v>3.356124282016579</v>
      </c>
      <c r="AM6" t="n">
        <v>3.401499483572807</v>
      </c>
      <c r="AN6" t="n">
        <v>3.434864118208178</v>
      </c>
      <c r="AO6" t="n">
        <v>3.432711246821717</v>
      </c>
      <c r="AP6" t="n">
        <v>3.402386715311871</v>
      </c>
      <c r="AQ6" t="n">
        <v>3.433602298083486</v>
      </c>
      <c r="AR6" t="n">
        <v>3.45249021729355</v>
      </c>
      <c r="AS6" t="n">
        <v>3.57740184009514</v>
      </c>
      <c r="AT6" t="n">
        <v>3.635939712404523</v>
      </c>
      <c r="AU6" t="n">
        <v>3.620574513814819</v>
      </c>
      <c r="AV6" t="n">
        <v>3.665273546261074</v>
      </c>
      <c r="AW6" t="n">
        <v>3.670942710654761</v>
      </c>
      <c r="AX6" t="n">
        <v>3.690318371363986</v>
      </c>
      <c r="AY6" t="n">
        <v>3.688748632472501</v>
      </c>
      <c r="AZ6" t="n">
        <v>3.662038218371275</v>
      </c>
      <c r="BA6" t="n">
        <v>3.675290337145743</v>
      </c>
      <c r="BB6" t="n">
        <v>3.718634785475317</v>
      </c>
      <c r="BC6" t="n">
        <v>3.7380484107104</v>
      </c>
      <c r="BD6" t="n">
        <v>3.866251321756952</v>
      </c>
      <c r="BE6" t="n">
        <v>3.756124067246966</v>
      </c>
      <c r="BF6" t="n">
        <v>3.713159690714777</v>
      </c>
      <c r="BG6" t="inlineStr"/>
      <c r="BH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0.003594320365094866</v>
      </c>
      <c r="AE2" t="n">
        <v>0.003554205698050531</v>
      </c>
      <c r="AF2" t="n">
        <v>0.003483592829511638</v>
      </c>
      <c r="AG2" t="n">
        <v>0.003372270900808316</v>
      </c>
      <c r="AH2" t="n">
        <v>0.003371073666138933</v>
      </c>
      <c r="AI2" t="n">
        <v>0.003288394340306544</v>
      </c>
      <c r="AJ2" t="n">
        <v>0.0033033655024821</v>
      </c>
      <c r="AK2" t="n">
        <v>0.003271520469412141</v>
      </c>
      <c r="AL2" t="n">
        <v>0.003274638465340777</v>
      </c>
      <c r="AM2" t="n">
        <v>0.003155094710048286</v>
      </c>
      <c r="AN2" t="n">
        <v>0.003156138418073442</v>
      </c>
      <c r="AO2" t="n">
        <v>0.00306913944668416</v>
      </c>
      <c r="AP2" t="n">
        <v>0.002992283710898005</v>
      </c>
      <c r="AQ2" t="n">
        <v>0.002941302314559785</v>
      </c>
      <c r="AR2" t="n">
        <v>0.00285463008947285</v>
      </c>
      <c r="AS2" t="n">
        <v>0.002729290309261365</v>
      </c>
      <c r="AT2" t="n">
        <v>0.002698474469831223</v>
      </c>
      <c r="AU2" t="n">
        <v>0.002707692728330893</v>
      </c>
      <c r="AV2" t="n">
        <v>0.002717555736442538</v>
      </c>
      <c r="AW2" t="n">
        <v>0.002728367289089404</v>
      </c>
      <c r="AX2" t="n">
        <v>0.002759064732906403</v>
      </c>
      <c r="AY2" t="n">
        <v>0.002803169970945396</v>
      </c>
      <c r="AZ2" t="n">
        <v>0.002748889874878498</v>
      </c>
      <c r="BA2" t="n">
        <v>0.002777080281183527</v>
      </c>
      <c r="BB2" t="n">
        <v>0.002761216611008653</v>
      </c>
      <c r="BC2" t="n">
        <v>0.002706288964102516</v>
      </c>
      <c r="BD2" t="n">
        <v>0.00273477381585904</v>
      </c>
      <c r="BE2" t="n">
        <v>0.002780936495172772</v>
      </c>
      <c r="BF2" t="n">
        <v>0.00275336929366006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0.003064080074348257</v>
      </c>
      <c r="AE3" t="n">
        <v>0.002994141467531296</v>
      </c>
      <c r="AF3" t="n">
        <v>0.002943040681919114</v>
      </c>
      <c r="AG3" t="n">
        <v>0.002897889267689357</v>
      </c>
      <c r="AH3" t="n">
        <v>0.002896161865167066</v>
      </c>
      <c r="AI3" t="n">
        <v>0.002867306696600315</v>
      </c>
      <c r="AJ3" t="n">
        <v>0.002844666020368879</v>
      </c>
      <c r="AK3" t="n">
        <v>0.002821387281268044</v>
      </c>
      <c r="AL3" t="n">
        <v>0.0027990443505197</v>
      </c>
      <c r="AM3" t="n">
        <v>0.002779966342251478</v>
      </c>
      <c r="AN3" t="n">
        <v>0.002724300202368512</v>
      </c>
      <c r="AO3" t="n">
        <v>0.002570928327395017</v>
      </c>
      <c r="AP3" t="n">
        <v>0.002535583282534345</v>
      </c>
      <c r="AQ3" t="n">
        <v>0.002519360837908655</v>
      </c>
      <c r="AR3" t="n">
        <v>0.002508799330770467</v>
      </c>
      <c r="AS3" t="n">
        <v>0.002479141964246272</v>
      </c>
      <c r="AT3" t="n">
        <v>0.002428808886264677</v>
      </c>
      <c r="AU3" t="n">
        <v>0.002430669399221165</v>
      </c>
      <c r="AV3" t="n">
        <v>0.002430287816936685</v>
      </c>
      <c r="AW3" t="n">
        <v>0.002356638756713136</v>
      </c>
      <c r="AX3" t="n">
        <v>0.002316940072404414</v>
      </c>
      <c r="AY3" t="n">
        <v>0.002290034572097165</v>
      </c>
      <c r="AZ3" t="n">
        <v>0.00229203102332691</v>
      </c>
      <c r="BA3" t="n">
        <v>0.002280295555243238</v>
      </c>
      <c r="BB3" t="n">
        <v>0.002284164399743384</v>
      </c>
      <c r="BC3" t="n">
        <v>0.002231282093419513</v>
      </c>
      <c r="BD3" t="n">
        <v>0.002323013921905785</v>
      </c>
      <c r="BE3" t="n">
        <v>0.00231493704119898</v>
      </c>
      <c r="BF3" t="n">
        <v>0.002320796109303205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0.002568351730566539</v>
      </c>
      <c r="AE4" t="n">
        <v>0.002596179807305156</v>
      </c>
      <c r="AF4" t="n">
        <v>0.002557314683643597</v>
      </c>
      <c r="AG4" t="n">
        <v>0.00249486163706346</v>
      </c>
      <c r="AH4" t="n">
        <v>0.002479251868032082</v>
      </c>
      <c r="AI4" t="n">
        <v>0.002466061997007769</v>
      </c>
      <c r="AJ4" t="n">
        <v>0.002516462467391883</v>
      </c>
      <c r="AK4" t="n">
        <v>0.002492361463923995</v>
      </c>
      <c r="AL4" t="n">
        <v>0.002500253482865059</v>
      </c>
      <c r="AM4" t="n">
        <v>0.002466185900222424</v>
      </c>
      <c r="AN4" t="n">
        <v>0.002420283633460861</v>
      </c>
      <c r="AO4" t="n">
        <v>0.002369131734296975</v>
      </c>
      <c r="AP4" t="n">
        <v>0.00229730619483102</v>
      </c>
      <c r="AQ4" t="n">
        <v>0.002236785278674234</v>
      </c>
      <c r="AR4" t="n">
        <v>0.002249059457233008</v>
      </c>
      <c r="AS4" t="n">
        <v>0.002225157684594463</v>
      </c>
      <c r="AT4" t="n">
        <v>0.002203450842192229</v>
      </c>
      <c r="AU4" t="n">
        <v>0.002213484008062039</v>
      </c>
      <c r="AV4" t="n">
        <v>0.002208567049166618</v>
      </c>
      <c r="AW4" t="n">
        <v>0.002116595683671396</v>
      </c>
      <c r="AX4" t="n">
        <v>0.0019924992756621</v>
      </c>
      <c r="AY4" t="n">
        <v>0.00193316279796648</v>
      </c>
      <c r="AZ4" t="n">
        <v>0.002015376635547078</v>
      </c>
      <c r="BA4" t="n">
        <v>0.001962714287750129</v>
      </c>
      <c r="BB4" t="n">
        <v>0.001841166666358509</v>
      </c>
      <c r="BC4" t="n">
        <v>0.001953604827549011</v>
      </c>
      <c r="BD4" t="n">
        <v>0.002022887555412887</v>
      </c>
      <c r="BE4" t="n">
        <v>0.002045718726744219</v>
      </c>
      <c r="BF4" t="n">
        <v>0.001978815449596252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0.003199802120855503</v>
      </c>
      <c r="AE5" t="n">
        <v>0.003260720043920291</v>
      </c>
      <c r="AF5" t="n">
        <v>0.003226033044453861</v>
      </c>
      <c r="AG5" t="n">
        <v>0.003146169422220903</v>
      </c>
      <c r="AH5" t="n">
        <v>0.003129800045073004</v>
      </c>
      <c r="AI5" t="n">
        <v>0.003096900922655958</v>
      </c>
      <c r="AJ5" t="n">
        <v>0.003108223591521866</v>
      </c>
      <c r="AK5" t="n">
        <v>0.003072097381399355</v>
      </c>
      <c r="AL5" t="n">
        <v>0.003055611354310991</v>
      </c>
      <c r="AM5" t="n">
        <v>0.002964243190644685</v>
      </c>
      <c r="AN5" t="n">
        <v>0.002928820475443881</v>
      </c>
      <c r="AO5" t="n">
        <v>0.002842517108062363</v>
      </c>
      <c r="AP5" t="n">
        <v>0.002841607879940853</v>
      </c>
      <c r="AQ5" t="n">
        <v>0.002786986563545621</v>
      </c>
      <c r="AR5" t="n">
        <v>0.002778020115683057</v>
      </c>
      <c r="AS5" t="n">
        <v>0.00263344804893844</v>
      </c>
      <c r="AT5" t="n">
        <v>0.002572262582873488</v>
      </c>
      <c r="AU5" t="n">
        <v>0.002533436164907981</v>
      </c>
      <c r="AV5" t="n">
        <v>0.002486318510365816</v>
      </c>
      <c r="AW5" t="n">
        <v>0.002496286696176344</v>
      </c>
      <c r="AX5" t="n">
        <v>0.002461442386797699</v>
      </c>
      <c r="AY5" t="n">
        <v>0.002477674883335217</v>
      </c>
      <c r="AZ5" t="n">
        <v>0.002489697340402716</v>
      </c>
      <c r="BA5" t="n">
        <v>0.002517938595401232</v>
      </c>
      <c r="BB5" t="n">
        <v>0.002508498799048418</v>
      </c>
      <c r="BC5" t="n">
        <v>0.002463624774749251</v>
      </c>
      <c r="BD5" t="n">
        <v>0.002462457946103648</v>
      </c>
      <c r="BE5" t="n">
        <v>0.002454243430999556</v>
      </c>
      <c r="BF5" t="n">
        <v>0.00244575425760814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0.002226852398066288</v>
      </c>
      <c r="AE6" t="n">
        <v>0.002240533071964794</v>
      </c>
      <c r="AF6" t="n">
        <v>0.002238856041641968</v>
      </c>
      <c r="AG6" t="n">
        <v>0.002257597819646911</v>
      </c>
      <c r="AH6" t="n">
        <v>0.00226936954780028</v>
      </c>
      <c r="AI6" t="n">
        <v>0.002277418483643768</v>
      </c>
      <c r="AJ6" t="n">
        <v>0.00228021299783535</v>
      </c>
      <c r="AK6" t="n">
        <v>0.002277528288171707</v>
      </c>
      <c r="AL6" t="n">
        <v>0.002262890184060468</v>
      </c>
      <c r="AM6" t="n">
        <v>0.002244366939927138</v>
      </c>
      <c r="AN6" t="n">
        <v>0.002230690488524101</v>
      </c>
      <c r="AO6" t="n">
        <v>0.002231577198799491</v>
      </c>
      <c r="AP6" t="n">
        <v>0.00224170267350087</v>
      </c>
      <c r="AQ6" t="n">
        <v>0.002230314120995281</v>
      </c>
      <c r="AR6" t="n">
        <v>0.00222495355640565</v>
      </c>
      <c r="AS6" t="n">
        <v>0.002182813142804173</v>
      </c>
      <c r="AT6" t="n">
        <v>0.002159722693859172</v>
      </c>
      <c r="AU6" t="n">
        <v>0.002165575306120107</v>
      </c>
      <c r="AV6" t="n">
        <v>0.002149987711350479</v>
      </c>
      <c r="AW6" t="n">
        <v>0.00214827116226066</v>
      </c>
      <c r="AX6" t="n">
        <v>0.002142141135804236</v>
      </c>
      <c r="AY6" t="n">
        <v>0.002142626804545365</v>
      </c>
      <c r="AZ6" t="n">
        <v>0.002150267378472409</v>
      </c>
      <c r="BA6" t="n">
        <v>0.002146779406868382</v>
      </c>
      <c r="BB6" t="n">
        <v>0.002134726421973946</v>
      </c>
      <c r="BC6" t="n">
        <v>0.002129395889258034</v>
      </c>
      <c r="BD6" t="n">
        <v>0.002095558715582263</v>
      </c>
      <c r="BE6" t="n">
        <v>0.002124460792952913</v>
      </c>
      <c r="BF6" t="n">
        <v>0.002135511342557796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-0.1150761169326681</v>
      </c>
      <c r="AE2" t="n">
        <v>-0.092774744379722</v>
      </c>
      <c r="AF2" t="n">
        <v>-0.1256185552666387</v>
      </c>
      <c r="AG2" t="n">
        <v>-0.07258742370050375</v>
      </c>
      <c r="AH2" t="n">
        <v>-0.1404404150444909</v>
      </c>
      <c r="AI2" t="n">
        <v>-0.2245170000814245</v>
      </c>
      <c r="AJ2" t="n">
        <v>-0.06975249577138531</v>
      </c>
      <c r="AK2" t="n">
        <v>0.02759116928037519</v>
      </c>
      <c r="AL2" t="n">
        <v>-0.1005011652058067</v>
      </c>
      <c r="AM2" t="n">
        <v>-0.09376920917934917</v>
      </c>
      <c r="AN2" t="n">
        <v>-0.09567241337769938</v>
      </c>
      <c r="AO2" t="n">
        <v>-0.09709725758054177</v>
      </c>
      <c r="AP2" t="n">
        <v>-0.1472538416767537</v>
      </c>
      <c r="AQ2" t="n">
        <v>-0.134638929285946</v>
      </c>
      <c r="AR2" t="n">
        <v>-0.2617052555254656</v>
      </c>
      <c r="AS2" t="n">
        <v>-0.242585968995068</v>
      </c>
      <c r="AT2" t="n">
        <v>-0.1276147717623831</v>
      </c>
      <c r="AU2" t="n">
        <v>-0.08012601341315473</v>
      </c>
      <c r="AV2" t="n">
        <v>0.1030376079301489</v>
      </c>
      <c r="AW2" t="n">
        <v>0.002067880079201334</v>
      </c>
      <c r="AX2" t="n">
        <v>0.03528499708922528</v>
      </c>
      <c r="AY2" t="n">
        <v>-0.08441564922488121</v>
      </c>
      <c r="AZ2" t="n">
        <v>-0.04390589540936507</v>
      </c>
      <c r="BA2" t="n">
        <v>0.02084390776181722</v>
      </c>
      <c r="BB2" t="n">
        <v>-0.1095003246387632</v>
      </c>
      <c r="BC2" t="n">
        <v>0.04127807371506376</v>
      </c>
      <c r="BD2" t="n">
        <v>0.07432292656920669</v>
      </c>
      <c r="BE2" t="n">
        <v>-0.05583854142602862</v>
      </c>
      <c r="BF2" t="n">
        <v>-0.009670616610009564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-0.006964359270206444</v>
      </c>
      <c r="AE3" t="n">
        <v>-0.03398340155183277</v>
      </c>
      <c r="AF3" t="n">
        <v>-0.02810483145471709</v>
      </c>
      <c r="AG3" t="n">
        <v>-0.01757892437807362</v>
      </c>
      <c r="AH3" t="n">
        <v>-0.02303780809577261</v>
      </c>
      <c r="AI3" t="n">
        <v>-0.02388075233860698</v>
      </c>
      <c r="AJ3" t="n">
        <v>-0.0287867503912842</v>
      </c>
      <c r="AK3" t="n">
        <v>-0.0005273525702060855</v>
      </c>
      <c r="AL3" t="n">
        <v>-0.01507919146608527</v>
      </c>
      <c r="AM3" t="n">
        <v>-0.002372275277605751</v>
      </c>
      <c r="AN3" t="n">
        <v>-0.01710646922014403</v>
      </c>
      <c r="AO3" t="n">
        <v>-0.0183274519862856</v>
      </c>
      <c r="AP3" t="n">
        <v>-0.0218013819012518</v>
      </c>
      <c r="AQ3" t="n">
        <v>-0.0210179956320149</v>
      </c>
      <c r="AR3" t="n">
        <v>-0.03692732744458871</v>
      </c>
      <c r="AS3" t="n">
        <v>-0.03414206160877908</v>
      </c>
      <c r="AT3" t="n">
        <v>-0.05128140075723464</v>
      </c>
      <c r="AU3" t="n">
        <v>-0.06886291770434427</v>
      </c>
      <c r="AV3" t="n">
        <v>-0.05869267756534324</v>
      </c>
      <c r="AW3" t="n">
        <v>-0.05991130547618728</v>
      </c>
      <c r="AX3" t="n">
        <v>-0.05860048039457622</v>
      </c>
      <c r="AY3" t="n">
        <v>-0.04395932122806234</v>
      </c>
      <c r="AZ3" t="n">
        <v>-0.0514087306912212</v>
      </c>
      <c r="BA3" t="n">
        <v>-0.06908121669272227</v>
      </c>
      <c r="BB3" t="n">
        <v>-0.05364532468130923</v>
      </c>
      <c r="BC3" t="n">
        <v>-0.03373598687231061</v>
      </c>
      <c r="BD3" t="n">
        <v>-0.02052567720943776</v>
      </c>
      <c r="BE3" t="n">
        <v>-0.05192040983677737</v>
      </c>
      <c r="BF3" t="n">
        <v>-0.05261822028786411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-0.005336219184411406</v>
      </c>
      <c r="AE4" t="n">
        <v>0.008306117684719894</v>
      </c>
      <c r="AF4" t="n">
        <v>-0.009497215784886937</v>
      </c>
      <c r="AG4" t="n">
        <v>-0.006989832280839603</v>
      </c>
      <c r="AH4" t="n">
        <v>-0.02022863764858129</v>
      </c>
      <c r="AI4" t="n">
        <v>-0.01010874108979465</v>
      </c>
      <c r="AJ4" t="n">
        <v>0.03504496851102878</v>
      </c>
      <c r="AK4" t="n">
        <v>0.0298153195806623</v>
      </c>
      <c r="AL4" t="n">
        <v>0.02721581348764057</v>
      </c>
      <c r="AM4" t="n">
        <v>0.01673745375203417</v>
      </c>
      <c r="AN4" t="n">
        <v>0.0116845355880093</v>
      </c>
      <c r="AO4" t="n">
        <v>0.01542233873284893</v>
      </c>
      <c r="AP4" t="n">
        <v>-0.01950703881731275</v>
      </c>
      <c r="AQ4" t="n">
        <v>0.001432835154439926</v>
      </c>
      <c r="AR4" t="n">
        <v>-0.00163596335993732</v>
      </c>
      <c r="AS4" t="n">
        <v>-0.01433374310883029</v>
      </c>
      <c r="AT4" t="n">
        <v>-0.009138719859111299</v>
      </c>
      <c r="AU4" t="n">
        <v>-0.01824747452135866</v>
      </c>
      <c r="AV4" t="n">
        <v>0.00314134704895519</v>
      </c>
      <c r="AW4" t="n">
        <v>-0.02841251105147791</v>
      </c>
      <c r="AX4" t="n">
        <v>0.03155249476842759</v>
      </c>
      <c r="AY4" t="n">
        <v>0.1259277820981752</v>
      </c>
      <c r="AZ4" t="n">
        <v>0.08126624186976872</v>
      </c>
      <c r="BA4" t="n">
        <v>0.04199334876798577</v>
      </c>
      <c r="BB4" t="n">
        <v>0.03423386405010898</v>
      </c>
      <c r="BC4" t="n">
        <v>0.06324023896005859</v>
      </c>
      <c r="BD4" t="n">
        <v>-0.003039263661694047</v>
      </c>
      <c r="BE4" t="n">
        <v>1.039426533977483e-05</v>
      </c>
      <c r="BF4" t="n">
        <v>0.02483289550387702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0.06260761966970185</v>
      </c>
      <c r="AE5" t="n">
        <v>0.03307627082500053</v>
      </c>
      <c r="AF5" t="n">
        <v>0.01756732683561824</v>
      </c>
      <c r="AG5" t="n">
        <v>0.03106865936692538</v>
      </c>
      <c r="AH5" t="n">
        <v>0.01914893644873605</v>
      </c>
      <c r="AI5" t="n">
        <v>0.03609607509693791</v>
      </c>
      <c r="AJ5" t="n">
        <v>0.02137837323275549</v>
      </c>
      <c r="AK5" t="n">
        <v>0.05353753154977836</v>
      </c>
      <c r="AL5" t="n">
        <v>0.06842416912246962</v>
      </c>
      <c r="AM5" t="n">
        <v>0.01747110474840463</v>
      </c>
      <c r="AN5" t="n">
        <v>0.0257720728874371</v>
      </c>
      <c r="AO5" t="n">
        <v>0.04410947921365538</v>
      </c>
      <c r="AP5" t="n">
        <v>-0.008586041380332032</v>
      </c>
      <c r="AQ5" t="n">
        <v>0.01252906694391553</v>
      </c>
      <c r="AR5" t="n">
        <v>-0.002886045067020948</v>
      </c>
      <c r="AS5" t="n">
        <v>-0.007308437562624448</v>
      </c>
      <c r="AT5" t="n">
        <v>-0.01295333360722717</v>
      </c>
      <c r="AU5" t="n">
        <v>0.0066147811419075</v>
      </c>
      <c r="AV5" t="n">
        <v>-0.01512863174556789</v>
      </c>
      <c r="AW5" t="n">
        <v>0.04481240147129895</v>
      </c>
      <c r="AX5" t="n">
        <v>0.04279882947103397</v>
      </c>
      <c r="AY5" t="n">
        <v>0.003830847206039101</v>
      </c>
      <c r="AZ5" t="n">
        <v>0.06116662708595322</v>
      </c>
      <c r="BA5" t="n">
        <v>0.02325283783127818</v>
      </c>
      <c r="BB5" t="n">
        <v>0.01374391280481868</v>
      </c>
      <c r="BC5" t="n">
        <v>0.03320385549258242</v>
      </c>
      <c r="BD5" t="n">
        <v>0.01963574215332176</v>
      </c>
      <c r="BE5" t="n">
        <v>0.0236960783704907</v>
      </c>
      <c r="BF5" t="n">
        <v>0.02225446829044997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-0.09114038758748733</v>
      </c>
      <c r="AE6" t="n">
        <v>-0.09997737594178835</v>
      </c>
      <c r="AF6" t="n">
        <v>-0.0855899699470174</v>
      </c>
      <c r="AG6" t="n">
        <v>-0.07463058973546532</v>
      </c>
      <c r="AH6" t="n">
        <v>-0.06658167268023274</v>
      </c>
      <c r="AI6" t="n">
        <v>-0.04806307757234662</v>
      </c>
      <c r="AJ6" t="n">
        <v>0.001056623327286843</v>
      </c>
      <c r="AK6" t="n">
        <v>0.02770060887234327</v>
      </c>
      <c r="AL6" t="n">
        <v>0.008871969804498114</v>
      </c>
      <c r="AM6" t="n">
        <v>0.0001735028115563697</v>
      </c>
      <c r="AN6" t="n">
        <v>0.006881558062033832</v>
      </c>
      <c r="AO6" t="n">
        <v>0.05752600649526585</v>
      </c>
      <c r="AP6" t="n">
        <v>0.05153437182000653</v>
      </c>
      <c r="AQ6" t="n">
        <v>0.08722156790086721</v>
      </c>
      <c r="AR6" t="n">
        <v>0.05548417015662244</v>
      </c>
      <c r="AS6" t="n">
        <v>-0.01954677248171799</v>
      </c>
      <c r="AT6" t="n">
        <v>0.006631104934715415</v>
      </c>
      <c r="AU6" t="n">
        <v>0.03479783439347894</v>
      </c>
      <c r="AV6" t="n">
        <v>0.06753214058593837</v>
      </c>
      <c r="AW6" t="n">
        <v>0.0608787515651581</v>
      </c>
      <c r="AX6" t="n">
        <v>0.06091697358300063</v>
      </c>
      <c r="AY6" t="n">
        <v>0.0731681519034566</v>
      </c>
      <c r="AZ6" t="n">
        <v>0.08852807278696484</v>
      </c>
      <c r="BA6" t="n">
        <v>0.0863457715452054</v>
      </c>
      <c r="BB6" t="n">
        <v>0.08635173418213582</v>
      </c>
      <c r="BC6" t="n">
        <v>0.09277430373199214</v>
      </c>
      <c r="BD6" t="n">
        <v>0.08547370493691231</v>
      </c>
      <c r="BE6" t="n">
        <v>0.1232600894807521</v>
      </c>
      <c r="BF6" t="n">
        <v>0.211493188903348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n">
        <v>0.009836609815292734</v>
      </c>
      <c r="C2" t="n">
        <v>0.01101073611754138</v>
      </c>
      <c r="D2" t="n">
        <v>0.01148978396755082</v>
      </c>
      <c r="E2" t="n">
        <v>0.01067842589432592</v>
      </c>
      <c r="F2" t="n">
        <v>0.01347451647851094</v>
      </c>
      <c r="G2" t="n">
        <v>0.01408149196439263</v>
      </c>
      <c r="H2" t="n">
        <v>0.01214688022750926</v>
      </c>
      <c r="I2" t="n">
        <v>0.01007570360208073</v>
      </c>
      <c r="J2" t="n">
        <v>0.007562416684877882</v>
      </c>
      <c r="K2" t="n">
        <v>0.0107186635031349</v>
      </c>
      <c r="L2" t="n">
        <v>0.007117176490295973</v>
      </c>
      <c r="M2" t="n">
        <v>0.006769049619115314</v>
      </c>
      <c r="N2" t="n">
        <v>0.004317485708908702</v>
      </c>
      <c r="O2" t="n">
        <v>0.001778473108507525</v>
      </c>
      <c r="P2" t="n">
        <v>-0.0008590813877886196</v>
      </c>
      <c r="Q2" t="n">
        <v>-0.006465578982889667</v>
      </c>
      <c r="R2" t="n">
        <v>-0.007446839884987165</v>
      </c>
      <c r="S2" t="n">
        <v>-0.01190292825256662</v>
      </c>
      <c r="T2" t="n">
        <v>-0.009106457545066718</v>
      </c>
      <c r="U2" t="n">
        <v>-0.008861017353453087</v>
      </c>
      <c r="V2" t="n">
        <v>-0.007671288894478428</v>
      </c>
      <c r="W2" t="n">
        <v>-0.00449312098578775</v>
      </c>
      <c r="X2" t="n">
        <v>-0.01141193045631413</v>
      </c>
      <c r="Y2" t="n">
        <v>-0.01009193675646752</v>
      </c>
      <c r="Z2" t="n">
        <v>-0.009747063267662497</v>
      </c>
      <c r="AA2" t="n">
        <v>-0.009760447315117524</v>
      </c>
      <c r="AB2" t="n">
        <v>-0.0143471827654404</v>
      </c>
      <c r="AC2" t="n">
        <v>-0.01194162681390537</v>
      </c>
      <c r="AD2" t="n">
        <v>-0.02182871292925891</v>
      </c>
      <c r="AE2" t="n">
        <v>-0.01772465811244259</v>
      </c>
      <c r="AF2" t="n">
        <v>-0.02069548184817026</v>
      </c>
      <c r="AG2" t="n">
        <v>-0.01648784763689773</v>
      </c>
      <c r="AH2" t="n">
        <v>-0.0135278765697289</v>
      </c>
      <c r="AI2" t="n">
        <v>-0.01737055070450878</v>
      </c>
      <c r="AJ2" t="n">
        <v>-0.01611693817822354</v>
      </c>
      <c r="AK2" t="n">
        <v>-0.01617715670024798</v>
      </c>
      <c r="AL2" t="n">
        <v>-0.01976284844400688</v>
      </c>
      <c r="AM2" t="n">
        <v>-0.02851477222334825</v>
      </c>
      <c r="AN2" t="n">
        <v>-0.02720136916976314</v>
      </c>
      <c r="AO2" t="n">
        <v>0.003383380802023474</v>
      </c>
      <c r="AP2" t="n">
        <v>-0.00841816000517826</v>
      </c>
      <c r="AQ2" t="n">
        <v>-0.006477034996661276</v>
      </c>
      <c r="AR2" t="n">
        <v>0.003254154540096126</v>
      </c>
      <c r="AS2" t="n">
        <v>-0.01819385984930592</v>
      </c>
      <c r="AT2" t="n">
        <v>-0.005812641816774405</v>
      </c>
      <c r="AU2" t="n">
        <v>-0.008610022371137531</v>
      </c>
      <c r="AV2" t="n">
        <v>-0.001767880916475239</v>
      </c>
      <c r="AW2" t="n">
        <v>-0.006513143673197852</v>
      </c>
      <c r="AX2" t="n">
        <v>-0.009292329430104487</v>
      </c>
      <c r="AY2" t="n">
        <v>-0.0165451958951696</v>
      </c>
      <c r="AZ2" t="n">
        <v>-0.01009190182255596</v>
      </c>
      <c r="BA2" t="n">
        <v>-0.009442514974490895</v>
      </c>
      <c r="BB2" t="n">
        <v>-0.01587404705652785</v>
      </c>
      <c r="BC2" t="n">
        <v>-0.01330920422443602</v>
      </c>
      <c r="BD2" t="n">
        <v>-0.02030646039906521</v>
      </c>
      <c r="BE2" t="n">
        <v>-0.02403345559581643</v>
      </c>
      <c r="BF2" t="n">
        <v>-0.01617801987124973</v>
      </c>
    </row>
    <row r="3">
      <c r="A3" s="13" t="inlineStr">
        <is>
          <t>100010</t>
        </is>
      </c>
      <c r="B3" t="n">
        <v>0.0001907608488759805</v>
      </c>
      <c r="C3" t="n">
        <v>0.0002629569715519622</v>
      </c>
      <c r="D3" t="n">
        <v>0.000341031910843086</v>
      </c>
      <c r="E3" t="n">
        <v>0.0002869465536553641</v>
      </c>
      <c r="F3" t="n">
        <v>0.0003496067509461687</v>
      </c>
      <c r="G3" t="n">
        <v>0.0004040538360465889</v>
      </c>
      <c r="H3" t="n">
        <v>0.0003507984735938098</v>
      </c>
      <c r="I3" t="n">
        <v>0.0002677243903700289</v>
      </c>
      <c r="J3" t="n">
        <v>-0.001678987192638709</v>
      </c>
      <c r="K3" t="n">
        <v>-5.674711640124238e-05</v>
      </c>
      <c r="L3" t="n">
        <v>-0.000780959466771229</v>
      </c>
      <c r="M3" t="n">
        <v>-0.0005050079913231396</v>
      </c>
      <c r="N3" t="n">
        <v>-0.0001731545718515362</v>
      </c>
      <c r="O3" t="n">
        <v>-0.0005012779235762028</v>
      </c>
      <c r="P3" t="n">
        <v>-0.0007650901937607819</v>
      </c>
      <c r="Q3" t="n">
        <v>-0.0009566656284416548</v>
      </c>
      <c r="R3" t="n">
        <v>-0.001163525145740153</v>
      </c>
      <c r="S3" t="n">
        <v>-0.001893717876775607</v>
      </c>
      <c r="T3" t="n">
        <v>-0.001852516587343814</v>
      </c>
      <c r="U3" t="n">
        <v>-0.001327295525333644</v>
      </c>
      <c r="V3" t="n">
        <v>-0.001398960574857609</v>
      </c>
      <c r="W3" t="n">
        <v>-0.0009127724653627559</v>
      </c>
      <c r="X3" t="n">
        <v>-0.002849751030662581</v>
      </c>
      <c r="Y3" t="n">
        <v>-0.00422602045488703</v>
      </c>
      <c r="Z3" t="n">
        <v>-0.003818936461883866</v>
      </c>
      <c r="AA3" t="n">
        <v>-0.002725393159451822</v>
      </c>
      <c r="AB3" t="n">
        <v>-0.006888710195450507</v>
      </c>
      <c r="AC3" t="n">
        <v>-0.003917909237804894</v>
      </c>
      <c r="AD3" t="n">
        <v>-0.003782237935846249</v>
      </c>
      <c r="AE3" t="n">
        <v>-0.002402883054794317</v>
      </c>
      <c r="AF3" t="n">
        <v>-0.003202557293013801</v>
      </c>
      <c r="AG3" t="n">
        <v>-0.002523131088749157</v>
      </c>
      <c r="AH3" t="n">
        <v>-0.000793639746507839</v>
      </c>
      <c r="AI3" t="n">
        <v>8.957520121044133e-05</v>
      </c>
      <c r="AJ3" t="n">
        <v>0.0002613795146181851</v>
      </c>
      <c r="AK3" t="n">
        <v>0.0005652170349394725</v>
      </c>
      <c r="AL3" t="n">
        <v>0.0002181246120019699</v>
      </c>
      <c r="AM3" t="n">
        <v>0.0004618083479967041</v>
      </c>
      <c r="AN3" t="n">
        <v>0.0004486559664021762</v>
      </c>
      <c r="AO3" t="n">
        <v>0.0003932425869825474</v>
      </c>
      <c r="AP3" t="n">
        <v>0.000634487534404796</v>
      </c>
      <c r="AQ3" t="n">
        <v>0.0007670094131841945</v>
      </c>
      <c r="AR3" t="n">
        <v>0.0006714400074732895</v>
      </c>
      <c r="AS3" t="n">
        <v>-0.0003402714285899144</v>
      </c>
      <c r="AT3" t="n">
        <v>0.0006357968148812532</v>
      </c>
      <c r="AU3" t="n">
        <v>0.001037374425825754</v>
      </c>
      <c r="AV3" t="n">
        <v>0.001025477772334365</v>
      </c>
      <c r="AW3" t="n">
        <v>0.001197402336493182</v>
      </c>
      <c r="AX3" t="n">
        <v>0.001480896795377724</v>
      </c>
      <c r="AY3" t="n">
        <v>0.001878032123243855</v>
      </c>
      <c r="AZ3" t="n">
        <v>0.002321853394669279</v>
      </c>
      <c r="BA3" t="n">
        <v>0.002218882936966934</v>
      </c>
      <c r="BB3" t="n">
        <v>0.002520790654781433</v>
      </c>
      <c r="BC3" t="n">
        <v>0.002419663111529982</v>
      </c>
      <c r="BD3" t="n">
        <v>0.0009833037880396347</v>
      </c>
      <c r="BE3" t="n">
        <v>0.002095602025680791</v>
      </c>
      <c r="BF3" t="n">
        <v>0.002251187104477884</v>
      </c>
    </row>
    <row r="4">
      <c r="A4" s="13" t="inlineStr">
        <is>
          <t>100030</t>
        </is>
      </c>
      <c r="B4" t="n">
        <v>0.0004982497969027964</v>
      </c>
      <c r="C4" t="n">
        <v>0.0005854128467667273</v>
      </c>
      <c r="D4" t="n">
        <v>0.0006849603110577387</v>
      </c>
      <c r="E4" t="n">
        <v>0.0006354571998394001</v>
      </c>
      <c r="F4" t="n">
        <v>0.0008030121213800512</v>
      </c>
      <c r="G4" t="n">
        <v>0.0008542126002435746</v>
      </c>
      <c r="H4" t="n">
        <v>0.0007523002988436627</v>
      </c>
      <c r="I4" t="n">
        <v>0.0006568763168602114</v>
      </c>
      <c r="J4" t="n">
        <v>-0.001430189269080352</v>
      </c>
      <c r="K4" t="n">
        <v>0.0003575199986655697</v>
      </c>
      <c r="L4" t="n">
        <v>-0.0004887691549065627</v>
      </c>
      <c r="M4" t="n">
        <v>-0.003002662542492811</v>
      </c>
      <c r="N4" t="n">
        <v>-0.004293680272747265</v>
      </c>
      <c r="O4" t="n">
        <v>-0.00808999957815414</v>
      </c>
      <c r="P4" t="n">
        <v>-0.01154598001935609</v>
      </c>
      <c r="Q4" t="n">
        <v>-0.008978521630644854</v>
      </c>
      <c r="R4" t="n">
        <v>-0.007514049345464423</v>
      </c>
      <c r="S4" t="n">
        <v>-0.008025377253835449</v>
      </c>
      <c r="T4" t="n">
        <v>-0.005304459784219117</v>
      </c>
      <c r="U4" t="n">
        <v>-0.003305087598590582</v>
      </c>
      <c r="V4" t="n">
        <v>-0.001409114325943605</v>
      </c>
      <c r="W4" t="n">
        <v>-0.0006455491448771972</v>
      </c>
      <c r="X4" t="n">
        <v>-0.008801233747415687</v>
      </c>
      <c r="Y4" t="n">
        <v>-0.009608993110490792</v>
      </c>
      <c r="Z4" t="n">
        <v>-0.008214817823313949</v>
      </c>
      <c r="AA4" t="n">
        <v>-0.007101750214752275</v>
      </c>
      <c r="AB4" t="n">
        <v>-0.01857609018195325</v>
      </c>
      <c r="AC4" t="n">
        <v>-0.01208536022218006</v>
      </c>
      <c r="AD4" t="n">
        <v>-0.01295553315778368</v>
      </c>
      <c r="AE4" t="n">
        <v>-0.008666667150914947</v>
      </c>
      <c r="AF4" t="n">
        <v>-0.009436538867490711</v>
      </c>
      <c r="AG4" t="n">
        <v>-0.005928132031268011</v>
      </c>
      <c r="AH4" t="n">
        <v>-0.004796554575143756</v>
      </c>
      <c r="AI4" t="n">
        <v>-0.003938589900969147</v>
      </c>
      <c r="AJ4" t="n">
        <v>-0.002737502377519889</v>
      </c>
      <c r="AK4" t="n">
        <v>-0.002517458944243338</v>
      </c>
      <c r="AL4" t="n">
        <v>-0.001929652716396433</v>
      </c>
      <c r="AM4" t="n">
        <v>-0.003996835857109081</v>
      </c>
      <c r="AN4" t="n">
        <v>-0.002994573029553119</v>
      </c>
      <c r="AO4" t="n">
        <v>0.0005597786269157452</v>
      </c>
      <c r="AP4" t="n">
        <v>0.0007378288159389444</v>
      </c>
      <c r="AQ4" t="n">
        <v>0.0008241685296395662</v>
      </c>
      <c r="AR4" t="n">
        <v>0.0009475804651274081</v>
      </c>
      <c r="AS4" t="n">
        <v>-0.0001071154827978218</v>
      </c>
      <c r="AT4" t="n">
        <v>0.0008906821394315309</v>
      </c>
      <c r="AU4" t="n">
        <v>0.001282773725765734</v>
      </c>
      <c r="AV4" t="n">
        <v>0.001458253891431213</v>
      </c>
      <c r="AW4" t="n">
        <v>0.001498794258308452</v>
      </c>
      <c r="AX4" t="n">
        <v>0.00185218369738407</v>
      </c>
      <c r="AY4" t="n">
        <v>0.002362635144661884</v>
      </c>
      <c r="AZ4" t="n">
        <v>0.002694075135022811</v>
      </c>
      <c r="BA4" t="n">
        <v>0.002509690900601701</v>
      </c>
      <c r="BB4" t="n">
        <v>0.00273666459645388</v>
      </c>
      <c r="BC4" t="n">
        <v>0.002660754193923744</v>
      </c>
      <c r="BD4" t="n">
        <v>0.001756414764387768</v>
      </c>
      <c r="BE4" t="n">
        <v>0.002230261086491586</v>
      </c>
      <c r="BF4" t="n">
        <v>0.00194467648434317</v>
      </c>
    </row>
    <row r="5">
      <c r="A5" s="13" t="inlineStr">
        <is>
          <t>100040x100050</t>
        </is>
      </c>
      <c r="B5" t="n">
        <v>0.0003867520655565192</v>
      </c>
      <c r="C5" t="n">
        <v>0.0004864933720359815</v>
      </c>
      <c r="D5" t="n">
        <v>0.0006166628195273322</v>
      </c>
      <c r="E5" t="n">
        <v>0.0005144248665601736</v>
      </c>
      <c r="F5" t="n">
        <v>0.0006229111494862085</v>
      </c>
      <c r="G5" t="n">
        <v>0.0006709577734461126</v>
      </c>
      <c r="H5" t="n">
        <v>0.000687008127983486</v>
      </c>
      <c r="I5" t="n">
        <v>0.000921447153985565</v>
      </c>
      <c r="J5" t="n">
        <v>-0.003039614789203972</v>
      </c>
      <c r="K5" t="n">
        <v>0.001031593587364003</v>
      </c>
      <c r="L5" t="n">
        <v>-0.0006513548462774366</v>
      </c>
      <c r="M5" t="n">
        <v>0.000494322141254822</v>
      </c>
      <c r="N5" t="n">
        <v>0.0006379177861645741</v>
      </c>
      <c r="O5" t="n">
        <v>0.0003440894205449485</v>
      </c>
      <c r="P5" t="n">
        <v>6.825952292354233e-05</v>
      </c>
      <c r="Q5" t="n">
        <v>7.826862930604887e-05</v>
      </c>
      <c r="R5" t="n">
        <v>-0.0005234891135495881</v>
      </c>
      <c r="S5" t="n">
        <v>-0.001609846635236269</v>
      </c>
      <c r="T5" t="n">
        <v>-0.001217710670992807</v>
      </c>
      <c r="U5" t="n">
        <v>-0.0007164495128704291</v>
      </c>
      <c r="V5" t="n">
        <v>-0.0004396816731614998</v>
      </c>
      <c r="W5" t="n">
        <v>0.000375336758218011</v>
      </c>
      <c r="X5" t="n">
        <v>-0.003738657549910461</v>
      </c>
      <c r="Y5" t="n">
        <v>-0.004376617315353195</v>
      </c>
      <c r="Z5" t="n">
        <v>-0.004291839625174888</v>
      </c>
      <c r="AA5" t="n">
        <v>-0.003148686608264826</v>
      </c>
      <c r="AB5" t="n">
        <v>-0.009234874544382703</v>
      </c>
      <c r="AC5" t="n">
        <v>-0.003172854101886322</v>
      </c>
      <c r="AD5" t="n">
        <v>-0.007175642151226215</v>
      </c>
      <c r="AE5" t="n">
        <v>-0.004374068210778549</v>
      </c>
      <c r="AF5" t="n">
        <v>-0.004574716951608857</v>
      </c>
      <c r="AG5" t="n">
        <v>-0.004085127474345553</v>
      </c>
      <c r="AH5" t="n">
        <v>-0.002815314011129639</v>
      </c>
      <c r="AI5" t="n">
        <v>-0.002091661428720269</v>
      </c>
      <c r="AJ5" t="n">
        <v>-0.002318306698321708</v>
      </c>
      <c r="AK5" t="n">
        <v>-0.001915436145508584</v>
      </c>
      <c r="AL5" t="n">
        <v>-0.0002208908390440207</v>
      </c>
      <c r="AM5" t="n">
        <v>-0.0009084474478759558</v>
      </c>
      <c r="AN5" t="n">
        <v>-0.002185030781148071</v>
      </c>
      <c r="AO5" t="n">
        <v>-0.002777894179852853</v>
      </c>
      <c r="AP5" t="n">
        <v>-0.0003574860369294605</v>
      </c>
      <c r="AQ5" t="n">
        <v>0.008467182895231117</v>
      </c>
      <c r="AR5" t="n">
        <v>0.01027058289115979</v>
      </c>
      <c r="AS5" t="n">
        <v>0.007293933905258758</v>
      </c>
      <c r="AT5" t="n">
        <v>-9.876980123941382e-05</v>
      </c>
      <c r="AU5" t="n">
        <v>0.0004780462950737601</v>
      </c>
      <c r="AV5" t="n">
        <v>0.0008796647893992501</v>
      </c>
      <c r="AW5" t="n">
        <v>0.0009035262443597809</v>
      </c>
      <c r="AX5" t="n">
        <v>0.001584819312426645</v>
      </c>
      <c r="AY5" t="n">
        <v>0.002031562749995214</v>
      </c>
      <c r="AZ5" t="n">
        <v>0.002574912168527559</v>
      </c>
      <c r="BA5" t="n">
        <v>0.002593869310830129</v>
      </c>
      <c r="BB5" t="n">
        <v>0.00273663966417252</v>
      </c>
      <c r="BC5" t="n">
        <v>0.003091988169402699</v>
      </c>
      <c r="BD5" t="n">
        <v>-0.0009510169846542523</v>
      </c>
      <c r="BE5" t="n">
        <v>0.001524654775144289</v>
      </c>
      <c r="BF5" t="n">
        <v>0.00273789653934266</v>
      </c>
    </row>
    <row r="6">
      <c r="A6" s="13" t="inlineStr">
        <is>
          <t>REST</t>
        </is>
      </c>
      <c r="B6" t="n">
        <v>0.008995308806594755</v>
      </c>
      <c r="C6" t="n">
        <v>0.009009483892736177</v>
      </c>
      <c r="D6" t="n">
        <v>0.008821060453455851</v>
      </c>
      <c r="E6" t="n">
        <v>0.00791264646017794</v>
      </c>
      <c r="F6" t="n">
        <v>0.009273976206291753</v>
      </c>
      <c r="G6" t="n">
        <v>0.009822508504554668</v>
      </c>
      <c r="H6" t="n">
        <v>0.008632804271551537</v>
      </c>
      <c r="I6" t="n">
        <v>0.008195286922362563</v>
      </c>
      <c r="J6" t="n">
        <v>0.002864346990652743</v>
      </c>
      <c r="K6" t="n">
        <v>0.007844962052501174</v>
      </c>
      <c r="L6" t="n">
        <v>0.004798041403072247</v>
      </c>
      <c r="M6" t="n">
        <v>0.005546092569013107</v>
      </c>
      <c r="N6" t="n">
        <v>0.006726916239188791</v>
      </c>
      <c r="O6" t="n">
        <v>0.006272450989236263</v>
      </c>
      <c r="P6" t="n">
        <v>0.005750203897765529</v>
      </c>
      <c r="Q6" t="n">
        <v>0.004330924667392259</v>
      </c>
      <c r="R6" t="n">
        <v>0.002237269393401006</v>
      </c>
      <c r="S6" t="n">
        <v>0.0002792102403931362</v>
      </c>
      <c r="T6" t="n">
        <v>0.0003316808878087821</v>
      </c>
      <c r="U6" t="n">
        <v>0.0009320078879694242</v>
      </c>
      <c r="V6" t="n">
        <v>0.001879911263471282</v>
      </c>
      <c r="W6" t="n">
        <v>0.004150439126560401</v>
      </c>
      <c r="X6" t="n">
        <v>0.001365213809544155</v>
      </c>
      <c r="Y6" t="n">
        <v>-0.0001966665103522748</v>
      </c>
      <c r="Z6" t="n">
        <v>-0.001000839195976066</v>
      </c>
      <c r="AA6" t="n">
        <v>-0.0002177437736876877</v>
      </c>
      <c r="AB6" t="n">
        <v>-0.00320689652259744</v>
      </c>
      <c r="AC6" t="n">
        <v>0.0008942103290010141</v>
      </c>
      <c r="AD6" t="n">
        <v>0.0009436359900401096</v>
      </c>
      <c r="AE6" t="n">
        <v>0.0002220279263596582</v>
      </c>
      <c r="AF6" t="n">
        <v>-0.0005122351216706321</v>
      </c>
      <c r="AG6" t="n">
        <v>0.000938718900328878</v>
      </c>
      <c r="AH6" t="n">
        <v>0.00221819174450326</v>
      </c>
      <c r="AI6" t="n">
        <v>0.002420983240655319</v>
      </c>
      <c r="AJ6" t="n">
        <v>0.002784993199533276</v>
      </c>
      <c r="AK6" t="n">
        <v>0.003601808052443862</v>
      </c>
      <c r="AL6" t="n">
        <v>0.002982443588634533</v>
      </c>
      <c r="AM6" t="n">
        <v>0.003506360087047424</v>
      </c>
      <c r="AN6" t="n">
        <v>0.003530554479227183</v>
      </c>
      <c r="AO6" t="n">
        <v>0.003581959507178358</v>
      </c>
      <c r="AP6" t="n">
        <v>0.003482784136648164</v>
      </c>
      <c r="AQ6" t="n">
        <v>0.003284207545852955</v>
      </c>
      <c r="AR6" t="n">
        <v>0.003726524632167473</v>
      </c>
      <c r="AS6" t="n">
        <v>0.003222778381175669</v>
      </c>
      <c r="AT6" t="n">
        <v>0.00367614409911553</v>
      </c>
      <c r="AU6" t="n">
        <v>0.003737455791987817</v>
      </c>
      <c r="AV6" t="n">
        <v>0.003853462736129672</v>
      </c>
      <c r="AW6" t="n">
        <v>0.00553731305963716</v>
      </c>
      <c r="AX6" t="n">
        <v>0.006591938866635965</v>
      </c>
      <c r="AY6" t="n">
        <v>0.007110928188740156</v>
      </c>
      <c r="AZ6" t="n">
        <v>0.007446401213402363</v>
      </c>
      <c r="BA6" t="n">
        <v>0.007263451610591449</v>
      </c>
      <c r="BB6" t="n">
        <v>0.007153649282265107</v>
      </c>
      <c r="BC6" t="n">
        <v>0.007915111871607913</v>
      </c>
      <c r="BD6" t="n">
        <v>-0.001601667249479579</v>
      </c>
      <c r="BE6" t="n">
        <v>0.001387425526982798</v>
      </c>
      <c r="BF6" t="n">
        <v>0.006546706223742377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1.132801617458697</v>
      </c>
      <c r="C2" t="n">
        <v>1.140870843151788</v>
      </c>
      <c r="D2" t="n">
        <v>1.17214145971369</v>
      </c>
      <c r="E2" t="n">
        <v>1.040670931230762</v>
      </c>
      <c r="F2" t="n">
        <v>1.111160336933236</v>
      </c>
      <c r="G2" t="n">
        <v>1.129186751461994</v>
      </c>
      <c r="H2" t="n">
        <v>1.057661822642352</v>
      </c>
      <c r="I2" t="n">
        <v>1.176607802612381</v>
      </c>
      <c r="J2" t="n">
        <v>1.101393169495359</v>
      </c>
      <c r="K2" t="n">
        <v>1.007049647909554</v>
      </c>
      <c r="L2" t="n">
        <v>1.085115116106627</v>
      </c>
      <c r="M2" t="n">
        <v>1.061823714242253</v>
      </c>
      <c r="N2" t="n">
        <v>1.034177482583396</v>
      </c>
      <c r="O2" t="n">
        <v>1.05709150305301</v>
      </c>
      <c r="P2" t="n">
        <v>1.103121394298702</v>
      </c>
      <c r="Q2" t="n">
        <v>1.133067402317953</v>
      </c>
      <c r="R2" t="n">
        <v>1.085417925207573</v>
      </c>
      <c r="S2" t="n">
        <v>1.194809796225824</v>
      </c>
      <c r="T2" t="n">
        <v>1.170630879115259</v>
      </c>
      <c r="U2" t="n">
        <v>1.202527007496699</v>
      </c>
      <c r="V2" t="n">
        <v>1.114258874426341</v>
      </c>
      <c r="W2" t="n">
        <v>1.169962115187978</v>
      </c>
      <c r="X2" t="n">
        <v>1.25995216815737</v>
      </c>
      <c r="Y2" t="n">
        <v>1.286690864981725</v>
      </c>
      <c r="Z2" t="n">
        <v>1.301448750069164</v>
      </c>
      <c r="AA2" t="n">
        <v>1.246729138330049</v>
      </c>
      <c r="AB2" t="n">
        <v>1.305322793645539</v>
      </c>
      <c r="AC2" t="n">
        <v>1.341969713171876</v>
      </c>
      <c r="AD2" t="n">
        <v>1.392063002958687</v>
      </c>
      <c r="AE2" t="n">
        <v>1.425593558418841</v>
      </c>
      <c r="AF2" t="n">
        <v>1.415120246994014</v>
      </c>
      <c r="AG2" t="n">
        <v>1.400268293555813</v>
      </c>
      <c r="AH2" t="n">
        <v>1.37905538194157</v>
      </c>
      <c r="AI2" t="n">
        <v>1.449753582492949</v>
      </c>
      <c r="AJ2" t="n">
        <v>1.483701145268201</v>
      </c>
      <c r="AK2" t="n">
        <v>1.441843944793642</v>
      </c>
      <c r="AL2" t="n">
        <v>1.484613865494383</v>
      </c>
      <c r="AM2" t="n">
        <v>1.494840136118645</v>
      </c>
      <c r="AN2" t="n">
        <v>1.484339571666339</v>
      </c>
      <c r="AO2" t="n">
        <v>1.498163009000885</v>
      </c>
      <c r="AP2" t="n">
        <v>1.563961022838998</v>
      </c>
      <c r="AQ2" t="n">
        <v>1.426047682217761</v>
      </c>
      <c r="AR2" t="n">
        <v>1.408869584805062</v>
      </c>
      <c r="AS2" t="n">
        <v>1.513208144626418</v>
      </c>
      <c r="AT2" t="n">
        <v>1.460996834996888</v>
      </c>
      <c r="AU2" t="n">
        <v>1.518218372115228</v>
      </c>
      <c r="AV2" t="n">
        <v>1.474278357517626</v>
      </c>
      <c r="AW2" t="n">
        <v>1.568246628983236</v>
      </c>
      <c r="AX2" t="n">
        <v>1.472158632432808</v>
      </c>
      <c r="AY2" t="n">
        <v>1.422986995408742</v>
      </c>
      <c r="AZ2" t="n">
        <v>1.47781654146822</v>
      </c>
      <c r="BA2" t="n">
        <v>1.467954673497977</v>
      </c>
      <c r="BB2" t="n">
        <v>1.520821694909406</v>
      </c>
      <c r="BC2" t="n">
        <v>1.507476354017535</v>
      </c>
      <c r="BD2" t="n">
        <v>1.541245601622117</v>
      </c>
      <c r="BE2" t="n">
        <v>1.500181773530049</v>
      </c>
    </row>
    <row r="3">
      <c r="A3" s="13" t="inlineStr">
        <is>
          <t>100010</t>
        </is>
      </c>
      <c r="B3" t="n">
        <v>0.8812263411618528</v>
      </c>
      <c r="C3" t="n">
        <v>0.9103917280505127</v>
      </c>
      <c r="D3" t="n">
        <v>0.893876988140466</v>
      </c>
      <c r="E3" t="n">
        <v>0.9051969484000194</v>
      </c>
      <c r="F3" t="n">
        <v>0.9023660325631615</v>
      </c>
      <c r="G3" t="n">
        <v>0.9216490300278448</v>
      </c>
      <c r="H3" t="n">
        <v>0.9073175577518766</v>
      </c>
      <c r="I3" t="n">
        <v>0.9294039116531619</v>
      </c>
      <c r="J3" t="n">
        <v>0.9116705717470246</v>
      </c>
      <c r="K3" t="n">
        <v>0.9071438204009233</v>
      </c>
      <c r="L3" t="n">
        <v>0.9600256951686503</v>
      </c>
      <c r="M3" t="n">
        <v>0.9578849767741882</v>
      </c>
      <c r="N3" t="n">
        <v>1.003914146232536</v>
      </c>
      <c r="O3" t="n">
        <v>1.012501658201176</v>
      </c>
      <c r="P3" t="n">
        <v>1.02265814366887</v>
      </c>
      <c r="Q3" t="n">
        <v>0.991578478240578</v>
      </c>
      <c r="R3" t="n">
        <v>0.9468987532551129</v>
      </c>
      <c r="S3" t="n">
        <v>0.9449818138321474</v>
      </c>
      <c r="T3" t="n">
        <v>0.9726768833766828</v>
      </c>
      <c r="U3" t="n">
        <v>0.9900875327565573</v>
      </c>
      <c r="V3" t="n">
        <v>0.9918237700209055</v>
      </c>
      <c r="W3" t="n">
        <v>1.018970340917275</v>
      </c>
      <c r="X3" t="n">
        <v>1.007107088392669</v>
      </c>
      <c r="Y3" t="n">
        <v>1.0135663741948</v>
      </c>
      <c r="Z3" t="n">
        <v>0.9876052768680255</v>
      </c>
      <c r="AA3" t="n">
        <v>1.010327611042044</v>
      </c>
      <c r="AB3" t="n">
        <v>1.053016325221187</v>
      </c>
      <c r="AC3" t="n">
        <v>1.042788775090318</v>
      </c>
      <c r="AD3" t="n">
        <v>1.060214554812155</v>
      </c>
      <c r="AE3" t="n">
        <v>1.056854903672011</v>
      </c>
      <c r="AF3" t="n">
        <v>1.0560765570599</v>
      </c>
      <c r="AG3" t="n">
        <v>1.086923348556063</v>
      </c>
      <c r="AH3" t="n">
        <v>1.129224843822268</v>
      </c>
      <c r="AI3" t="n">
        <v>1.074587015318025</v>
      </c>
      <c r="AJ3" t="n">
        <v>1.12193176128453</v>
      </c>
      <c r="AK3" t="n">
        <v>1.040729294670296</v>
      </c>
      <c r="AL3" t="n">
        <v>1.060887605150267</v>
      </c>
      <c r="AM3" t="n">
        <v>1.095277240441551</v>
      </c>
      <c r="AN3" t="n">
        <v>1.060602200002838</v>
      </c>
      <c r="AO3" t="n">
        <v>1.074981870873173</v>
      </c>
      <c r="AP3" t="n">
        <v>1.0259813302339</v>
      </c>
      <c r="AQ3" t="n">
        <v>1.038468589636042</v>
      </c>
      <c r="AR3" t="n">
        <v>1.046219151512132</v>
      </c>
      <c r="AS3" t="n">
        <v>1.053270740706409</v>
      </c>
      <c r="AT3" t="n">
        <v>1.06432733133591</v>
      </c>
      <c r="AU3" t="n">
        <v>1.119414044391068</v>
      </c>
      <c r="AV3" t="n">
        <v>1.088591175549877</v>
      </c>
      <c r="AW3" t="n">
        <v>1.07369015354085</v>
      </c>
      <c r="AX3" t="n">
        <v>1.085930410330303</v>
      </c>
      <c r="AY3" t="n">
        <v>1.107464002858932</v>
      </c>
      <c r="AZ3" t="n">
        <v>1.110730628195012</v>
      </c>
      <c r="BA3" t="n">
        <v>1.086427147965555</v>
      </c>
      <c r="BB3" t="n">
        <v>1.155854226373048</v>
      </c>
      <c r="BC3" t="n">
        <v>1.209274926200332</v>
      </c>
      <c r="BD3" t="n">
        <v>1.162989201033149</v>
      </c>
      <c r="BE3" t="n">
        <v>1.125014880503387</v>
      </c>
    </row>
    <row r="4">
      <c r="A4" s="13" t="inlineStr">
        <is>
          <t>100030</t>
        </is>
      </c>
      <c r="B4" t="n">
        <v>1.202790849982926</v>
      </c>
      <c r="C4" t="n">
        <v>1.206299210293592</v>
      </c>
      <c r="D4" t="n">
        <v>1.200851373716109</v>
      </c>
      <c r="E4" t="n">
        <v>1.198041974177479</v>
      </c>
      <c r="F4" t="n">
        <v>1.164286300773718</v>
      </c>
      <c r="G4" t="n">
        <v>1.157153831990748</v>
      </c>
      <c r="H4" t="n">
        <v>1.269578107392603</v>
      </c>
      <c r="I4" t="n">
        <v>1.286128430368339</v>
      </c>
      <c r="J4" t="n">
        <v>1.251790068647253</v>
      </c>
      <c r="K4" t="n">
        <v>1.23506144946727</v>
      </c>
      <c r="L4" t="n">
        <v>1.250566446983647</v>
      </c>
      <c r="M4" t="n">
        <v>1.270461332152907</v>
      </c>
      <c r="N4" t="n">
        <v>1.312034632092552</v>
      </c>
      <c r="O4" t="n">
        <v>1.297291041980631</v>
      </c>
      <c r="P4" t="n">
        <v>1.298255784624087</v>
      </c>
      <c r="Q4" t="n">
        <v>1.30545951954459</v>
      </c>
      <c r="R4" t="n">
        <v>1.301658476806983</v>
      </c>
      <c r="S4" t="n">
        <v>1.277552375441266</v>
      </c>
      <c r="T4" t="n">
        <v>1.272060436563636</v>
      </c>
      <c r="U4" t="n">
        <v>1.241311539555716</v>
      </c>
      <c r="V4" t="n">
        <v>1.22835890065394</v>
      </c>
      <c r="W4" t="n">
        <v>1.298506401873051</v>
      </c>
      <c r="X4" t="n">
        <v>1.308127777338814</v>
      </c>
      <c r="Y4" t="n">
        <v>1.275624353814032</v>
      </c>
      <c r="Z4" t="n">
        <v>1.279264398345892</v>
      </c>
      <c r="AA4" t="n">
        <v>1.255888714045375</v>
      </c>
      <c r="AB4" t="n">
        <v>1.207446601548093</v>
      </c>
      <c r="AC4" t="n">
        <v>1.24083087729206</v>
      </c>
      <c r="AD4" t="n">
        <v>1.27811535299955</v>
      </c>
      <c r="AE4" t="n">
        <v>1.294852927603867</v>
      </c>
      <c r="AF4" t="n">
        <v>1.31862310761457</v>
      </c>
      <c r="AG4" t="n">
        <v>1.276450598524178</v>
      </c>
      <c r="AH4" t="n">
        <v>1.263431192086744</v>
      </c>
      <c r="AI4" t="n">
        <v>1.332975808338051</v>
      </c>
      <c r="AJ4" t="n">
        <v>1.298937424708505</v>
      </c>
      <c r="AK4" t="n">
        <v>1.310962723069427</v>
      </c>
      <c r="AL4" t="n">
        <v>1.276479763619631</v>
      </c>
      <c r="AM4" t="n">
        <v>1.248788421601463</v>
      </c>
      <c r="AN4" t="n">
        <v>1.223080132824591</v>
      </c>
      <c r="AO4" t="n">
        <v>1.194500501712116</v>
      </c>
      <c r="AP4" t="n">
        <v>1.217047503949581</v>
      </c>
      <c r="AQ4" t="n">
        <v>1.238308705496656</v>
      </c>
      <c r="AR4" t="n">
        <v>1.177260451826892</v>
      </c>
      <c r="AS4" t="n">
        <v>1.244452389253577</v>
      </c>
      <c r="AT4" t="n">
        <v>1.241505038254015</v>
      </c>
      <c r="AU4" t="n">
        <v>1.238137216571613</v>
      </c>
      <c r="AV4" t="n">
        <v>1.238000817694405</v>
      </c>
      <c r="AW4" t="n">
        <v>1.264291129967172</v>
      </c>
      <c r="AX4" t="n">
        <v>1.217359041478316</v>
      </c>
      <c r="AY4" t="n">
        <v>1.164955965077277</v>
      </c>
      <c r="AZ4" t="n">
        <v>1.242795345457979</v>
      </c>
      <c r="BA4" t="n">
        <v>1.18546258593217</v>
      </c>
      <c r="BB4" t="n">
        <v>1.199674639983178</v>
      </c>
      <c r="BC4" t="n">
        <v>1.134211741573809</v>
      </c>
      <c r="BD4" t="n">
        <v>1.21470601740489</v>
      </c>
      <c r="BE4" t="n">
        <v>1.324521517196628</v>
      </c>
    </row>
    <row r="5">
      <c r="A5" s="13" t="inlineStr">
        <is>
          <t>100040x100050</t>
        </is>
      </c>
      <c r="B5" t="n">
        <v>1.909223693431332</v>
      </c>
      <c r="C5" t="n">
        <v>1.801265181955454</v>
      </c>
      <c r="D5" t="n">
        <v>1.815162111650114</v>
      </c>
      <c r="E5" t="n">
        <v>1.748377789151968</v>
      </c>
      <c r="F5" t="n">
        <v>1.680775904491267</v>
      </c>
      <c r="G5" t="n">
        <v>1.702218019858788</v>
      </c>
      <c r="H5" t="n">
        <v>1.678209903254261</v>
      </c>
      <c r="I5" t="n">
        <v>1.639256978137013</v>
      </c>
      <c r="J5" t="n">
        <v>1.653462319829059</v>
      </c>
      <c r="K5" t="n">
        <v>1.617056725321507</v>
      </c>
      <c r="L5" t="n">
        <v>1.614171585421345</v>
      </c>
      <c r="M5" t="n">
        <v>1.551702277916247</v>
      </c>
      <c r="N5" t="n">
        <v>1.41500877476139</v>
      </c>
      <c r="O5" t="n">
        <v>1.377059399557662</v>
      </c>
      <c r="P5" t="n">
        <v>1.370377930058643</v>
      </c>
      <c r="Q5" t="n">
        <v>1.472772553051692</v>
      </c>
      <c r="R5" t="n">
        <v>1.678204344042235</v>
      </c>
      <c r="S5" t="n">
        <v>1.622146518519135</v>
      </c>
      <c r="T5" t="n">
        <v>1.531073093429062</v>
      </c>
      <c r="U5" t="n">
        <v>1.49583196220448</v>
      </c>
      <c r="V5" t="n">
        <v>1.430990582317064</v>
      </c>
      <c r="W5" t="n">
        <v>1.449884918305472</v>
      </c>
      <c r="X5" t="n">
        <v>1.491548968171912</v>
      </c>
      <c r="Y5" t="n">
        <v>1.462695069462965</v>
      </c>
      <c r="Z5" t="n">
        <v>1.476516422917922</v>
      </c>
      <c r="AA5" t="n">
        <v>1.417532853639053</v>
      </c>
      <c r="AB5" t="n">
        <v>1.358316279792092</v>
      </c>
      <c r="AC5" t="n">
        <v>1.378051770656197</v>
      </c>
      <c r="AD5" t="n">
        <v>1.317482248230424</v>
      </c>
      <c r="AE5" t="n">
        <v>1.309167652816978</v>
      </c>
      <c r="AF5" t="n">
        <v>1.342257696372945</v>
      </c>
      <c r="AG5" t="n">
        <v>1.334260086101443</v>
      </c>
      <c r="AH5" t="n">
        <v>1.332634570954214</v>
      </c>
      <c r="AI5" t="n">
        <v>1.349357678555104</v>
      </c>
      <c r="AJ5" t="n">
        <v>1.365995200096425</v>
      </c>
      <c r="AK5" t="n">
        <v>1.284265610850384</v>
      </c>
      <c r="AL5" t="n">
        <v>1.201537311687604</v>
      </c>
      <c r="AM5" t="n">
        <v>1.224236990903875</v>
      </c>
      <c r="AN5" t="n">
        <v>1.266426701731619</v>
      </c>
      <c r="AO5" t="n">
        <v>1.236591317013106</v>
      </c>
      <c r="AP5" t="n">
        <v>1.264413171458698</v>
      </c>
      <c r="AQ5" t="n">
        <v>1.275427943543616</v>
      </c>
      <c r="AR5" t="n">
        <v>1.315793562916063</v>
      </c>
      <c r="AS5" t="n">
        <v>1.335160856162516</v>
      </c>
      <c r="AT5" t="n">
        <v>1.333041232555093</v>
      </c>
      <c r="AU5" t="n">
        <v>1.305943271886394</v>
      </c>
      <c r="AV5" t="n">
        <v>1.35090506174189</v>
      </c>
      <c r="AW5" t="n">
        <v>1.329855280644189</v>
      </c>
      <c r="AX5" t="n">
        <v>1.257236275384901</v>
      </c>
      <c r="AY5" t="n">
        <v>1.324335372575401</v>
      </c>
      <c r="AZ5" t="n">
        <v>1.317870125288085</v>
      </c>
      <c r="BA5" t="n">
        <v>1.34171813481751</v>
      </c>
      <c r="BB5" t="n">
        <v>1.360079139087517</v>
      </c>
      <c r="BC5" t="n">
        <v>1.328419687825988</v>
      </c>
      <c r="BD5" t="n">
        <v>1.414477258463898</v>
      </c>
      <c r="BE5" t="n">
        <v>1.420618927860169</v>
      </c>
    </row>
    <row r="6">
      <c r="A6" s="13" t="inlineStr">
        <is>
          <t>REST</t>
        </is>
      </c>
      <c r="B6" t="n">
        <v>2.588788717251644</v>
      </c>
      <c r="C6" t="n">
        <v>2.625216876477301</v>
      </c>
      <c r="D6" t="n">
        <v>2.585888091605138</v>
      </c>
      <c r="E6" t="n">
        <v>2.546748837740717</v>
      </c>
      <c r="F6" t="n">
        <v>2.588509564749898</v>
      </c>
      <c r="G6" t="n">
        <v>2.566618401327586</v>
      </c>
      <c r="H6" t="n">
        <v>2.548902035347089</v>
      </c>
      <c r="I6" t="n">
        <v>2.564507354825273</v>
      </c>
      <c r="J6" t="n">
        <v>2.596261327725254</v>
      </c>
      <c r="K6" t="n">
        <v>2.570211798398903</v>
      </c>
      <c r="L6" t="n">
        <v>2.567270543627601</v>
      </c>
      <c r="M6" t="n">
        <v>2.563212020674863</v>
      </c>
      <c r="N6" t="n">
        <v>2.57487886592891</v>
      </c>
      <c r="O6" t="n">
        <v>2.589256977651468</v>
      </c>
      <c r="P6" t="n">
        <v>2.638435268029673</v>
      </c>
      <c r="Q6" t="n">
        <v>2.704082374959123</v>
      </c>
      <c r="R6" t="n">
        <v>2.699143443863379</v>
      </c>
      <c r="S6" t="n">
        <v>2.600840548062355</v>
      </c>
      <c r="T6" t="n">
        <v>2.571710006941228</v>
      </c>
      <c r="U6" t="n">
        <v>2.512256407965305</v>
      </c>
      <c r="V6" t="n">
        <v>2.512098813732201</v>
      </c>
      <c r="W6" t="n">
        <v>2.522801710193467</v>
      </c>
      <c r="X6" t="n">
        <v>2.543042397850101</v>
      </c>
      <c r="Y6" t="n">
        <v>2.554776690201841</v>
      </c>
      <c r="Z6" t="n">
        <v>2.577479447145266</v>
      </c>
      <c r="AA6" t="n">
        <v>2.585768946469618</v>
      </c>
      <c r="AB6" t="n">
        <v>2.579843623501291</v>
      </c>
      <c r="AC6" t="n">
        <v>2.563633850812098</v>
      </c>
      <c r="AD6" t="n">
        <v>2.526338153215792</v>
      </c>
      <c r="AE6" t="n">
        <v>2.510435781719172</v>
      </c>
      <c r="AF6" t="n">
        <v>2.517530007834498</v>
      </c>
      <c r="AG6" t="n">
        <v>2.500637459878169</v>
      </c>
      <c r="AH6" t="n">
        <v>2.460093073811487</v>
      </c>
      <c r="AI6" t="n">
        <v>2.46950109970083</v>
      </c>
      <c r="AJ6" t="n">
        <v>2.423476727418061</v>
      </c>
      <c r="AK6" t="n">
        <v>2.410298646631882</v>
      </c>
      <c r="AL6" t="n">
        <v>2.441339952684587</v>
      </c>
      <c r="AM6" t="n">
        <v>2.434449289549552</v>
      </c>
      <c r="AN6" t="n">
        <v>2.346720210071068</v>
      </c>
      <c r="AO6" t="n">
        <v>2.318248049673424</v>
      </c>
      <c r="AP6" t="n">
        <v>2.291325708217092</v>
      </c>
      <c r="AQ6" t="n">
        <v>2.287164822321491</v>
      </c>
      <c r="AR6" t="n">
        <v>2.349318082300633</v>
      </c>
      <c r="AS6" t="n">
        <v>2.378291917223859</v>
      </c>
      <c r="AT6" t="n">
        <v>2.380906129071003</v>
      </c>
      <c r="AU6" t="n">
        <v>2.355222121630569</v>
      </c>
      <c r="AV6" t="n">
        <v>2.374918315615121</v>
      </c>
      <c r="AW6" t="n">
        <v>2.349595414995353</v>
      </c>
      <c r="AX6" t="n">
        <v>2.325945945715784</v>
      </c>
      <c r="AY6" t="n">
        <v>2.31876800148397</v>
      </c>
      <c r="AZ6" t="n">
        <v>2.324370170763701</v>
      </c>
      <c r="BA6" t="n">
        <v>2.321899423169342</v>
      </c>
      <c r="BB6" t="n">
        <v>2.315633129372261</v>
      </c>
      <c r="BC6" t="n">
        <v>2.290527999242196</v>
      </c>
      <c r="BD6" t="n">
        <v>2.290333062116629</v>
      </c>
      <c r="BE6" t="n">
        <v>2.236150169460283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1.321332062755346</v>
      </c>
      <c r="AD2" t="n">
        <v>1.370232484329189</v>
      </c>
      <c r="AE2" t="n">
        <v>1.414797829211667</v>
      </c>
      <c r="AF2" t="n">
        <v>1.499413935015172</v>
      </c>
      <c r="AG2" t="n">
        <v>1.533621522435465</v>
      </c>
      <c r="AH2" t="n">
        <v>1.580139802291445</v>
      </c>
      <c r="AI2" t="n">
        <v>1.650667705374338</v>
      </c>
      <c r="AJ2" t="n">
        <v>1.655475892254672</v>
      </c>
      <c r="AK2" t="n">
        <v>1.677093920605786</v>
      </c>
      <c r="AL2" t="n">
        <v>1.754176527114264</v>
      </c>
      <c r="AM2" t="n">
        <v>1.790406238167015</v>
      </c>
      <c r="AN2" t="n">
        <v>1.813215073726222</v>
      </c>
      <c r="AO2" t="n">
        <v>1.918335122640271</v>
      </c>
      <c r="AP2" t="n">
        <v>2.028675027255609</v>
      </c>
      <c r="AQ2" t="n">
        <v>1.9081765956487</v>
      </c>
      <c r="AR2" t="n">
        <v>1.966397201913067</v>
      </c>
      <c r="AS2" t="n">
        <v>2.116618670882644</v>
      </c>
      <c r="AT2" t="n">
        <v>2.114916009951056</v>
      </c>
      <c r="AU2" t="n">
        <v>2.204027734940705</v>
      </c>
      <c r="AV2" t="n">
        <v>2.20405453588645</v>
      </c>
      <c r="AW2" t="n">
        <v>2.317764660780175</v>
      </c>
      <c r="AX2" t="n">
        <v>2.278111730528456</v>
      </c>
      <c r="AY2" t="n">
        <v>2.307911791817464</v>
      </c>
      <c r="AZ2" t="n">
        <v>2.423999934700787</v>
      </c>
      <c r="BA2" t="n">
        <v>2.446452874910438</v>
      </c>
      <c r="BB2" t="n">
        <v>2.495569647228432</v>
      </c>
      <c r="BC2" t="n">
        <v>2.575259024067379</v>
      </c>
      <c r="BD2" t="n">
        <v>2.642892855926599</v>
      </c>
      <c r="BE2" t="n">
        <v>2.655312268085702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3.502777074363587</v>
      </c>
      <c r="AD3" t="n">
        <v>3.043637635698859</v>
      </c>
      <c r="AE3" t="n">
        <v>3.002926566464828</v>
      </c>
      <c r="AF3" t="n">
        <v>3.112873514832734</v>
      </c>
      <c r="AG3" t="n">
        <v>3.4962139054576</v>
      </c>
      <c r="AH3" t="n">
        <v>3.498576567727219</v>
      </c>
      <c r="AI3" t="n">
        <v>3.418823673554487</v>
      </c>
      <c r="AJ3" t="n">
        <v>3.458500364807104</v>
      </c>
      <c r="AK3" t="n">
        <v>3.317209014525445</v>
      </c>
      <c r="AL3" t="n">
        <v>3.42461279349422</v>
      </c>
      <c r="AM3" t="n">
        <v>3.515527562485403</v>
      </c>
      <c r="AN3" t="n">
        <v>3.850758374531154</v>
      </c>
      <c r="AO3" t="n">
        <v>3.916760124987713</v>
      </c>
      <c r="AP3" t="n">
        <v>3.935897546307163</v>
      </c>
      <c r="AQ3" t="n">
        <v>3.96476482861971</v>
      </c>
      <c r="AR3" t="n">
        <v>4.131780420005112</v>
      </c>
      <c r="AS3" t="n">
        <v>4.189022987365091</v>
      </c>
      <c r="AT3" t="n">
        <v>4.388861774254036</v>
      </c>
      <c r="AU3" t="n">
        <v>4.298649576499155</v>
      </c>
      <c r="AV3" t="n">
        <v>4.527356550257684</v>
      </c>
      <c r="AW3" t="n">
        <v>4.737303095173542</v>
      </c>
      <c r="AX3" t="n">
        <v>5.023111505729914</v>
      </c>
      <c r="AY3" t="n">
        <v>5.029707114931464</v>
      </c>
      <c r="AZ3" t="n">
        <v>5.224484069607307</v>
      </c>
      <c r="BA3" t="n">
        <v>5.201039528560213</v>
      </c>
      <c r="BB3" t="n">
        <v>5.547062296594929</v>
      </c>
      <c r="BC3" t="n">
        <v>5.181049904048222</v>
      </c>
      <c r="BD3" t="n">
        <v>5.711746650745743</v>
      </c>
      <c r="BE3" t="n">
        <v>5.351322934326636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5.179623931819804</v>
      </c>
      <c r="AD4" t="n">
        <v>5.240128207657544</v>
      </c>
      <c r="AE4" t="n">
        <v>5.112237268568464</v>
      </c>
      <c r="AF4" t="n">
        <v>5.251524130647399</v>
      </c>
      <c r="AG4" t="n">
        <v>5.276375254026747</v>
      </c>
      <c r="AH4" t="n">
        <v>5.196705934467167</v>
      </c>
      <c r="AI4" t="n">
        <v>4.998486196839613</v>
      </c>
      <c r="AJ4" t="n">
        <v>5.039610177783737</v>
      </c>
      <c r="AK4" t="n">
        <v>4.678053739463265</v>
      </c>
      <c r="AL4" t="n">
        <v>4.931637044421659</v>
      </c>
      <c r="AM4" t="n">
        <v>4.995128322079184</v>
      </c>
      <c r="AN4" t="n">
        <v>5.474303867444548</v>
      </c>
      <c r="AO4" t="n">
        <v>6.098036118799314</v>
      </c>
      <c r="AP4" t="n">
        <v>6.187987353740326</v>
      </c>
      <c r="AQ4" t="n">
        <v>6.110892576466156</v>
      </c>
      <c r="AR4" t="n">
        <v>5.961745695642755</v>
      </c>
      <c r="AS4" t="n">
        <v>5.893379350445366</v>
      </c>
      <c r="AT4" t="n">
        <v>6.511062687004623</v>
      </c>
      <c r="AU4" t="n">
        <v>6.783704905640493</v>
      </c>
      <c r="AV4" t="n">
        <v>7.13216661452653</v>
      </c>
      <c r="AW4" t="n">
        <v>8.279932481913102</v>
      </c>
      <c r="AX4" t="n">
        <v>8.695841219388232</v>
      </c>
      <c r="AY4" t="n">
        <v>7.978024677120335</v>
      </c>
      <c r="AZ4" t="n">
        <v>9.126962967011224</v>
      </c>
      <c r="BA4" t="n">
        <v>9.800259103721704</v>
      </c>
      <c r="BB4" t="n">
        <v>8.961205835684622</v>
      </c>
      <c r="BC4" t="n">
        <v>8.359787903064184</v>
      </c>
      <c r="BD4" t="n">
        <v>8.208467395520598</v>
      </c>
      <c r="BE4" t="n">
        <v>9.760193536855645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2.75325865292417</v>
      </c>
      <c r="AD5" t="n">
        <v>2.908389563080297</v>
      </c>
      <c r="AE5" t="n">
        <v>2.834301294618436</v>
      </c>
      <c r="AF5" t="n">
        <v>2.831848383085116</v>
      </c>
      <c r="AG5" t="n">
        <v>2.873192956067289</v>
      </c>
      <c r="AH5" t="n">
        <v>2.917496455115548</v>
      </c>
      <c r="AI5" t="n">
        <v>2.913982596383083</v>
      </c>
      <c r="AJ5" t="n">
        <v>2.982467246985379</v>
      </c>
      <c r="AK5" t="n">
        <v>3.277203768368464</v>
      </c>
      <c r="AL5" t="n">
        <v>3.390222065309781</v>
      </c>
      <c r="AM5" t="n">
        <v>3.602965663512196</v>
      </c>
      <c r="AN5" t="n">
        <v>3.851153687409257</v>
      </c>
      <c r="AO5" t="n">
        <v>3.75996894813719</v>
      </c>
      <c r="AP5" t="n">
        <v>3.993982969716202</v>
      </c>
      <c r="AQ5" t="n">
        <v>3.91554760884328</v>
      </c>
      <c r="AR5" t="n">
        <v>3.721379243537731</v>
      </c>
      <c r="AS5" t="n">
        <v>3.545589927748892</v>
      </c>
      <c r="AT5" t="n">
        <v>3.64241701603292</v>
      </c>
      <c r="AU5" t="n">
        <v>3.64199045277617</v>
      </c>
      <c r="AV5" t="n">
        <v>3.775008020056069</v>
      </c>
      <c r="AW5" t="n">
        <v>3.874514273894147</v>
      </c>
      <c r="AX5" t="n">
        <v>4.018726529681272</v>
      </c>
      <c r="AY5" t="n">
        <v>4.19186814473275</v>
      </c>
      <c r="AZ5" t="n">
        <v>4.143208291267355</v>
      </c>
      <c r="BA5" t="n">
        <v>4.232870267612797</v>
      </c>
      <c r="BB5" t="n">
        <v>4.330212648650516</v>
      </c>
      <c r="BC5" t="n">
        <v>4.368684909487525</v>
      </c>
      <c r="BD5" t="n">
        <v>4.24437897924339</v>
      </c>
      <c r="BE5" t="n">
        <v>4.368097989645832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1.452818511072677</v>
      </c>
      <c r="AD6" t="n">
        <v>1.491044786987259</v>
      </c>
      <c r="AE6" t="n">
        <v>1.529443007758901</v>
      </c>
      <c r="AF6" t="n">
        <v>1.546829202366804</v>
      </c>
      <c r="AG6" t="n">
        <v>1.560895248137476</v>
      </c>
      <c r="AH6" t="n">
        <v>1.600332657698936</v>
      </c>
      <c r="AI6" t="n">
        <v>1.661245040500068</v>
      </c>
      <c r="AJ6" t="n">
        <v>1.679562277789807</v>
      </c>
      <c r="AK6" t="n">
        <v>1.693998151827293</v>
      </c>
      <c r="AL6" t="n">
        <v>1.700593889106133</v>
      </c>
      <c r="AM6" t="n">
        <v>1.738592167052895</v>
      </c>
      <c r="AN6" t="n">
        <v>1.815215158098362</v>
      </c>
      <c r="AO6" t="n">
        <v>1.875026742241301</v>
      </c>
      <c r="AP6" t="n">
        <v>1.907139858330159</v>
      </c>
      <c r="AQ6" t="n">
        <v>1.900687833763254</v>
      </c>
      <c r="AR6" t="n">
        <v>1.812218240541574</v>
      </c>
      <c r="AS6" t="n">
        <v>1.830154190871782</v>
      </c>
      <c r="AT6" t="n">
        <v>1.865476454953326</v>
      </c>
      <c r="AU6" t="n">
        <v>1.899478722167185</v>
      </c>
      <c r="AV6" t="n">
        <v>1.896217711362635</v>
      </c>
      <c r="AW6" t="n">
        <v>1.934669620886815</v>
      </c>
      <c r="AX6" t="n">
        <v>1.965989647185003</v>
      </c>
      <c r="AY6" t="n">
        <v>2.003880354272895</v>
      </c>
      <c r="AZ6" t="n">
        <v>2.032012377039764</v>
      </c>
      <c r="BA6" t="n">
        <v>2.062490617438555</v>
      </c>
      <c r="BB6" t="n">
        <v>2.069216986484774</v>
      </c>
      <c r="BC6" t="n">
        <v>2.056960853705454</v>
      </c>
      <c r="BD6" t="n">
        <v>2.096026943317025</v>
      </c>
      <c r="BE6" t="n">
        <v>2.084529207619815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1.738428345818149</v>
      </c>
      <c r="AD2" t="n">
        <v>1.802147113729518</v>
      </c>
      <c r="AE2" t="n">
        <v>1.857451616600662</v>
      </c>
      <c r="AF2" t="n">
        <v>1.964005522005806</v>
      </c>
      <c r="AG2" t="n">
        <v>2.006512335284136</v>
      </c>
      <c r="AH2" t="n">
        <v>2.065731167115207</v>
      </c>
      <c r="AI2" t="n">
        <v>2.158476922984172</v>
      </c>
      <c r="AJ2" t="n">
        <v>2.163138688350443</v>
      </c>
      <c r="AK2" t="n">
        <v>2.191136339756492</v>
      </c>
      <c r="AL2" t="n">
        <v>2.290588783127115</v>
      </c>
      <c r="AM2" t="n">
        <v>2.338347531980321</v>
      </c>
      <c r="AN2" t="n">
        <v>2.372250604857967</v>
      </c>
      <c r="AO2" t="n">
        <v>2.538070394817676</v>
      </c>
      <c r="AP2" t="n">
        <v>2.687277668974827</v>
      </c>
      <c r="AQ2" t="n">
        <v>2.527524342073564</v>
      </c>
      <c r="AR2" t="n">
        <v>2.582699640591998</v>
      </c>
      <c r="AS2" t="n">
        <v>2.778940989208521</v>
      </c>
      <c r="AT2" t="n">
        <v>2.784625210689028</v>
      </c>
      <c r="AU2" t="n">
        <v>2.911483411225906</v>
      </c>
      <c r="AV2" t="n">
        <v>2.920363722382619</v>
      </c>
      <c r="AW2" t="n">
        <v>3.067627745315803</v>
      </c>
      <c r="AX2" t="n">
        <v>3.024425499541807</v>
      </c>
      <c r="AY2" t="n">
        <v>3.069110377436133</v>
      </c>
      <c r="AZ2" t="n">
        <v>3.232206492568192</v>
      </c>
      <c r="BA2" t="n">
        <v>3.280630184150895</v>
      </c>
      <c r="BB2" t="n">
        <v>3.374376686856601</v>
      </c>
      <c r="BC2" t="n">
        <v>3.487335032032442</v>
      </c>
      <c r="BD2" t="n">
        <v>3.563774968137699</v>
      </c>
      <c r="BE2" t="n">
        <v>3.594442928688309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3.502777074363587</v>
      </c>
      <c r="AD3" t="n">
        <v>3.043637635698859</v>
      </c>
      <c r="AE3" t="n">
        <v>3.002926566464828</v>
      </c>
      <c r="AF3" t="n">
        <v>3.112873514832734</v>
      </c>
      <c r="AG3" t="n">
        <v>3.4962139054576</v>
      </c>
      <c r="AH3" t="n">
        <v>3.498576567727219</v>
      </c>
      <c r="AI3" t="n">
        <v>3.418823673554487</v>
      </c>
      <c r="AJ3" t="n">
        <v>3.458500364807104</v>
      </c>
      <c r="AK3" t="n">
        <v>3.317209014525445</v>
      </c>
      <c r="AL3" t="n">
        <v>3.42461279349422</v>
      </c>
      <c r="AM3" t="n">
        <v>3.515527562485403</v>
      </c>
      <c r="AN3" t="n">
        <v>3.850758374531154</v>
      </c>
      <c r="AO3" t="n">
        <v>3.916760124987713</v>
      </c>
      <c r="AP3" t="n">
        <v>3.935897546307163</v>
      </c>
      <c r="AQ3" t="n">
        <v>3.96476482861971</v>
      </c>
      <c r="AR3" t="n">
        <v>4.131780420005112</v>
      </c>
      <c r="AS3" t="n">
        <v>4.189022987365091</v>
      </c>
      <c r="AT3" t="n">
        <v>4.388861774254036</v>
      </c>
      <c r="AU3" t="n">
        <v>4.298649576499155</v>
      </c>
      <c r="AV3" t="n">
        <v>4.527356550257684</v>
      </c>
      <c r="AW3" t="n">
        <v>4.737303095173542</v>
      </c>
      <c r="AX3" t="n">
        <v>5.023111505729914</v>
      </c>
      <c r="AY3" t="n">
        <v>5.029707114931464</v>
      </c>
      <c r="AZ3" t="n">
        <v>5.224484069607307</v>
      </c>
      <c r="BA3" t="n">
        <v>5.201039528560213</v>
      </c>
      <c r="BB3" t="n">
        <v>5.547062296594929</v>
      </c>
      <c r="BC3" t="n">
        <v>5.181049904048222</v>
      </c>
      <c r="BD3" t="n">
        <v>5.711746650745743</v>
      </c>
      <c r="BE3" t="n">
        <v>5.351322934326636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5.179623931819804</v>
      </c>
      <c r="AD4" t="n">
        <v>5.240128207657544</v>
      </c>
      <c r="AE4" t="n">
        <v>5.112237268568464</v>
      </c>
      <c r="AF4" t="n">
        <v>5.251524130647399</v>
      </c>
      <c r="AG4" t="n">
        <v>5.276375254026747</v>
      </c>
      <c r="AH4" t="n">
        <v>5.196705934467167</v>
      </c>
      <c r="AI4" t="n">
        <v>4.998486196839613</v>
      </c>
      <c r="AJ4" t="n">
        <v>5.039610177783737</v>
      </c>
      <c r="AK4" t="n">
        <v>4.678053739463265</v>
      </c>
      <c r="AL4" t="n">
        <v>4.931637044421659</v>
      </c>
      <c r="AM4" t="n">
        <v>4.995128322079184</v>
      </c>
      <c r="AN4" t="n">
        <v>5.474303867444548</v>
      </c>
      <c r="AO4" t="n">
        <v>6.098036118799314</v>
      </c>
      <c r="AP4" t="n">
        <v>6.187987353740326</v>
      </c>
      <c r="AQ4" t="n">
        <v>6.110892576466156</v>
      </c>
      <c r="AR4" t="n">
        <v>5.961745695642755</v>
      </c>
      <c r="AS4" t="n">
        <v>5.893379350445366</v>
      </c>
      <c r="AT4" t="n">
        <v>6.511062687004623</v>
      </c>
      <c r="AU4" t="n">
        <v>6.783704905640493</v>
      </c>
      <c r="AV4" t="n">
        <v>7.13216661452653</v>
      </c>
      <c r="AW4" t="n">
        <v>8.279932481913102</v>
      </c>
      <c r="AX4" t="n">
        <v>8.695841219388232</v>
      </c>
      <c r="AY4" t="n">
        <v>7.978024677120335</v>
      </c>
      <c r="AZ4" t="n">
        <v>9.126962967011224</v>
      </c>
      <c r="BA4" t="n">
        <v>9.800259103721704</v>
      </c>
      <c r="BB4" t="n">
        <v>8.961205835684622</v>
      </c>
      <c r="BC4" t="n">
        <v>8.359787903064184</v>
      </c>
      <c r="BD4" t="n">
        <v>8.208467395520598</v>
      </c>
      <c r="BE4" t="n">
        <v>9.760193536855645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2.75325865292417</v>
      </c>
      <c r="AD5" t="n">
        <v>2.908389563080297</v>
      </c>
      <c r="AE5" t="n">
        <v>2.834301294618436</v>
      </c>
      <c r="AF5" t="n">
        <v>2.831848383085116</v>
      </c>
      <c r="AG5" t="n">
        <v>2.873192956067289</v>
      </c>
      <c r="AH5" t="n">
        <v>2.917496455115548</v>
      </c>
      <c r="AI5" t="n">
        <v>2.913982596383083</v>
      </c>
      <c r="AJ5" t="n">
        <v>2.982467246985379</v>
      </c>
      <c r="AK5" t="n">
        <v>3.277203768368464</v>
      </c>
      <c r="AL5" t="n">
        <v>3.390222065309781</v>
      </c>
      <c r="AM5" t="n">
        <v>3.602965663512196</v>
      </c>
      <c r="AN5" t="n">
        <v>3.851153687409257</v>
      </c>
      <c r="AO5" t="n">
        <v>3.75996894813719</v>
      </c>
      <c r="AP5" t="n">
        <v>3.993982969716202</v>
      </c>
      <c r="AQ5" t="n">
        <v>3.91554760884328</v>
      </c>
      <c r="AR5" t="n">
        <v>3.721379243537731</v>
      </c>
      <c r="AS5" t="n">
        <v>3.545589927748892</v>
      </c>
      <c r="AT5" t="n">
        <v>3.64241701603292</v>
      </c>
      <c r="AU5" t="n">
        <v>3.64199045277617</v>
      </c>
      <c r="AV5" t="n">
        <v>3.775008020056069</v>
      </c>
      <c r="AW5" t="n">
        <v>3.874514273894147</v>
      </c>
      <c r="AX5" t="n">
        <v>4.018726529681272</v>
      </c>
      <c r="AY5" t="n">
        <v>4.19186814473275</v>
      </c>
      <c r="AZ5" t="n">
        <v>4.143208291267355</v>
      </c>
      <c r="BA5" t="n">
        <v>4.232870267612797</v>
      </c>
      <c r="BB5" t="n">
        <v>4.330212648650516</v>
      </c>
      <c r="BC5" t="n">
        <v>4.368684909487525</v>
      </c>
      <c r="BD5" t="n">
        <v>4.24437897924339</v>
      </c>
      <c r="BE5" t="n">
        <v>4.368097989645832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1.452818511072677</v>
      </c>
      <c r="AD6" t="n">
        <v>1.491044786987259</v>
      </c>
      <c r="AE6" t="n">
        <v>1.529443007758901</v>
      </c>
      <c r="AF6" t="n">
        <v>1.546829202366804</v>
      </c>
      <c r="AG6" t="n">
        <v>1.560895248137476</v>
      </c>
      <c r="AH6" t="n">
        <v>1.600332657698936</v>
      </c>
      <c r="AI6" t="n">
        <v>1.661245040500068</v>
      </c>
      <c r="AJ6" t="n">
        <v>1.679562277789807</v>
      </c>
      <c r="AK6" t="n">
        <v>1.693998151827293</v>
      </c>
      <c r="AL6" t="n">
        <v>1.700593889106133</v>
      </c>
      <c r="AM6" t="n">
        <v>1.738592167052895</v>
      </c>
      <c r="AN6" t="n">
        <v>1.815215158098362</v>
      </c>
      <c r="AO6" t="n">
        <v>1.875026742241301</v>
      </c>
      <c r="AP6" t="n">
        <v>1.907139858330159</v>
      </c>
      <c r="AQ6" t="n">
        <v>1.900687833763254</v>
      </c>
      <c r="AR6" t="n">
        <v>1.812218240541574</v>
      </c>
      <c r="AS6" t="n">
        <v>1.830154190871782</v>
      </c>
      <c r="AT6" t="n">
        <v>1.865476454953326</v>
      </c>
      <c r="AU6" t="n">
        <v>1.899478722167185</v>
      </c>
      <c r="AV6" t="n">
        <v>1.896217711362635</v>
      </c>
      <c r="AW6" t="n">
        <v>1.934669620886815</v>
      </c>
      <c r="AX6" t="n">
        <v>1.965989647185003</v>
      </c>
      <c r="AY6" t="n">
        <v>2.003880354272895</v>
      </c>
      <c r="AZ6" t="n">
        <v>2.032012377039764</v>
      </c>
      <c r="BA6" t="n">
        <v>2.062490617438555</v>
      </c>
      <c r="BB6" t="n">
        <v>2.069216986484774</v>
      </c>
      <c r="BC6" t="n">
        <v>2.056960853705454</v>
      </c>
      <c r="BD6" t="n">
        <v>2.096026943317025</v>
      </c>
      <c r="BE6" t="n">
        <v>2.084529207619815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0.196525407871662</v>
      </c>
      <c r="AE2" t="n">
        <v>0.1946961529281768</v>
      </c>
      <c r="AF2" t="n">
        <v>0.1919111676795596</v>
      </c>
      <c r="AG2" t="n">
        <v>0.188240727217426</v>
      </c>
      <c r="AH2" t="n">
        <v>0.1881912370940525</v>
      </c>
      <c r="AI2" t="n">
        <v>0.1845666042635775</v>
      </c>
      <c r="AJ2" t="n">
        <v>0.1850693063059114</v>
      </c>
      <c r="AK2" t="n">
        <v>0.1835072709021941</v>
      </c>
      <c r="AL2" t="n">
        <v>0.1836783500962176</v>
      </c>
      <c r="AM2" t="n">
        <v>0.1773598455004649</v>
      </c>
      <c r="AN2" t="n">
        <v>0.1774130097310327</v>
      </c>
      <c r="AO2" t="n">
        <v>0.1733235637596104</v>
      </c>
      <c r="AP2" t="n">
        <v>0.1679643792716396</v>
      </c>
      <c r="AQ2" t="n">
        <v>0.1654496403700305</v>
      </c>
      <c r="AR2" t="n">
        <v>0.1601247381177668</v>
      </c>
      <c r="AS2" t="n">
        <v>0.1541818833510877</v>
      </c>
      <c r="AT2" t="n">
        <v>0.1528588764127827</v>
      </c>
      <c r="AU2" t="n">
        <v>0.1532645601969805</v>
      </c>
      <c r="AV2" t="n">
        <v>0.1537134172482904</v>
      </c>
      <c r="AW2" t="n">
        <v>0.1543879617726427</v>
      </c>
      <c r="AX2" t="n">
        <v>0.1561945674257794</v>
      </c>
      <c r="AY2" t="n">
        <v>0.1591484609168392</v>
      </c>
      <c r="AZ2" t="n">
        <v>0.1549544671641249</v>
      </c>
      <c r="BA2" t="n">
        <v>0.1575830167081261</v>
      </c>
      <c r="BB2" t="n">
        <v>0.1564630406055229</v>
      </c>
      <c r="BC2" t="n">
        <v>0.153794732618807</v>
      </c>
      <c r="BD2" t="n">
        <v>0.1557364510820504</v>
      </c>
      <c r="BE2" t="n">
        <v>0.1591914393362011</v>
      </c>
      <c r="BF2" t="n">
        <v>0.1577931809446062</v>
      </c>
      <c r="BG2" t="inlineStr"/>
      <c r="BH2" t="inlineStr"/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0.6231734930939339</v>
      </c>
      <c r="AE3" t="n">
        <v>0.5870371873112143</v>
      </c>
      <c r="AF3" t="n">
        <v>0.5645700083010289</v>
      </c>
      <c r="AG3" t="n">
        <v>0.5471997077351932</v>
      </c>
      <c r="AH3" t="n">
        <v>0.546497250489272</v>
      </c>
      <c r="AI3" t="n">
        <v>0.5334634416697946</v>
      </c>
      <c r="AJ3" t="n">
        <v>0.522271092598652</v>
      </c>
      <c r="AK3" t="n">
        <v>0.5126467314055062</v>
      </c>
      <c r="AL3" t="n">
        <v>0.5006671638212018</v>
      </c>
      <c r="AM3" t="n">
        <v>0.4911589832071244</v>
      </c>
      <c r="AN3" t="n">
        <v>0.4652408177711748</v>
      </c>
      <c r="AO3" t="n">
        <v>0.4090354584278792</v>
      </c>
      <c r="AP3" t="n">
        <v>0.3941384604741896</v>
      </c>
      <c r="AQ3" t="n">
        <v>0.388759708740924</v>
      </c>
      <c r="AR3" t="n">
        <v>0.3837003359404036</v>
      </c>
      <c r="AS3" t="n">
        <v>0.3729140956264062</v>
      </c>
      <c r="AT3" t="n">
        <v>0.3569467874444063</v>
      </c>
      <c r="AU3" t="n">
        <v>0.3575077696179645</v>
      </c>
      <c r="AV3" t="n">
        <v>0.3573897357236328</v>
      </c>
      <c r="AW3" t="n">
        <v>0.3337479417834922</v>
      </c>
      <c r="AX3" t="n">
        <v>0.3214400355359623</v>
      </c>
      <c r="AY3" t="n">
        <v>0.3116557106131624</v>
      </c>
      <c r="AZ3" t="n">
        <v>0.3123645788184113</v>
      </c>
      <c r="BA3" t="n">
        <v>0.3077763778059122</v>
      </c>
      <c r="BB3" t="n">
        <v>0.3090169984110837</v>
      </c>
      <c r="BC3" t="n">
        <v>0.2922355263198114</v>
      </c>
      <c r="BD3" t="n">
        <v>0.3306324996060822</v>
      </c>
      <c r="BE3" t="n">
        <v>0.3272862751722086</v>
      </c>
      <c r="BF3" t="n">
        <v>0.3298439364937011</v>
      </c>
      <c r="BG3" t="inlineStr"/>
      <c r="BH3" t="inlineStr"/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0.5542206623902047</v>
      </c>
      <c r="AE4" t="n">
        <v>0.5684361129305432</v>
      </c>
      <c r="AF4" t="n">
        <v>0.5496592858902222</v>
      </c>
      <c r="AG4" t="n">
        <v>0.5230659890078339</v>
      </c>
      <c r="AH4" t="n">
        <v>0.5159246486315118</v>
      </c>
      <c r="AI4" t="n">
        <v>0.5095363692879217</v>
      </c>
      <c r="AJ4" t="n">
        <v>0.5389035349590033</v>
      </c>
      <c r="AK4" t="n">
        <v>0.5263649566356522</v>
      </c>
      <c r="AL4" t="n">
        <v>0.531458759947843</v>
      </c>
      <c r="AM4" t="n">
        <v>0.5104569942590473</v>
      </c>
      <c r="AN4" t="n">
        <v>0.4835860410498363</v>
      </c>
      <c r="AO4" t="n">
        <v>0.4574472079731676</v>
      </c>
      <c r="AP4" t="n">
        <v>0.4170691030082369</v>
      </c>
      <c r="AQ4" t="n">
        <v>0.3916323422187398</v>
      </c>
      <c r="AR4" t="n">
        <v>0.3988163472400345</v>
      </c>
      <c r="AS4" t="n">
        <v>0.3883786290621297</v>
      </c>
      <c r="AT4" t="n">
        <v>0.379749620156404</v>
      </c>
      <c r="AU4" t="n">
        <v>0.3836382936015407</v>
      </c>
      <c r="AV4" t="n">
        <v>0.3816648280130497</v>
      </c>
      <c r="AW4" t="n">
        <v>0.344011320627415</v>
      </c>
      <c r="AX4" t="n">
        <v>0.3039210763881116</v>
      </c>
      <c r="AY4" t="n">
        <v>0.2845069553003017</v>
      </c>
      <c r="AZ4" t="n">
        <v>0.3128303899550164</v>
      </c>
      <c r="BA4" t="n">
        <v>0.2920838571449504</v>
      </c>
      <c r="BB4" t="n">
        <v>0.2581831651765152</v>
      </c>
      <c r="BC4" t="n">
        <v>0.2900854247110913</v>
      </c>
      <c r="BD4" t="n">
        <v>0.3178502055517538</v>
      </c>
      <c r="BE4" t="n">
        <v>0.3281777646877607</v>
      </c>
      <c r="BF4" t="n">
        <v>0.2989327554383054</v>
      </c>
      <c r="BG4" t="inlineStr"/>
      <c r="BH4" t="inlineStr"/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0.53775627434287</v>
      </c>
      <c r="AE5" t="n">
        <v>0.5609946059594133</v>
      </c>
      <c r="AF5" t="n">
        <v>0.5480310171849262</v>
      </c>
      <c r="AG5" t="n">
        <v>0.5215630353479581</v>
      </c>
      <c r="AH5" t="n">
        <v>0.5158931047194754</v>
      </c>
      <c r="AI5" t="n">
        <v>0.5039437374931051</v>
      </c>
      <c r="AJ5" t="n">
        <v>0.5084755513492083</v>
      </c>
      <c r="AK5" t="n">
        <v>0.4955798453537193</v>
      </c>
      <c r="AL5" t="n">
        <v>0.4879771770370257</v>
      </c>
      <c r="AM5" t="n">
        <v>0.4509894388653174</v>
      </c>
      <c r="AN5" t="n">
        <v>0.4375443390637411</v>
      </c>
      <c r="AO5" t="n">
        <v>0.4090098052492172</v>
      </c>
      <c r="AP5" t="n">
        <v>0.4086391603989226</v>
      </c>
      <c r="AQ5" t="n">
        <v>0.3906404795682667</v>
      </c>
      <c r="AR5" t="n">
        <v>0.3865375091860999</v>
      </c>
      <c r="AS5" t="n">
        <v>0.3413027257764879</v>
      </c>
      <c r="AT5" t="n">
        <v>0.3252156066988803</v>
      </c>
      <c r="AU5" t="n">
        <v>0.3160098909212309</v>
      </c>
      <c r="AV5" t="n">
        <v>0.3050251743272472</v>
      </c>
      <c r="AW5" t="n">
        <v>0.3075121400937397</v>
      </c>
      <c r="AX5" t="n">
        <v>0.2989153816456633</v>
      </c>
      <c r="AY5" t="n">
        <v>0.3038159144774989</v>
      </c>
      <c r="AZ5" t="n">
        <v>0.3074733287626343</v>
      </c>
      <c r="BA5" t="n">
        <v>0.3168792890811931</v>
      </c>
      <c r="BB5" t="n">
        <v>0.3141570129739138</v>
      </c>
      <c r="BC5" t="n">
        <v>0.3014723636781313</v>
      </c>
      <c r="BD5" t="n">
        <v>0.3011108587681761</v>
      </c>
      <c r="BE5" t="n">
        <v>0.2985327885672234</v>
      </c>
      <c r="BF5" t="n">
        <v>0.2959798356184317</v>
      </c>
      <c r="BG5" t="inlineStr"/>
      <c r="BH5" t="inlineStr"/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0.2935495395435052</v>
      </c>
      <c r="AE6" t="n">
        <v>0.2955319857589903</v>
      </c>
      <c r="AF6" t="n">
        <v>0.2952968110729191</v>
      </c>
      <c r="AG6" t="n">
        <v>0.2981413055841748</v>
      </c>
      <c r="AH6" t="n">
        <v>0.2999592530930963</v>
      </c>
      <c r="AI6" t="n">
        <v>0.3013098726864555</v>
      </c>
      <c r="AJ6" t="n">
        <v>0.3018128339136739</v>
      </c>
      <c r="AK6" t="n">
        <v>0.3012880726834054</v>
      </c>
      <c r="AL6" t="n">
        <v>0.2979627439181527</v>
      </c>
      <c r="AM6" t="n">
        <v>0.2939879911284413</v>
      </c>
      <c r="AN6" t="n">
        <v>0.2911323317563017</v>
      </c>
      <c r="AO6" t="n">
        <v>0.2913149193442592</v>
      </c>
      <c r="AP6" t="n">
        <v>0.2939113286269511</v>
      </c>
      <c r="AQ6" t="n">
        <v>0.2912393204530893</v>
      </c>
      <c r="AR6" t="n">
        <v>0.2896460053647631</v>
      </c>
      <c r="AS6" t="n">
        <v>0.2795324776747488</v>
      </c>
      <c r="AT6" t="n">
        <v>0.2750320629872818</v>
      </c>
      <c r="AU6" t="n">
        <v>0.2761992595883215</v>
      </c>
      <c r="AV6" t="n">
        <v>0.272830932638055</v>
      </c>
      <c r="AW6" t="n">
        <v>0.2724095903478801</v>
      </c>
      <c r="AX6" t="n">
        <v>0.270979330065332</v>
      </c>
      <c r="AY6" t="n">
        <v>0.2710946447250102</v>
      </c>
      <c r="AZ6" t="n">
        <v>0.2730719725925633</v>
      </c>
      <c r="BA6" t="n">
        <v>0.2720873477377048</v>
      </c>
      <c r="BB6" t="n">
        <v>0.2689158945928001</v>
      </c>
      <c r="BC6" t="n">
        <v>0.2675192747998558</v>
      </c>
      <c r="BD6" t="n">
        <v>0.2586484728430865</v>
      </c>
      <c r="BE6" t="n">
        <v>0.2662318874714235</v>
      </c>
      <c r="BF6" t="n">
        <v>0.269312414033963</v>
      </c>
      <c r="BG6" t="inlineStr"/>
      <c r="BH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278.2167137106619</v>
      </c>
      <c r="AE2" t="n">
        <v>281.3568163903672</v>
      </c>
      <c r="AF2" t="n">
        <v>287.0599547479805</v>
      </c>
      <c r="AG2" t="n">
        <v>296.5360818907832</v>
      </c>
      <c r="AH2" t="n">
        <v>296.6413964917451</v>
      </c>
      <c r="AI2" t="n">
        <v>304.0997813865536</v>
      </c>
      <c r="AJ2" t="n">
        <v>302.7215726653968</v>
      </c>
      <c r="AK2" t="n">
        <v>305.668269341347</v>
      </c>
      <c r="AL2" t="n">
        <v>305.3772227328718</v>
      </c>
      <c r="AM2" t="n">
        <v>316.9476963132735</v>
      </c>
      <c r="AN2" t="n">
        <v>316.8428844164624</v>
      </c>
      <c r="AO2" t="n">
        <v>325.8242309844803</v>
      </c>
      <c r="AP2" t="n">
        <v>334.1929097023668</v>
      </c>
      <c r="AQ2" t="n">
        <v>339.9854530593081</v>
      </c>
      <c r="AR2" t="n">
        <v>350.3080849906773</v>
      </c>
      <c r="AS2" t="n">
        <v>366.3956144960749</v>
      </c>
      <c r="AT2" t="n">
        <v>370.5797520710082</v>
      </c>
      <c r="AU2" t="n">
        <v>369.3181244448041</v>
      </c>
      <c r="AV2" t="n">
        <v>367.9777332953865</v>
      </c>
      <c r="AW2" t="n">
        <v>366.5195679478151</v>
      </c>
      <c r="AX2" t="n">
        <v>362.4416593323632</v>
      </c>
      <c r="AY2" t="n">
        <v>356.7389813550051</v>
      </c>
      <c r="AZ2" t="n">
        <v>363.7832163226257</v>
      </c>
      <c r="BA2" t="n">
        <v>360.0904182625297</v>
      </c>
      <c r="BB2" t="n">
        <v>362.1592004093829</v>
      </c>
      <c r="BC2" t="n">
        <v>369.5096914130266</v>
      </c>
      <c r="BD2" t="n">
        <v>365.6609530927085</v>
      </c>
      <c r="BE2" t="n">
        <v>359.5910952068946</v>
      </c>
      <c r="BF2" t="n">
        <v>363.1913823919703</v>
      </c>
    </row>
    <row r="3">
      <c r="A3" s="13" t="inlineStr">
        <is>
          <t>100010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326.3622280539468</v>
      </c>
      <c r="AE3" t="n">
        <v>333.9855550728241</v>
      </c>
      <c r="AF3" t="n">
        <v>339.7846336761864</v>
      </c>
      <c r="AG3" t="n">
        <v>345.0787478837498</v>
      </c>
      <c r="AH3" t="n">
        <v>345.2845685274965</v>
      </c>
      <c r="AI3" t="n">
        <v>348.759343109571</v>
      </c>
      <c r="AJ3" t="n">
        <v>351.5351161927705</v>
      </c>
      <c r="AK3" t="n">
        <v>354.4355667296267</v>
      </c>
      <c r="AL3" t="n">
        <v>357.2647928262835</v>
      </c>
      <c r="AM3" t="n">
        <v>359.7165853418593</v>
      </c>
      <c r="AN3" t="n">
        <v>367.066742178633</v>
      </c>
      <c r="AO3" t="n">
        <v>388.9645577997292</v>
      </c>
      <c r="AP3" t="n">
        <v>394.3865724656807</v>
      </c>
      <c r="AQ3" t="n">
        <v>396.9260714674399</v>
      </c>
      <c r="AR3" t="n">
        <v>398.5970451024052</v>
      </c>
      <c r="AS3" t="n">
        <v>403.3653636709054</v>
      </c>
      <c r="AT3" t="n">
        <v>411.724448825582</v>
      </c>
      <c r="AU3" t="n">
        <v>411.4093016188955</v>
      </c>
      <c r="AV3" t="n">
        <v>411.4738974663809</v>
      </c>
      <c r="AW3" t="n">
        <v>424.3331724692187</v>
      </c>
      <c r="AX3" t="n">
        <v>431.603739738614</v>
      </c>
      <c r="AY3" t="n">
        <v>436.6746302367922</v>
      </c>
      <c r="AZ3" t="n">
        <v>436.2942690664319</v>
      </c>
      <c r="BA3" t="n">
        <v>438.5396435565698</v>
      </c>
      <c r="BB3" t="n">
        <v>437.7968591544224</v>
      </c>
      <c r="BC3" t="n">
        <v>448.1728253676196</v>
      </c>
      <c r="BD3" t="n">
        <v>430.4752505226515</v>
      </c>
      <c r="BE3" t="n">
        <v>431.9771908276469</v>
      </c>
      <c r="BF3" t="n">
        <v>430.886623771633</v>
      </c>
    </row>
    <row r="4">
      <c r="A4" s="13" t="inlineStr">
        <is>
          <t>100030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389.3547710380834</v>
      </c>
      <c r="AE4" t="n">
        <v>385.181333429291</v>
      </c>
      <c r="AF4" t="n">
        <v>391.0351770143615</v>
      </c>
      <c r="AG4" t="n">
        <v>400.8238313275903</v>
      </c>
      <c r="AH4" t="n">
        <v>403.3474827201622</v>
      </c>
      <c r="AI4" t="n">
        <v>405.5048093735535</v>
      </c>
      <c r="AJ4" t="n">
        <v>397.3832365703518</v>
      </c>
      <c r="AK4" t="n">
        <v>401.2259114396639</v>
      </c>
      <c r="AL4" t="n">
        <v>399.9594468534016</v>
      </c>
      <c r="AM4" t="n">
        <v>405.4844364773192</v>
      </c>
      <c r="AN4" t="n">
        <v>413.1747148040083</v>
      </c>
      <c r="AO4" t="n">
        <v>422.0955658663463</v>
      </c>
      <c r="AP4" t="n">
        <v>435.2924317402782</v>
      </c>
      <c r="AQ4" t="n">
        <v>447.0701812704662</v>
      </c>
      <c r="AR4" t="n">
        <v>444.6303083646745</v>
      </c>
      <c r="AS4" t="n">
        <v>449.4063530523459</v>
      </c>
      <c r="AT4" t="n">
        <v>453.8335872313326</v>
      </c>
      <c r="AU4" t="n">
        <v>451.7764738113131</v>
      </c>
      <c r="AV4" t="n">
        <v>452.7822691085339</v>
      </c>
      <c r="AW4" t="n">
        <v>472.4567888494528</v>
      </c>
      <c r="AX4" t="n">
        <v>501.8822401667893</v>
      </c>
      <c r="AY4" t="n">
        <v>517.2870081360522</v>
      </c>
      <c r="AZ4" t="n">
        <v>496.1851707328878</v>
      </c>
      <c r="BA4" t="n">
        <v>509.4985073687449</v>
      </c>
      <c r="BB4" t="n">
        <v>543.1338825929415</v>
      </c>
      <c r="BC4" t="n">
        <v>511.8742469809506</v>
      </c>
      <c r="BD4" t="n">
        <v>494.3428503102795</v>
      </c>
      <c r="BE4" t="n">
        <v>488.8257544533063</v>
      </c>
      <c r="BF4" t="n">
        <v>505.35283631631</v>
      </c>
    </row>
    <row r="5">
      <c r="A5" s="13" t="inlineStr">
        <is>
          <t>100040x100050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312.5193253302298</v>
      </c>
      <c r="AE5" t="n">
        <v>306.6807289587862</v>
      </c>
      <c r="AF5" t="n">
        <v>309.978225957475</v>
      </c>
      <c r="AG5" t="n">
        <v>317.8468371528743</v>
      </c>
      <c r="AH5" t="n">
        <v>319.5092292155279</v>
      </c>
      <c r="AI5" t="n">
        <v>322.9034525077353</v>
      </c>
      <c r="AJ5" t="n">
        <v>321.7271764900203</v>
      </c>
      <c r="AK5" t="n">
        <v>325.5105147560443</v>
      </c>
      <c r="AL5" t="n">
        <v>327.2667509201247</v>
      </c>
      <c r="AM5" t="n">
        <v>337.3542370464256</v>
      </c>
      <c r="AN5" t="n">
        <v>341.4343789195354</v>
      </c>
      <c r="AO5" t="n">
        <v>351.8008729529379</v>
      </c>
      <c r="AP5" t="n">
        <v>351.9134385356556</v>
      </c>
      <c r="AQ5" t="n">
        <v>358.8104848011158</v>
      </c>
      <c r="AR5" t="n">
        <v>359.9685957472345</v>
      </c>
      <c r="AS5" t="n">
        <v>379.7302932947952</v>
      </c>
      <c r="AT5" t="n">
        <v>388.7627984242941</v>
      </c>
      <c r="AU5" t="n">
        <v>394.7208198302173</v>
      </c>
      <c r="AV5" t="n">
        <v>402.201083984557</v>
      </c>
      <c r="AW5" t="n">
        <v>400.5950123965078</v>
      </c>
      <c r="AX5" t="n">
        <v>406.2658567040382</v>
      </c>
      <c r="AY5" t="n">
        <v>403.6042043796693</v>
      </c>
      <c r="AZ5" t="n">
        <v>401.6552469137662</v>
      </c>
      <c r="BA5" t="n">
        <v>397.1502727772639</v>
      </c>
      <c r="BB5" t="n">
        <v>398.6447991840152</v>
      </c>
      <c r="BC5" t="n">
        <v>405.9059684126535</v>
      </c>
      <c r="BD5" t="n">
        <v>406.0983057933241</v>
      </c>
      <c r="BE5" t="n">
        <v>407.4575436849488</v>
      </c>
      <c r="BF5" t="n">
        <v>408.8718222156809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449.0643389154849</v>
      </c>
      <c r="AE6" t="n">
        <v>446.3223562788424</v>
      </c>
      <c r="AF6" t="n">
        <v>446.6566770709403</v>
      </c>
      <c r="AG6" t="n">
        <v>442.948691435395</v>
      </c>
      <c r="AH6" t="n">
        <v>440.651017358239</v>
      </c>
      <c r="AI6" t="n">
        <v>439.0936523884027</v>
      </c>
      <c r="AJ6" t="n">
        <v>438.5555213259985</v>
      </c>
      <c r="AK6" t="n">
        <v>439.0724827408194</v>
      </c>
      <c r="AL6" t="n">
        <v>441.9127393118244</v>
      </c>
      <c r="AM6" t="n">
        <v>445.5599404046045</v>
      </c>
      <c r="AN6" t="n">
        <v>448.2916859799915</v>
      </c>
      <c r="AO6" t="n">
        <v>448.1135586696101</v>
      </c>
      <c r="AP6" t="n">
        <v>446.0894889500661</v>
      </c>
      <c r="AQ6" t="n">
        <v>448.3673356082005</v>
      </c>
      <c r="AR6" t="n">
        <v>449.4475838028152</v>
      </c>
      <c r="AS6" t="n">
        <v>458.1244177022592</v>
      </c>
      <c r="AT6" t="n">
        <v>463.0224069244356</v>
      </c>
      <c r="AU6" t="n">
        <v>461.7710578680462</v>
      </c>
      <c r="AV6" t="n">
        <v>465.11893752726</v>
      </c>
      <c r="AW6" t="n">
        <v>465.4905849723758</v>
      </c>
      <c r="AX6" t="n">
        <v>466.8226492110029</v>
      </c>
      <c r="AY6" t="n">
        <v>466.7168346249575</v>
      </c>
      <c r="AZ6" t="n">
        <v>465.058443434332</v>
      </c>
      <c r="BA6" t="n">
        <v>465.8140453558532</v>
      </c>
      <c r="BB6" t="n">
        <v>468.4441011768227</v>
      </c>
      <c r="BC6" t="n">
        <v>469.6167608121192</v>
      </c>
      <c r="BD6" t="n">
        <v>477.1997045771845</v>
      </c>
      <c r="BE6" t="n">
        <v>470.7076747742852</v>
      </c>
      <c r="BF6" t="n">
        <v>468.2719216102388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3.925574224209116</v>
      </c>
      <c r="D2" t="n">
        <v>4.034396802194276</v>
      </c>
      <c r="E2" t="n">
        <v>4.449435670294906</v>
      </c>
      <c r="F2" t="n">
        <v>4.007528823005541</v>
      </c>
      <c r="G2" t="n">
        <v>3.904225840869892</v>
      </c>
      <c r="H2" t="n">
        <v>4.322529846859264</v>
      </c>
      <c r="I2" t="n">
        <v>3.972839912446934</v>
      </c>
      <c r="J2" t="n">
        <v>4.024758238650488</v>
      </c>
      <c r="K2" t="n">
        <v>4.095601409011326</v>
      </c>
      <c r="L2" t="n">
        <v>4.087059070272736</v>
      </c>
      <c r="M2" t="n">
        <v>4.144559955195875</v>
      </c>
      <c r="N2" t="n">
        <v>4.464782470748183</v>
      </c>
      <c r="O2" t="n">
        <v>4.376923747064393</v>
      </c>
      <c r="P2" t="n">
        <v>4.232810541608408</v>
      </c>
      <c r="Q2" t="n">
        <v>4.031287764711998</v>
      </c>
      <c r="R2" t="n">
        <v>4.48142671564822</v>
      </c>
      <c r="S2" t="n">
        <v>4.59242021952433</v>
      </c>
      <c r="T2" t="n">
        <v>4.755495846496945</v>
      </c>
      <c r="U2" t="n">
        <v>4.65847147300609</v>
      </c>
      <c r="V2" t="n">
        <v>4.995873307785891</v>
      </c>
      <c r="W2" t="n">
        <v>5.082053693466968</v>
      </c>
      <c r="X2" t="n">
        <v>5.765949212026544</v>
      </c>
      <c r="Y2" t="n">
        <v>5.820580426520227</v>
      </c>
      <c r="Z2" t="n">
        <v>5.902060094031156</v>
      </c>
      <c r="AA2" t="n">
        <v>6.077904149990613</v>
      </c>
      <c r="AB2" t="n">
        <v>5.334723982913967</v>
      </c>
      <c r="AC2" t="n">
        <v>4.775220364222654</v>
      </c>
      <c r="AD2" t="n">
        <v>4.753527069434227</v>
      </c>
      <c r="AE2" t="n">
        <v>4.419794837855679</v>
      </c>
      <c r="AF2" t="n">
        <v>4.174534771500023</v>
      </c>
      <c r="AG2" t="n">
        <v>4.303149788847043</v>
      </c>
      <c r="AH2" t="n">
        <v>4.329934803964493</v>
      </c>
      <c r="AI2" t="n">
        <v>4.018918105936351</v>
      </c>
      <c r="AJ2" t="n">
        <v>3.920845516960284</v>
      </c>
      <c r="AK2" t="n">
        <v>3.822157061437741</v>
      </c>
      <c r="AL2" t="n">
        <v>5.00056634687692</v>
      </c>
      <c r="AM2" t="n">
        <v>5.11561294849739</v>
      </c>
      <c r="AN2" t="n">
        <v>5.348902110012903</v>
      </c>
      <c r="AO2" t="n">
        <v>5.607932818659801</v>
      </c>
      <c r="AP2" t="n">
        <v>5.738118969154838</v>
      </c>
      <c r="AQ2" t="n">
        <v>5.896059968598911</v>
      </c>
      <c r="AR2" t="n">
        <v>6.128832066961345</v>
      </c>
      <c r="AS2" t="n">
        <v>5.608772178127089</v>
      </c>
      <c r="AT2" t="n">
        <v>5.900579449779781</v>
      </c>
      <c r="AU2" t="n">
        <v>5.054999444657378</v>
      </c>
      <c r="AV2" t="n">
        <v>5.076603300179575</v>
      </c>
      <c r="AW2" t="n">
        <v>5.397328999962776</v>
      </c>
      <c r="AX2" t="n">
        <v>5.371034554910223</v>
      </c>
      <c r="AY2" t="n">
        <v>5.390821891306345</v>
      </c>
      <c r="AZ2" t="n">
        <v>5.39765935761637</v>
      </c>
      <c r="BA2" t="n">
        <v>5.113143104443797</v>
      </c>
      <c r="BB2" t="n">
        <v>4.93641341872244</v>
      </c>
      <c r="BC2" t="n">
        <v>4.949073869315471</v>
      </c>
      <c r="BD2" t="n">
        <v>5.501600744811659</v>
      </c>
      <c r="BE2" t="n">
        <v>5.0109961936632</v>
      </c>
      <c r="BF2" t="n">
        <v>4.312968490854391</v>
      </c>
    </row>
    <row r="3">
      <c r="A3" s="13" t="n"/>
      <c r="B3" s="13" t="inlineStr">
        <is>
          <t>100010</t>
        </is>
      </c>
      <c r="C3" t="n">
        <v>174.6745991192273</v>
      </c>
      <c r="D3" t="n">
        <v>161.9441138307865</v>
      </c>
      <c r="E3" t="n">
        <v>145.802039306482</v>
      </c>
      <c r="F3" t="n">
        <v>142.8216495625616</v>
      </c>
      <c r="G3" t="n">
        <v>144.1072212945345</v>
      </c>
      <c r="H3" t="n">
        <v>132.0550631656926</v>
      </c>
      <c r="I3" t="n">
        <v>180.8056962827349</v>
      </c>
      <c r="J3" t="n">
        <v>161.0832029227044</v>
      </c>
      <c r="K3" t="n">
        <v>144.7290711903742</v>
      </c>
      <c r="L3" t="n">
        <v>104.6079134273458</v>
      </c>
      <c r="M3" t="n">
        <v>103.4041342848021</v>
      </c>
      <c r="N3" t="n">
        <v>97.77444305666188</v>
      </c>
      <c r="O3" t="n">
        <v>97.53589964992369</v>
      </c>
      <c r="P3" t="n">
        <v>97.31122995562301</v>
      </c>
      <c r="Q3" t="n">
        <v>88.54587440418575</v>
      </c>
      <c r="R3" t="n">
        <v>79.5703612006955</v>
      </c>
      <c r="S3" t="n">
        <v>73.12927871110109</v>
      </c>
      <c r="T3" t="n">
        <v>70.56127667735782</v>
      </c>
      <c r="U3" t="n">
        <v>75.1384510980907</v>
      </c>
      <c r="V3" t="n">
        <v>75.85513352705912</v>
      </c>
      <c r="W3" t="n">
        <v>75.11612678020246</v>
      </c>
      <c r="X3" t="n">
        <v>77.64582661419774</v>
      </c>
      <c r="Y3" t="n">
        <v>66.90966913426261</v>
      </c>
      <c r="Z3" t="n">
        <v>70.97531138040699</v>
      </c>
      <c r="AA3" t="n">
        <v>69.50904818453917</v>
      </c>
      <c r="AB3" t="n">
        <v>65.14195873330826</v>
      </c>
      <c r="AC3" t="n">
        <v>60.40820393388156</v>
      </c>
      <c r="AD3" t="n">
        <v>76.68619851657526</v>
      </c>
      <c r="AE3" t="n">
        <v>82.06649990839578</v>
      </c>
      <c r="AF3" t="n">
        <v>100.4053907429059</v>
      </c>
      <c r="AG3" t="n">
        <v>104.3164376196213</v>
      </c>
      <c r="AH3" t="n">
        <v>90.4919880362102</v>
      </c>
      <c r="AI3" t="n">
        <v>102.1050805762222</v>
      </c>
      <c r="AJ3" t="n">
        <v>139.9639954582899</v>
      </c>
      <c r="AK3" t="n">
        <v>247.2186742530128</v>
      </c>
      <c r="AL3" t="n">
        <v>191.7810245384813</v>
      </c>
      <c r="AM3" t="n">
        <v>195.0960088544297</v>
      </c>
      <c r="AN3" t="n">
        <v>188.4360349829742</v>
      </c>
      <c r="AO3" t="n">
        <v>300.0148341857471</v>
      </c>
      <c r="AP3" t="n">
        <v>408.751401183492</v>
      </c>
      <c r="AQ3" t="n">
        <v>618.3538567210782</v>
      </c>
      <c r="AR3" t="n">
        <v>655.9489733601151</v>
      </c>
      <c r="AS3" t="n">
        <v>568.8371939519133</v>
      </c>
      <c r="AT3" t="n">
        <v>790.2074847730241</v>
      </c>
      <c r="AU3" t="n">
        <v>671.7073711167582</v>
      </c>
      <c r="AV3" t="n">
        <v>601.0705251680024</v>
      </c>
      <c r="AW3" t="n">
        <v>616.4345789112807</v>
      </c>
      <c r="AX3" t="n">
        <v>595.9201601863058</v>
      </c>
      <c r="AY3" t="n">
        <v>373.4926990656764</v>
      </c>
      <c r="AZ3" t="n">
        <v>361.6789835770204</v>
      </c>
      <c r="BA3" t="n">
        <v>344.2646851898623</v>
      </c>
      <c r="BB3" t="n">
        <v>363.0196449991789</v>
      </c>
      <c r="BC3" t="n">
        <v>100.150092894442</v>
      </c>
      <c r="BD3" t="n">
        <v>93.40291123712201</v>
      </c>
      <c r="BE3" t="n">
        <v>102.2703429845319</v>
      </c>
      <c r="BF3" t="n">
        <v>103.3137116501277</v>
      </c>
    </row>
    <row r="4">
      <c r="A4" s="13" t="n"/>
      <c r="B4" s="13" t="inlineStr">
        <is>
          <t>100030</t>
        </is>
      </c>
      <c r="C4" t="n">
        <v>18.09011345094617</v>
      </c>
      <c r="D4" t="n">
        <v>19.47842781518515</v>
      </c>
      <c r="E4" t="n">
        <v>20.06047392715983</v>
      </c>
      <c r="F4" t="n">
        <v>25.60692294344289</v>
      </c>
      <c r="G4" t="n">
        <v>31.87045576028222</v>
      </c>
      <c r="H4" t="n">
        <v>34.08920696176804</v>
      </c>
      <c r="I4" t="n">
        <v>23.05680153864964</v>
      </c>
      <c r="J4" t="n">
        <v>16.91460250364561</v>
      </c>
      <c r="K4" t="n">
        <v>19.87393138544879</v>
      </c>
      <c r="L4" t="n">
        <v>19.85090637883596</v>
      </c>
      <c r="M4" t="n">
        <v>23.4722909432102</v>
      </c>
      <c r="N4" t="n">
        <v>23.43785880686423</v>
      </c>
      <c r="O4" t="n">
        <v>25.31577305951678</v>
      </c>
      <c r="P4" t="n">
        <v>29.91436864728436</v>
      </c>
      <c r="Q4" t="n">
        <v>34.40662698305793</v>
      </c>
      <c r="R4" t="n">
        <v>36.90005969491647</v>
      </c>
      <c r="S4" t="n">
        <v>35.89285006315578</v>
      </c>
      <c r="T4" t="n">
        <v>43.16891138499103</v>
      </c>
      <c r="U4" t="n">
        <v>51.08027160258025</v>
      </c>
      <c r="V4" t="n">
        <v>59.5978578662113</v>
      </c>
      <c r="W4" t="n">
        <v>87.05346535069513</v>
      </c>
      <c r="X4" t="n">
        <v>114.3556677694755</v>
      </c>
      <c r="Y4" t="n">
        <v>174.610865465281</v>
      </c>
      <c r="Z4" t="n">
        <v>165.6063142133648</v>
      </c>
      <c r="AA4" t="n">
        <v>654.5744553498788</v>
      </c>
      <c r="AB4" t="n">
        <v>283.3275174628383</v>
      </c>
      <c r="AC4" t="n">
        <v>187.1853810656326</v>
      </c>
      <c r="AD4" t="n">
        <v>115.6851893090325</v>
      </c>
      <c r="AE4" t="n">
        <v>116.0027185758597</v>
      </c>
      <c r="AF4" t="n">
        <v>138.3466278572927</v>
      </c>
      <c r="AG4" t="n">
        <v>106.0653982379171</v>
      </c>
      <c r="AH4" t="n">
        <v>165.6616637131547</v>
      </c>
      <c r="AI4" t="n">
        <v>175.8044530913728</v>
      </c>
      <c r="AJ4" t="n">
        <v>165.7993926565433</v>
      </c>
      <c r="AK4" t="n">
        <v>145.4909343491797</v>
      </c>
      <c r="AL4" t="n">
        <v>185.4339894739649</v>
      </c>
      <c r="AM4" t="n">
        <v>165.7949697112544</v>
      </c>
      <c r="AN4" t="n">
        <v>189.7162815409097</v>
      </c>
      <c r="AO4" t="n">
        <v>197.6691223889539</v>
      </c>
      <c r="AP4" t="n">
        <v>159.2296748501333</v>
      </c>
      <c r="AQ4" t="n">
        <v>259.917056939062</v>
      </c>
      <c r="AR4" t="n">
        <v>242.8904778582082</v>
      </c>
      <c r="AS4" t="n">
        <v>215.3631626601114</v>
      </c>
      <c r="AT4" t="n">
        <v>200.5163736383369</v>
      </c>
      <c r="AU4" t="n">
        <v>167.3451775807007</v>
      </c>
      <c r="AV4" t="n">
        <v>170.6466196765955</v>
      </c>
      <c r="AW4" t="n">
        <v>430.4548752056678</v>
      </c>
      <c r="AX4" t="n">
        <v>461.0131327149059</v>
      </c>
      <c r="AY4" t="n">
        <v>397.6715030915727</v>
      </c>
      <c r="AZ4" t="n">
        <v>482.5555778618867</v>
      </c>
      <c r="BA4" t="n">
        <v>459.9163405520156</v>
      </c>
      <c r="BB4" t="n">
        <v>395.6079653400079</v>
      </c>
      <c r="BC4" t="n">
        <v>18.94747434724753</v>
      </c>
      <c r="BD4" t="n">
        <v>395.4946495258308</v>
      </c>
      <c r="BE4" t="n">
        <v>372.498670046767</v>
      </c>
      <c r="BF4" t="n">
        <v>227.2359000652272</v>
      </c>
    </row>
    <row r="5">
      <c r="A5" s="13" t="n"/>
      <c r="B5" s="13" t="inlineStr">
        <is>
          <t>100040x100050</t>
        </is>
      </c>
      <c r="C5" t="n">
        <v>13.28994405011516</v>
      </c>
      <c r="D5" t="n">
        <v>12.95210671075466</v>
      </c>
      <c r="E5" t="n">
        <v>11.98336887298239</v>
      </c>
      <c r="F5" t="n">
        <v>12.0389052353929</v>
      </c>
      <c r="G5" t="n">
        <v>12.43374209391821</v>
      </c>
      <c r="H5" t="n">
        <v>11.16514129410104</v>
      </c>
      <c r="I5" t="n">
        <v>12.49958149752755</v>
      </c>
      <c r="J5" t="n">
        <v>12.36627815908897</v>
      </c>
      <c r="K5" t="n">
        <v>9.653532510785853</v>
      </c>
      <c r="L5" t="n">
        <v>9.294326071844456</v>
      </c>
      <c r="M5" t="n">
        <v>8.642249013755874</v>
      </c>
      <c r="N5" t="n">
        <v>7.762488236795221</v>
      </c>
      <c r="O5" t="n">
        <v>7.688593710702929</v>
      </c>
      <c r="P5" t="n">
        <v>7.548505915291878</v>
      </c>
      <c r="Q5" t="n">
        <v>7.641241429392608</v>
      </c>
      <c r="R5" t="n">
        <v>6.685909388560322</v>
      </c>
      <c r="S5" t="n">
        <v>6.870832451289972</v>
      </c>
      <c r="T5" t="n">
        <v>7.229203363711566</v>
      </c>
      <c r="U5" t="n">
        <v>7.037725807118647</v>
      </c>
      <c r="V5" t="n">
        <v>6.597115835347696</v>
      </c>
      <c r="W5" t="n">
        <v>6.66306124927401</v>
      </c>
      <c r="X5" t="n">
        <v>7.21344865673313</v>
      </c>
      <c r="Y5" t="n">
        <v>6.702730610700564</v>
      </c>
      <c r="Z5" t="n">
        <v>6.499368377445093</v>
      </c>
      <c r="AA5" t="n">
        <v>6.274228435060206</v>
      </c>
      <c r="AB5" t="n">
        <v>6.749075644240032</v>
      </c>
      <c r="AC5" t="n">
        <v>6.941146859115486</v>
      </c>
      <c r="AD5" t="n">
        <v>6.744127472991</v>
      </c>
      <c r="AE5" t="n">
        <v>7.379479455350728</v>
      </c>
      <c r="AF5" t="n">
        <v>7.910174289239149</v>
      </c>
      <c r="AG5" t="n">
        <v>8.543581331294019</v>
      </c>
      <c r="AH5" t="n">
        <v>7.736824495957691</v>
      </c>
      <c r="AI5" t="n">
        <v>8.528334508878039</v>
      </c>
      <c r="AJ5" t="n">
        <v>8.236790200770752</v>
      </c>
      <c r="AK5" t="n">
        <v>8.219464217422173</v>
      </c>
      <c r="AL5" t="n">
        <v>4.836227390806983</v>
      </c>
      <c r="AM5" t="n">
        <v>4.392173596408536</v>
      </c>
      <c r="AN5" t="n">
        <v>4.097204726146385</v>
      </c>
      <c r="AO5" t="n">
        <v>4.251869288440948</v>
      </c>
      <c r="AP5" t="n">
        <v>4.298147626173005</v>
      </c>
      <c r="AQ5" t="n">
        <v>3.890547404773549</v>
      </c>
      <c r="AR5" t="n">
        <v>3.901917436068213</v>
      </c>
      <c r="AS5" t="n">
        <v>3.8442503637938</v>
      </c>
      <c r="AT5" t="n">
        <v>3.794054707647746</v>
      </c>
      <c r="AU5" t="n">
        <v>3.875572552318659</v>
      </c>
      <c r="AV5" t="n">
        <v>4.106184861655906</v>
      </c>
      <c r="AW5" t="n">
        <v>4.069464032078852</v>
      </c>
      <c r="AX5" t="n">
        <v>3.921216420577504</v>
      </c>
      <c r="AY5" t="n">
        <v>3.755914124318196</v>
      </c>
      <c r="AZ5" t="n">
        <v>3.618595845536087</v>
      </c>
      <c r="BA5" t="n">
        <v>3.607092566199109</v>
      </c>
      <c r="BB5" t="n">
        <v>3.527958953985608</v>
      </c>
      <c r="BC5" t="n">
        <v>4.265421453838215</v>
      </c>
      <c r="BD5" t="n">
        <v>3.394657378551988</v>
      </c>
      <c r="BE5" t="n">
        <v>3.597532605045188</v>
      </c>
      <c r="BF5" t="n">
        <v>3.611212593351886</v>
      </c>
    </row>
    <row r="6">
      <c r="A6" s="13" t="n"/>
      <c r="B6" s="13" t="inlineStr">
        <is>
          <t>REST</t>
        </is>
      </c>
      <c r="C6" t="n">
        <v>1.532554998339336</v>
      </c>
      <c r="D6" t="n">
        <v>1.507178912265297</v>
      </c>
      <c r="E6" t="n">
        <v>1.464929112065725</v>
      </c>
      <c r="F6" t="n">
        <v>1.512798660120272</v>
      </c>
      <c r="G6" t="n">
        <v>1.500073067231247</v>
      </c>
      <c r="H6" t="n">
        <v>1.462031327273267</v>
      </c>
      <c r="I6" t="n">
        <v>1.520235292031758</v>
      </c>
      <c r="J6" t="n">
        <v>1.567544989157458</v>
      </c>
      <c r="K6" t="n">
        <v>1.646159306515322</v>
      </c>
      <c r="L6" t="n">
        <v>1.673533316301213</v>
      </c>
      <c r="M6" t="n">
        <v>1.669332359137013</v>
      </c>
      <c r="N6" t="n">
        <v>1.664031616314483</v>
      </c>
      <c r="O6" t="n">
        <v>1.678419216062633</v>
      </c>
      <c r="P6" t="n">
        <v>1.702653634118487</v>
      </c>
      <c r="Q6" t="n">
        <v>1.736631364546368</v>
      </c>
      <c r="R6" t="n">
        <v>1.714660940871811</v>
      </c>
      <c r="S6" t="n">
        <v>1.677000026044047</v>
      </c>
      <c r="T6" t="n">
        <v>1.596347299221172</v>
      </c>
      <c r="U6" t="n">
        <v>1.614595851478013</v>
      </c>
      <c r="V6" t="n">
        <v>1.576906160295814</v>
      </c>
      <c r="W6" t="n">
        <v>1.536871476919151</v>
      </c>
      <c r="X6" t="n">
        <v>1.399162816138677</v>
      </c>
      <c r="Y6" t="n">
        <v>1.414940373066197</v>
      </c>
      <c r="Z6" t="n">
        <v>1.420281362094625</v>
      </c>
      <c r="AA6" t="n">
        <v>1.401037533374795</v>
      </c>
      <c r="AB6" t="n">
        <v>1.453904804013349</v>
      </c>
      <c r="AC6" t="n">
        <v>1.525302488646192</v>
      </c>
      <c r="AD6" t="n">
        <v>1.549759776606185</v>
      </c>
      <c r="AE6" t="n">
        <v>1.564458014385579</v>
      </c>
      <c r="AF6" t="n">
        <v>1.575566988676125</v>
      </c>
      <c r="AG6" t="n">
        <v>1.531904139709744</v>
      </c>
      <c r="AH6" t="n">
        <v>1.557230128753978</v>
      </c>
      <c r="AI6" t="n">
        <v>1.578995252943415</v>
      </c>
      <c r="AJ6" t="n">
        <v>1.606567538200296</v>
      </c>
      <c r="AK6" t="n">
        <v>1.627394649636665</v>
      </c>
      <c r="AL6" t="n">
        <v>1.700450736666407</v>
      </c>
      <c r="AM6" t="n">
        <v>1.758649778732149</v>
      </c>
      <c r="AN6" t="n">
        <v>1.78242839331031</v>
      </c>
      <c r="AO6" t="n">
        <v>1.716921916068434</v>
      </c>
      <c r="AP6" t="n">
        <v>1.702310666637599</v>
      </c>
      <c r="AQ6" t="n">
        <v>1.751187838786351</v>
      </c>
      <c r="AR6" t="n">
        <v>1.72911576129541</v>
      </c>
      <c r="AS6" t="n">
        <v>1.795588661429263</v>
      </c>
      <c r="AT6" t="n">
        <v>1.780953849933834</v>
      </c>
      <c r="AU6" t="n">
        <v>1.849224214025688</v>
      </c>
      <c r="AV6" t="n">
        <v>1.800589558409776</v>
      </c>
      <c r="AW6" t="n">
        <v>1.760649360442772</v>
      </c>
      <c r="AX6" t="n">
        <v>1.79667813366223</v>
      </c>
      <c r="AY6" t="n">
        <v>1.839224591490916</v>
      </c>
      <c r="AZ6" t="n">
        <v>1.872019795675324</v>
      </c>
      <c r="BA6" t="n">
        <v>1.909580798415718</v>
      </c>
      <c r="BB6" t="n">
        <v>1.956752691762238</v>
      </c>
      <c r="BC6" t="n">
        <v>1.986732781099874</v>
      </c>
      <c r="BD6" t="n">
        <v>1.959173191730192</v>
      </c>
      <c r="BE6" t="n">
        <v>1.960753519534931</v>
      </c>
      <c r="BF6" t="n">
        <v>2.089905965760556</v>
      </c>
    </row>
    <row r="7">
      <c r="A7" s="13" t="inlineStr">
        <is>
          <t>100010</t>
        </is>
      </c>
      <c r="B7" s="13" t="inlineStr">
        <is>
          <t>010000</t>
        </is>
      </c>
      <c r="C7" t="n">
        <v>1.397752207981648</v>
      </c>
      <c r="D7" t="n">
        <v>1.46825970330166</v>
      </c>
      <c r="E7" t="n">
        <v>1.467517749551606</v>
      </c>
      <c r="F7" t="n">
        <v>1.465926759710376</v>
      </c>
      <c r="G7" t="n">
        <v>1.50793979617849</v>
      </c>
      <c r="H7" t="n">
        <v>1.568037327214565</v>
      </c>
      <c r="I7" t="n">
        <v>1.488472555457766</v>
      </c>
      <c r="J7" t="n">
        <v>1.525045999438862</v>
      </c>
      <c r="K7" t="n">
        <v>1.459831002156867</v>
      </c>
      <c r="L7" t="n">
        <v>1.482421479147128</v>
      </c>
      <c r="M7" t="n">
        <v>1.507337996373656</v>
      </c>
      <c r="N7" t="n">
        <v>1.501438374076904</v>
      </c>
      <c r="O7" t="n">
        <v>1.634313512481725</v>
      </c>
      <c r="P7" t="n">
        <v>1.631728543742651</v>
      </c>
      <c r="Q7" t="n">
        <v>1.627676693225504</v>
      </c>
      <c r="R7" t="n">
        <v>1.509991470711261</v>
      </c>
      <c r="S7" t="n">
        <v>1.335694703602717</v>
      </c>
      <c r="T7" t="n">
        <v>1.352807014264015</v>
      </c>
      <c r="U7" t="n">
        <v>1.442584800641003</v>
      </c>
      <c r="V7" t="n">
        <v>1.46664625051362</v>
      </c>
      <c r="W7" t="n">
        <v>1.479533829506323</v>
      </c>
      <c r="X7" t="n">
        <v>1.476955864529779</v>
      </c>
      <c r="Y7" t="n">
        <v>1.448664970518221</v>
      </c>
      <c r="Z7" t="n">
        <v>1.507377557975646</v>
      </c>
      <c r="AA7" t="n">
        <v>1.460285123381659</v>
      </c>
      <c r="AB7" t="n">
        <v>1.414171984823898</v>
      </c>
      <c r="AC7" t="n">
        <v>1.454882983741443</v>
      </c>
      <c r="AD7" t="n">
        <v>1.592221275704921</v>
      </c>
      <c r="AE7" t="n">
        <v>1.364200922413955</v>
      </c>
      <c r="AF7" t="n">
        <v>1.308171487246156</v>
      </c>
      <c r="AG7" t="n">
        <v>1.34367064647293</v>
      </c>
      <c r="AH7" t="n">
        <v>1.403215731855459</v>
      </c>
      <c r="AI7" t="n">
        <v>1.325003255161888</v>
      </c>
      <c r="AJ7" t="n">
        <v>1.321524644528185</v>
      </c>
      <c r="AK7" t="n">
        <v>1.256474608643898</v>
      </c>
      <c r="AL7" t="n">
        <v>1.286832478804028</v>
      </c>
      <c r="AM7" t="n">
        <v>1.311483227813931</v>
      </c>
      <c r="AN7" t="n">
        <v>1.258982367025618</v>
      </c>
      <c r="AO7" t="n">
        <v>1.297064940369989</v>
      </c>
      <c r="AP7" t="n">
        <v>1.275913968816705</v>
      </c>
      <c r="AQ7" t="n">
        <v>1.279979715203673</v>
      </c>
      <c r="AR7" t="n">
        <v>1.326688634407046</v>
      </c>
      <c r="AS7" t="n">
        <v>1.534349594494158</v>
      </c>
      <c r="AT7" t="n">
        <v>1.405371749752421</v>
      </c>
      <c r="AU7" t="n">
        <v>1.378161983000521</v>
      </c>
      <c r="AV7" t="n">
        <v>1.413501039179787</v>
      </c>
      <c r="AW7" t="n">
        <v>1.427805309238155</v>
      </c>
      <c r="AX7" t="n">
        <v>1.456176299379647</v>
      </c>
      <c r="AY7" t="n">
        <v>1.477757919170779</v>
      </c>
      <c r="AZ7" t="n">
        <v>1.490500448926577</v>
      </c>
      <c r="BA7" t="n">
        <v>1.645544399906251</v>
      </c>
      <c r="BB7" t="n">
        <v>1.580964903550799</v>
      </c>
      <c r="BC7" t="n">
        <v>1.615684480341209</v>
      </c>
      <c r="BD7" t="n">
        <v>1.567279820426953</v>
      </c>
      <c r="BE7" t="n">
        <v>1.622481874552479</v>
      </c>
      <c r="BF7" t="n">
        <v>1.727139562173061</v>
      </c>
    </row>
    <row r="8">
      <c r="A8" s="13" t="n"/>
      <c r="B8" s="13" t="inlineStr">
        <is>
          <t>100010</t>
        </is>
      </c>
      <c r="C8" t="n">
        <v>6.948878237462009</v>
      </c>
      <c r="D8" t="n">
        <v>5.707020969424156</v>
      </c>
      <c r="E8" t="n">
        <v>5.834068408957427</v>
      </c>
      <c r="F8" t="n">
        <v>5.80196774555309</v>
      </c>
      <c r="G8" t="n">
        <v>5.346408855388432</v>
      </c>
      <c r="H8" t="n">
        <v>4.896416397896254</v>
      </c>
      <c r="I8" t="n">
        <v>5.802510232477339</v>
      </c>
      <c r="J8" t="n">
        <v>5.385541931732249</v>
      </c>
      <c r="K8" t="n">
        <v>6.109319042553872</v>
      </c>
      <c r="L8" t="n">
        <v>5.804067399724567</v>
      </c>
      <c r="M8" t="n">
        <v>5.400177330043533</v>
      </c>
      <c r="N8" t="n">
        <v>5.388268059301887</v>
      </c>
      <c r="O8" t="n">
        <v>4.256092356659539</v>
      </c>
      <c r="P8" t="n">
        <v>4.053047809349188</v>
      </c>
      <c r="Q8" t="n">
        <v>4.096053882855687</v>
      </c>
      <c r="R8" t="n">
        <v>5.114873965511032</v>
      </c>
      <c r="S8" t="n">
        <v>8.508269615670526</v>
      </c>
      <c r="T8" t="n">
        <v>8.404084413962206</v>
      </c>
      <c r="U8" t="n">
        <v>5.871353529422696</v>
      </c>
      <c r="V8" t="n">
        <v>5.620850671615027</v>
      </c>
      <c r="W8" t="n">
        <v>5.703280705360286</v>
      </c>
      <c r="X8" t="n">
        <v>6.164480272540108</v>
      </c>
      <c r="Y8" t="n">
        <v>6.553264942274343</v>
      </c>
      <c r="Z8" t="n">
        <v>5.991797361141954</v>
      </c>
      <c r="AA8" t="n">
        <v>7.093932541318111</v>
      </c>
      <c r="AB8" t="n">
        <v>6.21849255897977</v>
      </c>
      <c r="AC8" t="n">
        <v>5.6127450056794</v>
      </c>
      <c r="AD8" t="n">
        <v>4.514286960823531</v>
      </c>
      <c r="AE8" t="n">
        <v>6.91675884009107</v>
      </c>
      <c r="AF8" t="n">
        <v>9.475205871022448</v>
      </c>
      <c r="AG8" t="n">
        <v>9.057552714727603</v>
      </c>
      <c r="AH8" t="n">
        <v>7.170370692909843</v>
      </c>
      <c r="AI8" t="n">
        <v>10.21046042855113</v>
      </c>
      <c r="AJ8" t="n">
        <v>10.30414987142778</v>
      </c>
      <c r="AK8" t="n">
        <v>12.93719911275616</v>
      </c>
      <c r="AL8" t="n">
        <v>10.71773629250183</v>
      </c>
      <c r="AM8" t="n">
        <v>9.350397749219431</v>
      </c>
      <c r="AN8" t="n">
        <v>11.05252513025165</v>
      </c>
      <c r="AO8" t="n">
        <v>10.25282614105442</v>
      </c>
      <c r="AP8" t="n">
        <v>10.87009420656996</v>
      </c>
      <c r="AQ8" t="n">
        <v>12.00325903605719</v>
      </c>
      <c r="AR8" t="n">
        <v>10.85277562360197</v>
      </c>
      <c r="AS8" t="n">
        <v>6.817458540834695</v>
      </c>
      <c r="AT8" t="n">
        <v>7.926761539364343</v>
      </c>
      <c r="AU8" t="n">
        <v>8.776546268738935</v>
      </c>
      <c r="AV8" t="n">
        <v>7.961446586772968</v>
      </c>
      <c r="AW8" t="n">
        <v>7.687129807230359</v>
      </c>
      <c r="AX8" t="n">
        <v>6.824241189645504</v>
      </c>
      <c r="AY8" t="n">
        <v>6.611559978242499</v>
      </c>
      <c r="AZ8" t="n">
        <v>6.96971376584401</v>
      </c>
      <c r="BA8" t="n">
        <v>5.735816213843001</v>
      </c>
      <c r="BB8" t="n">
        <v>6.966074176903762</v>
      </c>
      <c r="BC8" t="n">
        <v>6.283627958460163</v>
      </c>
      <c r="BD8" t="n">
        <v>7.159108606799697</v>
      </c>
      <c r="BE8" t="n">
        <v>6.362549367155335</v>
      </c>
      <c r="BF8" t="n">
        <v>5.832542900281583</v>
      </c>
    </row>
    <row r="9">
      <c r="A9" s="13" t="n"/>
      <c r="B9" s="13" t="inlineStr">
        <is>
          <t>100030</t>
        </is>
      </c>
      <c r="C9" t="n">
        <v>498.9572867507292</v>
      </c>
      <c r="D9" t="n">
        <v>506.4854097990773</v>
      </c>
      <c r="E9" t="n">
        <v>529.7637974601804</v>
      </c>
      <c r="F9" t="n">
        <v>527.3200655304502</v>
      </c>
      <c r="G9" t="n">
        <v>863.9601052514472</v>
      </c>
      <c r="H9" t="n">
        <v>922.9917256795674</v>
      </c>
      <c r="I9" t="n">
        <v>825.1711760592624</v>
      </c>
      <c r="J9" t="n">
        <v>682.4677483555243</v>
      </c>
      <c r="K9" t="n">
        <v>501.6174040195002</v>
      </c>
      <c r="L9" t="n">
        <v>388.5011022846344</v>
      </c>
      <c r="M9" t="n">
        <v>367.187837480926</v>
      </c>
      <c r="N9" t="n">
        <v>323.0365923130203</v>
      </c>
      <c r="O9" t="n">
        <v>378.100765045795</v>
      </c>
      <c r="P9" t="n">
        <v>430.6342244938488</v>
      </c>
      <c r="Q9" t="n">
        <v>428.7023141471416</v>
      </c>
      <c r="R9" t="n">
        <v>454.7783039780167</v>
      </c>
      <c r="S9" t="n">
        <v>285.4219525997649</v>
      </c>
      <c r="T9" t="n">
        <v>417.9421425987049</v>
      </c>
      <c r="U9" t="n">
        <v>390.7196857920958</v>
      </c>
      <c r="V9" t="n">
        <v>406.5633242433096</v>
      </c>
      <c r="W9" t="n">
        <v>1210.096412766625</v>
      </c>
      <c r="X9" t="n">
        <v>134.066753960656</v>
      </c>
      <c r="Y9" t="n">
        <v>356.9985172832308</v>
      </c>
      <c r="Z9" t="n">
        <v>374.6285124863531</v>
      </c>
      <c r="AA9" t="n">
        <v>171.6503811051979</v>
      </c>
      <c r="AB9" t="n">
        <v>252.6702580715968</v>
      </c>
      <c r="AC9" t="n">
        <v>261.1635243846706</v>
      </c>
      <c r="AD9" t="n">
        <v>179.7524350053569</v>
      </c>
      <c r="AE9" t="n">
        <v>281.4371058062287</v>
      </c>
      <c r="AF9" t="n">
        <v>208.5054499233767</v>
      </c>
      <c r="AG9" t="n">
        <v>528.0019789285735</v>
      </c>
      <c r="AH9" t="n">
        <v>309.4999633529746</v>
      </c>
      <c r="AI9" t="n">
        <v>653.2740105254225</v>
      </c>
      <c r="AJ9" t="n">
        <v>676.3809926144661</v>
      </c>
      <c r="AK9" t="n">
        <v>891.0085367811112</v>
      </c>
      <c r="AL9" t="n">
        <v>797.9913635491737</v>
      </c>
      <c r="AM9" t="n">
        <v>883.5237250652399</v>
      </c>
      <c r="AN9" t="n">
        <v>860.7730269903529</v>
      </c>
      <c r="AO9" t="n">
        <v>905.2760262978139</v>
      </c>
      <c r="AP9" t="n">
        <v>944.1606430566023</v>
      </c>
      <c r="AQ9" t="n">
        <v>1079.370526284083</v>
      </c>
      <c r="AR9" t="n">
        <v>627.200356639876</v>
      </c>
      <c r="AS9" t="n">
        <v>933.4715171311531</v>
      </c>
      <c r="AT9" t="n">
        <v>1511.030499848409</v>
      </c>
      <c r="AU9" t="n">
        <v>934.0708625537668</v>
      </c>
      <c r="AV9" t="n">
        <v>710.9446233154041</v>
      </c>
      <c r="AW9" t="n">
        <v>574.9393583670749</v>
      </c>
      <c r="AX9" t="n">
        <v>449.6064372546334</v>
      </c>
      <c r="AY9" t="n">
        <v>468.7822249022794</v>
      </c>
      <c r="AZ9" t="n">
        <v>405.6278695413174</v>
      </c>
      <c r="BA9" t="n">
        <v>345.9602464119553</v>
      </c>
      <c r="BB9" t="n">
        <v>301.8563860456558</v>
      </c>
      <c r="BC9" t="n">
        <v>318.2174245942338</v>
      </c>
      <c r="BD9" t="n">
        <v>299.2107362947218</v>
      </c>
      <c r="BE9" t="n">
        <v>393.3060062042649</v>
      </c>
      <c r="BF9" t="n">
        <v>267.3317438782369</v>
      </c>
    </row>
    <row r="10">
      <c r="A10" s="13" t="n"/>
      <c r="B10" s="13" t="inlineStr">
        <is>
          <t>100040x100050</t>
        </is>
      </c>
      <c r="C10" t="n">
        <v>50.26855236524994</v>
      </c>
      <c r="D10" t="n">
        <v>49.26340366550837</v>
      </c>
      <c r="E10" t="n">
        <v>43.74722031807703</v>
      </c>
      <c r="F10" t="n">
        <v>45.93823187470539</v>
      </c>
      <c r="G10" t="n">
        <v>48.75867210880281</v>
      </c>
      <c r="H10" t="n">
        <v>41.17518208823805</v>
      </c>
      <c r="I10" t="n">
        <v>44.44627154708277</v>
      </c>
      <c r="J10" t="n">
        <v>35.78811702193305</v>
      </c>
      <c r="K10" t="n">
        <v>31.92434367011059</v>
      </c>
      <c r="L10" t="n">
        <v>34.03693375254427</v>
      </c>
      <c r="M10" t="n">
        <v>31.83967926896405</v>
      </c>
      <c r="N10" t="n">
        <v>34.25778601538488</v>
      </c>
      <c r="O10" t="n">
        <v>35.46351082843242</v>
      </c>
      <c r="P10" t="n">
        <v>63.44636589323377</v>
      </c>
      <c r="Q10" t="n">
        <v>63.04479508405969</v>
      </c>
      <c r="R10" t="n">
        <v>60.88414365127826</v>
      </c>
      <c r="S10" t="n">
        <v>68.56031567325728</v>
      </c>
      <c r="T10" t="n">
        <v>67.55780092653374</v>
      </c>
      <c r="U10" t="n">
        <v>67.22442513451841</v>
      </c>
      <c r="V10" t="n">
        <v>69.17193031773537</v>
      </c>
      <c r="W10" t="n">
        <v>54.56534221499823</v>
      </c>
      <c r="X10" t="n">
        <v>49.22676616587563</v>
      </c>
      <c r="Y10" t="n">
        <v>46.36988416372728</v>
      </c>
      <c r="Z10" t="n">
        <v>48.41445429476742</v>
      </c>
      <c r="AA10" t="n">
        <v>51.0753726943571</v>
      </c>
      <c r="AB10" t="n">
        <v>80.83084683207539</v>
      </c>
      <c r="AC10" t="n">
        <v>128.554993694217</v>
      </c>
      <c r="AD10" t="n">
        <v>99.41097286862663</v>
      </c>
      <c r="AE10" t="n">
        <v>112.2267516656725</v>
      </c>
      <c r="AF10" t="n">
        <v>166.3173147027156</v>
      </c>
      <c r="AG10" t="n">
        <v>136.6255312340683</v>
      </c>
      <c r="AH10" t="n">
        <v>98.05423921814877</v>
      </c>
      <c r="AI10" t="n">
        <v>84.10011014044206</v>
      </c>
      <c r="AJ10" t="n">
        <v>94.27557075729221</v>
      </c>
      <c r="AK10" t="n">
        <v>90.90766128825149</v>
      </c>
      <c r="AL10" t="n">
        <v>86.2847073457548</v>
      </c>
      <c r="AM10" t="n">
        <v>75.15692541718728</v>
      </c>
      <c r="AN10" t="n">
        <v>89.01524823636205</v>
      </c>
      <c r="AO10" t="n">
        <v>103.7172685519319</v>
      </c>
      <c r="AP10" t="n">
        <v>118.4684299096425</v>
      </c>
      <c r="AQ10" t="n">
        <v>77.05978327451639</v>
      </c>
      <c r="AR10" t="n">
        <v>102.1474060331449</v>
      </c>
      <c r="AS10" t="n">
        <v>70.19124045393036</v>
      </c>
      <c r="AT10" t="n">
        <v>83.41684487926456</v>
      </c>
      <c r="AU10" t="n">
        <v>92.28725327784325</v>
      </c>
      <c r="AV10" t="n">
        <v>90.27400183974268</v>
      </c>
      <c r="AW10" t="n">
        <v>87.38990979970183</v>
      </c>
      <c r="AX10" t="n">
        <v>95.78271668039231</v>
      </c>
      <c r="AY10" t="n">
        <v>93.51555296433791</v>
      </c>
      <c r="AZ10" t="n">
        <v>98.97011638642988</v>
      </c>
      <c r="BA10" t="n">
        <v>99.60281966138498</v>
      </c>
      <c r="BB10" t="n">
        <v>92.52817834182937</v>
      </c>
      <c r="BC10" t="n">
        <v>105.1513703796734</v>
      </c>
      <c r="BD10" t="n">
        <v>116.0876959119276</v>
      </c>
      <c r="BE10" t="n">
        <v>152.3438020059447</v>
      </c>
      <c r="BF10" t="n">
        <v>137.1976469229616</v>
      </c>
    </row>
    <row r="11">
      <c r="A11" s="13" t="n"/>
      <c r="B11" s="13" t="inlineStr">
        <is>
          <t>REST</t>
        </is>
      </c>
      <c r="C11" t="n">
        <v>8.341677379258613</v>
      </c>
      <c r="D11" t="n">
        <v>8.207694666091415</v>
      </c>
      <c r="E11" t="n">
        <v>7.94063817132484</v>
      </c>
      <c r="F11" t="n">
        <v>8.096731575627427</v>
      </c>
      <c r="G11" t="n">
        <v>7.474036935944833</v>
      </c>
      <c r="H11" t="n">
        <v>7.072593880680597</v>
      </c>
      <c r="I11" t="n">
        <v>6.853935046935192</v>
      </c>
      <c r="J11" t="n">
        <v>7.12251753324659</v>
      </c>
      <c r="K11" t="n">
        <v>7.975058377699548</v>
      </c>
      <c r="L11" t="n">
        <v>7.731691417811553</v>
      </c>
      <c r="M11" t="n">
        <v>8.368873620446331</v>
      </c>
      <c r="N11" t="n">
        <v>8.567780284111898</v>
      </c>
      <c r="O11" t="n">
        <v>8.714461340003922</v>
      </c>
      <c r="P11" t="n">
        <v>8.909991304510992</v>
      </c>
      <c r="Q11" t="n">
        <v>8.774045917139501</v>
      </c>
      <c r="R11" t="n">
        <v>8.294487616379353</v>
      </c>
      <c r="S11" t="n">
        <v>8.578476575171674</v>
      </c>
      <c r="T11" t="n">
        <v>7.649535654909705</v>
      </c>
      <c r="U11" t="n">
        <v>8.29090334419192</v>
      </c>
      <c r="V11" t="n">
        <v>7.90353974906047</v>
      </c>
      <c r="W11" t="n">
        <v>7.327498251305364</v>
      </c>
      <c r="X11" t="n">
        <v>6.878656424835738</v>
      </c>
      <c r="Y11" t="n">
        <v>6.835900667034852</v>
      </c>
      <c r="Z11" t="n">
        <v>5.980217420136023</v>
      </c>
      <c r="AA11" t="n">
        <v>5.797816570823876</v>
      </c>
      <c r="AB11" t="n">
        <v>8.095959373688169</v>
      </c>
      <c r="AC11" t="n">
        <v>7.648915832564253</v>
      </c>
      <c r="AD11" t="n">
        <v>7.105721937304971</v>
      </c>
      <c r="AE11" t="n">
        <v>8.394174876087659</v>
      </c>
      <c r="AF11" t="n">
        <v>7.647972689995466</v>
      </c>
      <c r="AG11" t="n">
        <v>6.597627470458971</v>
      </c>
      <c r="AH11" t="n">
        <v>6.641574400884347</v>
      </c>
      <c r="AI11" t="n">
        <v>6.460169884497191</v>
      </c>
      <c r="AJ11" t="n">
        <v>6.441890660394758</v>
      </c>
      <c r="AK11" t="n">
        <v>7.299677502014807</v>
      </c>
      <c r="AL11" t="n">
        <v>7.114703581721508</v>
      </c>
      <c r="AM11" t="n">
        <v>7.184721749658759</v>
      </c>
      <c r="AN11" t="n">
        <v>7.608691045228525</v>
      </c>
      <c r="AO11" t="n">
        <v>6.851568679369691</v>
      </c>
      <c r="AP11" t="n">
        <v>7.043691984728755</v>
      </c>
      <c r="AQ11" t="n">
        <v>6.687294168756591</v>
      </c>
      <c r="AR11" t="n">
        <v>6.113209086817031</v>
      </c>
      <c r="AS11" t="n">
        <v>5.410380166574558</v>
      </c>
      <c r="AT11" t="n">
        <v>6.252508462864612</v>
      </c>
      <c r="AU11" t="n">
        <v>6.193935243941642</v>
      </c>
      <c r="AV11" t="n">
        <v>6.082028207289187</v>
      </c>
      <c r="AW11" t="n">
        <v>6.033296115933217</v>
      </c>
      <c r="AX11" t="n">
        <v>6.159390961658911</v>
      </c>
      <c r="AY11" t="n">
        <v>6.006125778940688</v>
      </c>
      <c r="AZ11" t="n">
        <v>5.575485863917736</v>
      </c>
      <c r="BA11" t="n">
        <v>4.880250042076081</v>
      </c>
      <c r="BB11" t="n">
        <v>4.731821899476186</v>
      </c>
      <c r="BC11" t="n">
        <v>4.78973059418681</v>
      </c>
      <c r="BD11" t="n">
        <v>4.754810001100051</v>
      </c>
      <c r="BE11" t="n">
        <v>4.600155809068148</v>
      </c>
      <c r="BF11" t="n">
        <v>4.277441175783804</v>
      </c>
    </row>
    <row r="12">
      <c r="A12" s="13" t="inlineStr">
        <is>
          <t>100030</t>
        </is>
      </c>
      <c r="B12" s="13" t="inlineStr">
        <is>
          <t>010000</t>
        </is>
      </c>
      <c r="C12" t="n">
        <v>1.509113140437071</v>
      </c>
      <c r="D12" t="n">
        <v>1.518394027571879</v>
      </c>
      <c r="E12" t="n">
        <v>1.561397525048507</v>
      </c>
      <c r="F12" t="n">
        <v>1.576188218508728</v>
      </c>
      <c r="G12" t="n">
        <v>1.624634886700466</v>
      </c>
      <c r="H12" t="n">
        <v>1.663787500935931</v>
      </c>
      <c r="I12" t="n">
        <v>1.654048802666444</v>
      </c>
      <c r="J12" t="n">
        <v>1.734232738765109</v>
      </c>
      <c r="K12" t="n">
        <v>1.674322948780702</v>
      </c>
      <c r="L12" t="n">
        <v>1.746915377734263</v>
      </c>
      <c r="M12" t="n">
        <v>1.772715016231931</v>
      </c>
      <c r="N12" t="n">
        <v>1.781731458053361</v>
      </c>
      <c r="O12" t="n">
        <v>1.769537448886179</v>
      </c>
      <c r="P12" t="n">
        <v>1.863321622140397</v>
      </c>
      <c r="Q12" t="n">
        <v>1.848613026356513</v>
      </c>
      <c r="R12" t="n">
        <v>1.833703364784901</v>
      </c>
      <c r="S12" t="n">
        <v>1.849745747373236</v>
      </c>
      <c r="T12" t="n">
        <v>1.856449656820528</v>
      </c>
      <c r="U12" t="n">
        <v>1.874506184889275</v>
      </c>
      <c r="V12" t="n">
        <v>1.905135732081109</v>
      </c>
      <c r="W12" t="n">
        <v>1.983428553830201</v>
      </c>
      <c r="X12" t="n">
        <v>1.91448859968516</v>
      </c>
      <c r="Y12" t="n">
        <v>1.964072896573132</v>
      </c>
      <c r="Z12" t="n">
        <v>2.013048151591142</v>
      </c>
      <c r="AA12" t="n">
        <v>2.033978709908135</v>
      </c>
      <c r="AB12" t="n">
        <v>1.989208895611394</v>
      </c>
      <c r="AC12" t="n">
        <v>1.994404899283662</v>
      </c>
      <c r="AD12" t="n">
        <v>1.773571052850614</v>
      </c>
      <c r="AE12" t="n">
        <v>1.784069626891108</v>
      </c>
      <c r="AF12" t="n">
        <v>1.673897133313202</v>
      </c>
      <c r="AG12" t="n">
        <v>1.687293962203692</v>
      </c>
      <c r="AH12" t="n">
        <v>1.714340924908581</v>
      </c>
      <c r="AI12" t="n">
        <v>1.706239281100196</v>
      </c>
      <c r="AJ12" t="n">
        <v>1.646345780325009</v>
      </c>
      <c r="AK12" t="n">
        <v>1.79044385524069</v>
      </c>
      <c r="AL12" t="n">
        <v>1.704674106736419</v>
      </c>
      <c r="AM12" t="n">
        <v>1.721961237810645</v>
      </c>
      <c r="AN12" t="n">
        <v>1.777050393970591</v>
      </c>
      <c r="AO12" t="n">
        <v>2.016960273459923</v>
      </c>
      <c r="AP12" t="n">
        <v>2.109764257115645</v>
      </c>
      <c r="AQ12" t="n">
        <v>1.984024165869064</v>
      </c>
      <c r="AR12" t="n">
        <v>1.936458774497819</v>
      </c>
      <c r="AS12" t="n">
        <v>2.02577761258124</v>
      </c>
      <c r="AT12" t="n">
        <v>1.896378436372609</v>
      </c>
      <c r="AU12" t="n">
        <v>2.103002346713482</v>
      </c>
      <c r="AV12" t="n">
        <v>2.061121857000412</v>
      </c>
      <c r="AW12" t="n">
        <v>2.000887085452739</v>
      </c>
      <c r="AX12" t="n">
        <v>2.000951407824232</v>
      </c>
      <c r="AY12" t="n">
        <v>2.001048364550555</v>
      </c>
      <c r="AZ12" t="n">
        <v>2.02706939676232</v>
      </c>
      <c r="BA12" t="n">
        <v>2.006063618028474</v>
      </c>
      <c r="BB12" t="n">
        <v>2.011567798249611</v>
      </c>
      <c r="BC12" t="n">
        <v>2.058164884281272</v>
      </c>
      <c r="BD12" t="n">
        <v>2.235441513982783</v>
      </c>
      <c r="BE12" t="n">
        <v>2.173280117633774</v>
      </c>
      <c r="BF12" t="n">
        <v>2.184404861485415</v>
      </c>
    </row>
    <row r="13">
      <c r="A13" s="13" t="n"/>
      <c r="B13" s="13" t="inlineStr">
        <is>
          <t>100010</t>
        </is>
      </c>
      <c r="C13" t="n">
        <v>1254.665519157785</v>
      </c>
      <c r="D13" t="n">
        <v>1318.561625979655</v>
      </c>
      <c r="E13" t="n">
        <v>1271.970901041078</v>
      </c>
      <c r="F13" t="n">
        <v>999.4586224351115</v>
      </c>
      <c r="G13" t="n">
        <v>1227.965173046319</v>
      </c>
      <c r="H13" t="n">
        <v>1239.323721963216</v>
      </c>
      <c r="I13" t="n">
        <v>909.3220031916318</v>
      </c>
      <c r="J13" t="n">
        <v>1178.098459719863</v>
      </c>
      <c r="K13" t="n">
        <v>1474.175218471005</v>
      </c>
      <c r="L13" t="n">
        <v>1494.448072798166</v>
      </c>
      <c r="M13" t="n">
        <v>1406.896904459505</v>
      </c>
      <c r="N13" t="n">
        <v>1394.682538050332</v>
      </c>
      <c r="O13" t="n">
        <v>1112.723035188943</v>
      </c>
      <c r="P13" t="n">
        <v>1154.391422293803</v>
      </c>
      <c r="Q13" t="n">
        <v>1123.509953869187</v>
      </c>
      <c r="R13" t="n">
        <v>1182.248234203267</v>
      </c>
      <c r="S13" t="n">
        <v>992.2576493329711</v>
      </c>
      <c r="T13" t="n">
        <v>882.1945729301086</v>
      </c>
      <c r="U13" t="n">
        <v>857.5686030893221</v>
      </c>
      <c r="V13" t="n">
        <v>758.6732334757592</v>
      </c>
      <c r="W13" t="n">
        <v>748.95785563748</v>
      </c>
      <c r="X13" t="n">
        <v>483.4946584753841</v>
      </c>
      <c r="Y13" t="n">
        <v>477.5923131037991</v>
      </c>
      <c r="Z13" t="n">
        <v>634.5980903003701</v>
      </c>
      <c r="AA13" t="n">
        <v>713.0132566883001</v>
      </c>
      <c r="AB13" t="n">
        <v>852.7656599890061</v>
      </c>
      <c r="AC13" t="n">
        <v>697.9573422073646</v>
      </c>
      <c r="AD13" t="n">
        <v>634.6137834799962</v>
      </c>
      <c r="AE13" t="n">
        <v>678.1088687043913</v>
      </c>
      <c r="AF13" t="n">
        <v>1179.612879734461</v>
      </c>
      <c r="AG13" t="n">
        <v>637.7645957377856</v>
      </c>
      <c r="AH13" t="n">
        <v>1279.742715092707</v>
      </c>
      <c r="AI13" t="n">
        <v>1590.70359749258</v>
      </c>
      <c r="AJ13" t="n">
        <v>2766.266954605012</v>
      </c>
      <c r="AK13" t="n">
        <v>3157.52243079377</v>
      </c>
      <c r="AL13" t="n">
        <v>12096.22699787571</v>
      </c>
      <c r="AM13" t="n">
        <v>2945.82276323681</v>
      </c>
      <c r="AN13" t="n">
        <v>2269.779399607286</v>
      </c>
      <c r="AO13" t="n">
        <v>3430.915182750645</v>
      </c>
      <c r="AP13" t="n">
        <v>3769.775328436515</v>
      </c>
      <c r="AQ13" t="n">
        <v>4120.786275575721</v>
      </c>
      <c r="AR13" t="n">
        <v>2302.882445751242</v>
      </c>
      <c r="AS13" t="n">
        <v>3002.869362770982</v>
      </c>
      <c r="AT13" t="n">
        <v>3031.422101199427</v>
      </c>
      <c r="AU13" t="n">
        <v>3064.822639046925</v>
      </c>
      <c r="AV13" t="n">
        <v>2620.491256075189</v>
      </c>
      <c r="AW13" t="n">
        <v>1040.116983653027</v>
      </c>
      <c r="AX13" t="n">
        <v>1102.015162986981</v>
      </c>
      <c r="AY13" t="n">
        <v>1100.215226938091</v>
      </c>
      <c r="AZ13" t="n">
        <v>1169.311886372086</v>
      </c>
      <c r="BA13" t="n">
        <v>1415.130508405454</v>
      </c>
      <c r="BB13" t="n">
        <v>1670.809917529923</v>
      </c>
      <c r="BC13" t="n">
        <v>2279.736196592724</v>
      </c>
      <c r="BD13" t="n">
        <v>1582.121019457544</v>
      </c>
      <c r="BE13" t="n">
        <v>1252.153969444192</v>
      </c>
      <c r="BF13" t="n">
        <v>917.5619193426202</v>
      </c>
    </row>
    <row r="14">
      <c r="A14" s="13" t="n"/>
      <c r="B14" s="13" t="inlineStr">
        <is>
          <t>100030</t>
        </is>
      </c>
      <c r="C14" t="n">
        <v>7.912360445377578</v>
      </c>
      <c r="D14" t="n">
        <v>8.483334507133387</v>
      </c>
      <c r="E14" t="n">
        <v>8.111601012224515</v>
      </c>
      <c r="F14" t="n">
        <v>7.80236018150721</v>
      </c>
      <c r="G14" t="n">
        <v>7.462024442898431</v>
      </c>
      <c r="H14" t="n">
        <v>6.847206652287091</v>
      </c>
      <c r="I14" t="n">
        <v>6.277008084204436</v>
      </c>
      <c r="J14" t="n">
        <v>5.370261683336808</v>
      </c>
      <c r="K14" t="n">
        <v>5.496338379465949</v>
      </c>
      <c r="L14" t="n">
        <v>4.9878160112217</v>
      </c>
      <c r="M14" t="n">
        <v>4.762660196806618</v>
      </c>
      <c r="N14" t="n">
        <v>4.672235232561478</v>
      </c>
      <c r="O14" t="n">
        <v>4.987820665103992</v>
      </c>
      <c r="P14" t="n">
        <v>4.778796668629406</v>
      </c>
      <c r="Q14" t="n">
        <v>4.71940906613227</v>
      </c>
      <c r="R14" t="n">
        <v>4.909939521804859</v>
      </c>
      <c r="S14" t="n">
        <v>4.722234229056166</v>
      </c>
      <c r="T14" t="n">
        <v>4.707319584252754</v>
      </c>
      <c r="U14" t="n">
        <v>4.430539490472237</v>
      </c>
      <c r="V14" t="n">
        <v>4.147606263045533</v>
      </c>
      <c r="W14" t="n">
        <v>4.10168991196597</v>
      </c>
      <c r="X14" t="n">
        <v>3.909665316584399</v>
      </c>
      <c r="Y14" t="n">
        <v>3.827094106260334</v>
      </c>
      <c r="Z14" t="n">
        <v>3.814603844885398</v>
      </c>
      <c r="AA14" t="n">
        <v>3.911363205671595</v>
      </c>
      <c r="AB14" t="n">
        <v>4.134386708160276</v>
      </c>
      <c r="AC14" t="n">
        <v>3.940086052541919</v>
      </c>
      <c r="AD14" t="n">
        <v>7.176826920867565</v>
      </c>
      <c r="AE14" t="n">
        <v>6.786959739366939</v>
      </c>
      <c r="AF14" t="n">
        <v>7.016198582886</v>
      </c>
      <c r="AG14" t="n">
        <v>6.213484647341669</v>
      </c>
      <c r="AH14" t="n">
        <v>6.289533830847104</v>
      </c>
      <c r="AI14" t="n">
        <v>6.984927672742885</v>
      </c>
      <c r="AJ14" t="n">
        <v>7.387721931431501</v>
      </c>
      <c r="AK14" t="n">
        <v>5.522666648469308</v>
      </c>
      <c r="AL14" t="n">
        <v>5.458171514012824</v>
      </c>
      <c r="AM14" t="n">
        <v>5.754655951610336</v>
      </c>
      <c r="AN14" t="n">
        <v>5.155790045109357</v>
      </c>
      <c r="AO14" t="n">
        <v>4.59017253393486</v>
      </c>
      <c r="AP14" t="n">
        <v>4.62550116879816</v>
      </c>
      <c r="AQ14" t="n">
        <v>4.581861899094026</v>
      </c>
      <c r="AR14" t="n">
        <v>4.704009049577969</v>
      </c>
      <c r="AS14" t="n">
        <v>4.366365679586301</v>
      </c>
      <c r="AT14" t="n">
        <v>4.708943201032646</v>
      </c>
      <c r="AU14" t="n">
        <v>4.444647673284205</v>
      </c>
      <c r="AV14" t="n">
        <v>4.443826115652977</v>
      </c>
      <c r="AW14" t="n">
        <v>4.727059486980441</v>
      </c>
      <c r="AX14" t="n">
        <v>5.154085109936778</v>
      </c>
      <c r="AY14" t="n">
        <v>5.002568512127695</v>
      </c>
      <c r="AZ14" t="n">
        <v>5.644635460270356</v>
      </c>
      <c r="BA14" t="n">
        <v>5.790970320123498</v>
      </c>
      <c r="BB14" t="n">
        <v>5.716235940782256</v>
      </c>
      <c r="BC14" t="n">
        <v>5.374911307502228</v>
      </c>
      <c r="BD14" t="n">
        <v>4.902849536069323</v>
      </c>
      <c r="BE14" t="n">
        <v>4.759797687383464</v>
      </c>
      <c r="BF14" t="n">
        <v>4.845776847066338</v>
      </c>
    </row>
    <row r="15">
      <c r="A15" s="13" t="n"/>
      <c r="B15" s="13" t="inlineStr">
        <is>
          <t>100040x100050</t>
        </is>
      </c>
      <c r="C15" t="n">
        <v>84.731196480348</v>
      </c>
      <c r="D15" t="n">
        <v>82.12675347391951</v>
      </c>
      <c r="E15" t="n">
        <v>82.29529397384719</v>
      </c>
      <c r="F15" t="n">
        <v>79.40779727016205</v>
      </c>
      <c r="G15" t="n">
        <v>77.35860228991417</v>
      </c>
      <c r="H15" t="n">
        <v>69.5629769183828</v>
      </c>
      <c r="I15" t="n">
        <v>95.6581962189936</v>
      </c>
      <c r="J15" t="n">
        <v>69.71559179163492</v>
      </c>
      <c r="K15" t="n">
        <v>57.53587164726991</v>
      </c>
      <c r="L15" t="n">
        <v>53.79059489549867</v>
      </c>
      <c r="M15" t="n">
        <v>49.22044503838784</v>
      </c>
      <c r="N15" t="n">
        <v>52.17036404967814</v>
      </c>
      <c r="O15" t="n">
        <v>55.96138423538565</v>
      </c>
      <c r="P15" t="n">
        <v>53.0986702163534</v>
      </c>
      <c r="Q15" t="n">
        <v>57.4316379083826</v>
      </c>
      <c r="R15" t="n">
        <v>60.75668307472134</v>
      </c>
      <c r="S15" t="n">
        <v>57.1475049594597</v>
      </c>
      <c r="T15" t="n">
        <v>55.6744496916689</v>
      </c>
      <c r="U15" t="n">
        <v>48.69802556873849</v>
      </c>
      <c r="V15" t="n">
        <v>47.08403534937209</v>
      </c>
      <c r="W15" t="n">
        <v>42.06015448301963</v>
      </c>
      <c r="X15" t="n">
        <v>47.09427228024051</v>
      </c>
      <c r="Y15" t="n">
        <v>40.99977300025974</v>
      </c>
      <c r="Z15" t="n">
        <v>35.55797520671945</v>
      </c>
      <c r="AA15" t="n">
        <v>29.90933322273305</v>
      </c>
      <c r="AB15" t="n">
        <v>30.09850021760116</v>
      </c>
      <c r="AC15" t="n">
        <v>25.48558628583153</v>
      </c>
      <c r="AD15" t="n">
        <v>17.68994912882239</v>
      </c>
      <c r="AE15" t="n">
        <v>18.48816263895501</v>
      </c>
      <c r="AF15" t="n">
        <v>28.37354251873972</v>
      </c>
      <c r="AG15" t="n">
        <v>33.76348020419066</v>
      </c>
      <c r="AH15" t="n">
        <v>34.7976118579928</v>
      </c>
      <c r="AI15" t="n">
        <v>30.31423396297568</v>
      </c>
      <c r="AJ15" t="n">
        <v>36.58312861022072</v>
      </c>
      <c r="AK15" t="n">
        <v>32.66939084573242</v>
      </c>
      <c r="AL15" t="n">
        <v>43.3489447004518</v>
      </c>
      <c r="AM15" t="n">
        <v>35.60682903722272</v>
      </c>
      <c r="AN15" t="n">
        <v>33.91931258821306</v>
      </c>
      <c r="AO15" t="n">
        <v>33.84288727071376</v>
      </c>
      <c r="AP15" t="n">
        <v>35.0707875809417</v>
      </c>
      <c r="AQ15" t="n">
        <v>26.00851343241817</v>
      </c>
      <c r="AR15" t="n">
        <v>24.88176607948179</v>
      </c>
      <c r="AS15" t="n">
        <v>25.67451480346012</v>
      </c>
      <c r="AT15" t="n">
        <v>27.16958586940954</v>
      </c>
      <c r="AU15" t="n">
        <v>31.01400209859389</v>
      </c>
      <c r="AV15" t="n">
        <v>31.44066005586731</v>
      </c>
      <c r="AW15" t="n">
        <v>28.16063341611119</v>
      </c>
      <c r="AX15" t="n">
        <v>28.07944303555389</v>
      </c>
      <c r="AY15" t="n">
        <v>28.70519562445729</v>
      </c>
      <c r="AZ15" t="n">
        <v>31.65575791675535</v>
      </c>
      <c r="BA15" t="n">
        <v>33.47358606800461</v>
      </c>
      <c r="BB15" t="n">
        <v>31.16732239949576</v>
      </c>
      <c r="BC15" t="n">
        <v>28.54734922145175</v>
      </c>
      <c r="BD15" t="n">
        <v>25.14922667861425</v>
      </c>
      <c r="BE15" t="n">
        <v>23.98759000810695</v>
      </c>
      <c r="BF15" t="n">
        <v>23.13699189060759</v>
      </c>
    </row>
    <row r="16">
      <c r="A16" s="13" t="n"/>
      <c r="B16" s="13" t="inlineStr">
        <is>
          <t>REST</t>
        </is>
      </c>
      <c r="C16" t="n">
        <v>6.456927230824034</v>
      </c>
      <c r="D16" t="n">
        <v>5.991852685778177</v>
      </c>
      <c r="E16" t="n">
        <v>5.494122813224836</v>
      </c>
      <c r="F16" t="n">
        <v>5.454139023825666</v>
      </c>
      <c r="G16" t="n">
        <v>4.966260309485218</v>
      </c>
      <c r="H16" t="n">
        <v>4.844302102178365</v>
      </c>
      <c r="I16" t="n">
        <v>5.11528137667418</v>
      </c>
      <c r="J16" t="n">
        <v>4.9418379614422</v>
      </c>
      <c r="K16" t="n">
        <v>5.676348012035882</v>
      </c>
      <c r="L16" t="n">
        <v>5.342135922075061</v>
      </c>
      <c r="M16" t="n">
        <v>5.373364890979346</v>
      </c>
      <c r="N16" t="n">
        <v>5.33986868897836</v>
      </c>
      <c r="O16" t="n">
        <v>5.052802236646862</v>
      </c>
      <c r="P16" t="n">
        <v>4.407673152665226</v>
      </c>
      <c r="Q16" t="n">
        <v>4.544093283919652</v>
      </c>
      <c r="R16" t="n">
        <v>4.462884754117487</v>
      </c>
      <c r="S16" t="n">
        <v>4.537486580057609</v>
      </c>
      <c r="T16" t="n">
        <v>4.512240233604264</v>
      </c>
      <c r="U16" t="n">
        <v>4.741005517325585</v>
      </c>
      <c r="V16" t="n">
        <v>4.877060535892057</v>
      </c>
      <c r="W16" t="n">
        <v>4.382453857018092</v>
      </c>
      <c r="X16" t="n">
        <v>5.221915367527253</v>
      </c>
      <c r="Y16" t="n">
        <v>4.964309859058236</v>
      </c>
      <c r="Z16" t="n">
        <v>4.644451946159435</v>
      </c>
      <c r="AA16" t="n">
        <v>4.467798346327514</v>
      </c>
      <c r="AB16" t="n">
        <v>4.463310964602459</v>
      </c>
      <c r="AC16" t="n">
        <v>4.857047168818115</v>
      </c>
      <c r="AD16" t="n">
        <v>4.316877077117836</v>
      </c>
      <c r="AE16" t="n">
        <v>4.342589908669942</v>
      </c>
      <c r="AF16" t="n">
        <v>4.672226501916802</v>
      </c>
      <c r="AG16" t="n">
        <v>4.840013089043685</v>
      </c>
      <c r="AH16" t="n">
        <v>4.519652381063941</v>
      </c>
      <c r="AI16" t="n">
        <v>4.374794905768049</v>
      </c>
      <c r="AJ16" t="n">
        <v>4.575124504371682</v>
      </c>
      <c r="AK16" t="n">
        <v>4.405040592828191</v>
      </c>
      <c r="AL16" t="n">
        <v>4.951287555233598</v>
      </c>
      <c r="AM16" t="n">
        <v>4.711440333376846</v>
      </c>
      <c r="AN16" t="n">
        <v>4.74460604116794</v>
      </c>
      <c r="AO16" t="n">
        <v>3.927462698042942</v>
      </c>
      <c r="AP16" t="n">
        <v>3.614851414788462</v>
      </c>
      <c r="AQ16" t="n">
        <v>4.186225882923287</v>
      </c>
      <c r="AR16" t="n">
        <v>4.340830633646036</v>
      </c>
      <c r="AS16" t="n">
        <v>4.151620474793648</v>
      </c>
      <c r="AT16" t="n">
        <v>4.385071812205442</v>
      </c>
      <c r="AU16" t="n">
        <v>3.678019233054938</v>
      </c>
      <c r="AV16" t="n">
        <v>3.805246057058274</v>
      </c>
      <c r="AW16" t="n">
        <v>3.915430719886961</v>
      </c>
      <c r="AX16" t="n">
        <v>3.68917774422704</v>
      </c>
      <c r="AY16" t="n">
        <v>3.754920429917957</v>
      </c>
      <c r="AZ16" t="n">
        <v>3.380193160640452</v>
      </c>
      <c r="BA16" t="n">
        <v>3.361300414438375</v>
      </c>
      <c r="BB16" t="n">
        <v>3.394445305124624</v>
      </c>
      <c r="BC16" t="n">
        <v>3.415983534526577</v>
      </c>
      <c r="BD16" t="n">
        <v>3.243558769719522</v>
      </c>
      <c r="BE16" t="n">
        <v>3.480849120034359</v>
      </c>
      <c r="BF16" t="n">
        <v>3.434065062236884</v>
      </c>
    </row>
    <row r="17">
      <c r="A17" s="13" t="inlineStr">
        <is>
          <t>100040x100050</t>
        </is>
      </c>
      <c r="B17" s="13" t="inlineStr">
        <is>
          <t>010000</t>
        </is>
      </c>
      <c r="C17" t="n">
        <v>4.96647037088969</v>
      </c>
      <c r="D17" t="n">
        <v>6.109520455688703</v>
      </c>
      <c r="E17" t="n">
        <v>6.255790458229977</v>
      </c>
      <c r="F17" t="n">
        <v>5.944466603416463</v>
      </c>
      <c r="G17" t="n">
        <v>6.455087297643721</v>
      </c>
      <c r="H17" t="n">
        <v>7.272744683977982</v>
      </c>
      <c r="I17" t="n">
        <v>6.260840742510955</v>
      </c>
      <c r="J17" t="n">
        <v>7.064191561595415</v>
      </c>
      <c r="K17" t="n">
        <v>7.245539000137716</v>
      </c>
      <c r="L17" t="n">
        <v>6.950854175436944</v>
      </c>
      <c r="M17" t="n">
        <v>7.253211456763261</v>
      </c>
      <c r="N17" t="n">
        <v>6.410418149023662</v>
      </c>
      <c r="O17" t="n">
        <v>7.580927217471788</v>
      </c>
      <c r="P17" t="n">
        <v>7.993901525245989</v>
      </c>
      <c r="Q17" t="n">
        <v>8.65372676273283</v>
      </c>
      <c r="R17" t="n">
        <v>8.112903773043527</v>
      </c>
      <c r="S17" t="n">
        <v>7.288108418766104</v>
      </c>
      <c r="T17" t="n">
        <v>7.974808578460824</v>
      </c>
      <c r="U17" t="n">
        <v>8.438800500245131</v>
      </c>
      <c r="V17" t="n">
        <v>8.781336552067277</v>
      </c>
      <c r="W17" t="n">
        <v>9.632704141038651</v>
      </c>
      <c r="X17" t="n">
        <v>9.915967780489046</v>
      </c>
      <c r="Y17" t="n">
        <v>8.973600043143946</v>
      </c>
      <c r="Z17" t="n">
        <v>8.919199177625689</v>
      </c>
      <c r="AA17" t="n">
        <v>8.520522982323156</v>
      </c>
      <c r="AB17" t="n">
        <v>9.109759871486162</v>
      </c>
      <c r="AC17" t="n">
        <v>7.916274018826048</v>
      </c>
      <c r="AD17" t="n">
        <v>6.912254209182757</v>
      </c>
      <c r="AE17" t="n">
        <v>7.873065656210541</v>
      </c>
      <c r="AF17" t="n">
        <v>7.348723754877322</v>
      </c>
      <c r="AG17" t="n">
        <v>6.699580036010371</v>
      </c>
      <c r="AH17" t="n">
        <v>6.76573684535078</v>
      </c>
      <c r="AI17" t="n">
        <v>6.788755696748781</v>
      </c>
      <c r="AJ17" t="n">
        <v>7.437427525499334</v>
      </c>
      <c r="AK17" t="n">
        <v>7.587789357289212</v>
      </c>
      <c r="AL17" t="n">
        <v>4.936167863529495</v>
      </c>
      <c r="AM17" t="n">
        <v>4.692761315743364</v>
      </c>
      <c r="AN17" t="n">
        <v>4.864743676633941</v>
      </c>
      <c r="AO17" t="n">
        <v>5.149478972964994</v>
      </c>
      <c r="AP17" t="n">
        <v>5.082206927982647</v>
      </c>
      <c r="AQ17" t="n">
        <v>5.095686694740023</v>
      </c>
      <c r="AR17" t="n">
        <v>4.747073502557985</v>
      </c>
      <c r="AS17" t="n">
        <v>5.33020237842121</v>
      </c>
      <c r="AT17" t="n">
        <v>5.444801923940479</v>
      </c>
      <c r="AU17" t="n">
        <v>5.924361846866116</v>
      </c>
      <c r="AV17" t="n">
        <v>5.306112787537146</v>
      </c>
      <c r="AW17" t="n">
        <v>5.295685771085749</v>
      </c>
      <c r="AX17" t="n">
        <v>4.73507970123222</v>
      </c>
      <c r="AY17" t="n">
        <v>4.811922347348538</v>
      </c>
      <c r="AZ17" t="n">
        <v>5.858794270579062</v>
      </c>
      <c r="BA17" t="n">
        <v>4.90009265206152</v>
      </c>
      <c r="BB17" t="n">
        <v>5.735399737971743</v>
      </c>
      <c r="BC17" t="n">
        <v>4.86579307614206</v>
      </c>
      <c r="BD17" t="n">
        <v>5.191094830699607</v>
      </c>
      <c r="BE17" t="n">
        <v>5.554070609362065</v>
      </c>
      <c r="BF17" t="n">
        <v>5.286498392910323</v>
      </c>
    </row>
    <row r="18">
      <c r="A18" s="13" t="n"/>
      <c r="B18" s="13" t="inlineStr">
        <is>
          <t>100010</t>
        </is>
      </c>
      <c r="C18" t="n">
        <v>7.04438328195373</v>
      </c>
      <c r="D18" t="n">
        <v>5.667848716935397</v>
      </c>
      <c r="E18" t="n">
        <v>5.890964832471285</v>
      </c>
      <c r="F18" t="n">
        <v>5.871111862245619</v>
      </c>
      <c r="G18" t="n">
        <v>5.594658300069292</v>
      </c>
      <c r="H18" t="n">
        <v>5.32966476211227</v>
      </c>
      <c r="I18" t="n">
        <v>6.067894501289546</v>
      </c>
      <c r="J18" t="n">
        <v>5.841420880909681</v>
      </c>
      <c r="K18" t="n">
        <v>6.30413091032815</v>
      </c>
      <c r="L18" t="n">
        <v>6.317274763065885</v>
      </c>
      <c r="M18" t="n">
        <v>5.895622471673738</v>
      </c>
      <c r="N18" t="n">
        <v>6.078033504329738</v>
      </c>
      <c r="O18" t="n">
        <v>4.489861819106304</v>
      </c>
      <c r="P18" t="n">
        <v>4.192598059659313</v>
      </c>
      <c r="Q18" t="n">
        <v>4.092345927547009</v>
      </c>
      <c r="R18" t="n">
        <v>5.190997213971899</v>
      </c>
      <c r="S18" t="n">
        <v>8.221026581553112</v>
      </c>
      <c r="T18" t="n">
        <v>8.331123465087169</v>
      </c>
      <c r="U18" t="n">
        <v>6.133779248237959</v>
      </c>
      <c r="V18" t="n">
        <v>5.692629139759972</v>
      </c>
      <c r="W18" t="n">
        <v>5.874284073098886</v>
      </c>
      <c r="X18" t="n">
        <v>6.451344266459793</v>
      </c>
      <c r="Y18" t="n">
        <v>7.257327475278547</v>
      </c>
      <c r="Z18" t="n">
        <v>6.684508331404732</v>
      </c>
      <c r="AA18" t="n">
        <v>7.759414605978721</v>
      </c>
      <c r="AB18" t="n">
        <v>6.570401332015107</v>
      </c>
      <c r="AC18" t="n">
        <v>7.149023638059885</v>
      </c>
      <c r="AD18" t="n">
        <v>15.85889235163627</v>
      </c>
      <c r="AE18" t="n">
        <v>7.943989161569815</v>
      </c>
      <c r="AF18" t="n">
        <v>10.02600978849144</v>
      </c>
      <c r="AG18" t="n">
        <v>11.47561833677743</v>
      </c>
      <c r="AH18" t="n">
        <v>10.30994824539051</v>
      </c>
      <c r="AI18" t="n">
        <v>16.38458139380017</v>
      </c>
      <c r="AJ18" t="n">
        <v>11.97109525765946</v>
      </c>
      <c r="AK18" t="n">
        <v>12.24293495579199</v>
      </c>
      <c r="AL18" t="n">
        <v>13.30409180404242</v>
      </c>
      <c r="AM18" t="n">
        <v>13.3144350472337</v>
      </c>
      <c r="AN18" t="n">
        <v>11.90801202253994</v>
      </c>
      <c r="AO18" t="n">
        <v>13.97705098856283</v>
      </c>
      <c r="AP18" t="n">
        <v>14.72197730566961</v>
      </c>
      <c r="AQ18" t="n">
        <v>15.53831254578312</v>
      </c>
      <c r="AR18" t="n">
        <v>19.17999104220628</v>
      </c>
      <c r="AS18" t="n">
        <v>34.77663962219636</v>
      </c>
      <c r="AT18" t="n">
        <v>21.04289683071126</v>
      </c>
      <c r="AU18" t="n">
        <v>25.09000648775091</v>
      </c>
      <c r="AV18" t="n">
        <v>22.66835372910052</v>
      </c>
      <c r="AW18" t="n">
        <v>20.42350984019085</v>
      </c>
      <c r="AX18" t="n">
        <v>20.6157517167195</v>
      </c>
      <c r="AY18" t="n">
        <v>23.44775293041229</v>
      </c>
      <c r="AZ18" t="n">
        <v>22.64141471652361</v>
      </c>
      <c r="BA18" t="n">
        <v>25.83931429512891</v>
      </c>
      <c r="BB18" t="n">
        <v>22.46835656738351</v>
      </c>
      <c r="BC18" t="n">
        <v>24.41434021083342</v>
      </c>
      <c r="BD18" t="n">
        <v>25.08222710832237</v>
      </c>
      <c r="BE18" t="n">
        <v>24.77887494634644</v>
      </c>
      <c r="BF18" t="n">
        <v>22.70693959342743</v>
      </c>
    </row>
    <row r="19">
      <c r="A19" s="13" t="n"/>
      <c r="B19" s="13" t="inlineStr">
        <is>
          <t>100030</t>
        </is>
      </c>
      <c r="C19" t="n">
        <v>45.95323331872819</v>
      </c>
      <c r="D19" t="n">
        <v>36.1295783887306</v>
      </c>
      <c r="E19" t="n">
        <v>37.74123936970788</v>
      </c>
      <c r="F19" t="n">
        <v>31.20882693593109</v>
      </c>
      <c r="G19" t="n">
        <v>41.91836233871083</v>
      </c>
      <c r="H19" t="n">
        <v>36.91139664400038</v>
      </c>
      <c r="I19" t="n">
        <v>33.00456360845828</v>
      </c>
      <c r="J19" t="n">
        <v>38.27323022944913</v>
      </c>
      <c r="K19" t="n">
        <v>33.38246159208025</v>
      </c>
      <c r="L19" t="n">
        <v>30.40358329049552</v>
      </c>
      <c r="M19" t="n">
        <v>29.56797765550851</v>
      </c>
      <c r="N19" t="n">
        <v>22.39639304464</v>
      </c>
      <c r="O19" t="n">
        <v>29.5830973756634</v>
      </c>
      <c r="P19" t="n">
        <v>30.79123142878089</v>
      </c>
      <c r="Q19" t="n">
        <v>36.05959112375314</v>
      </c>
      <c r="R19" t="n">
        <v>38.74115725241558</v>
      </c>
      <c r="S19" t="n">
        <v>35.70852661919115</v>
      </c>
      <c r="T19" t="n">
        <v>30.3887978322574</v>
      </c>
      <c r="U19" t="n">
        <v>31.16660518362744</v>
      </c>
      <c r="V19" t="n">
        <v>36.94295454687276</v>
      </c>
      <c r="W19" t="n">
        <v>31.9317367513759</v>
      </c>
      <c r="X19" t="n">
        <v>23.17435731125189</v>
      </c>
      <c r="Y19" t="n">
        <v>27.09890178664873</v>
      </c>
      <c r="Z19" t="n">
        <v>28.23485681012374</v>
      </c>
      <c r="AA19" t="n">
        <v>32.11640156385571</v>
      </c>
      <c r="AB19" t="n">
        <v>43.5311548989797</v>
      </c>
      <c r="AC19" t="n">
        <v>43.51831401959967</v>
      </c>
      <c r="AD19" t="n">
        <v>28.90619438663472</v>
      </c>
      <c r="AE19" t="n">
        <v>29.20641853190023</v>
      </c>
      <c r="AF19" t="n">
        <v>35.5366424002783</v>
      </c>
      <c r="AG19" t="n">
        <v>38.44269191668815</v>
      </c>
      <c r="AH19" t="n">
        <v>35.13484022318448</v>
      </c>
      <c r="AI19" t="n">
        <v>35.49997198552437</v>
      </c>
      <c r="AJ19" t="n">
        <v>36.18138579261534</v>
      </c>
      <c r="AK19" t="n">
        <v>28.2519275724649</v>
      </c>
      <c r="AL19" t="n">
        <v>35.41433613316897</v>
      </c>
      <c r="AM19" t="n">
        <v>30.34080201182539</v>
      </c>
      <c r="AN19" t="n">
        <v>30.91813044095848</v>
      </c>
      <c r="AO19" t="n">
        <v>32.59528516630373</v>
      </c>
      <c r="AP19" t="n">
        <v>27.59391418456898</v>
      </c>
      <c r="AQ19" t="n">
        <v>31.11224236888141</v>
      </c>
      <c r="AR19" t="n">
        <v>30.33576005293003</v>
      </c>
      <c r="AS19" t="n">
        <v>27.46841600176257</v>
      </c>
      <c r="AT19" t="n">
        <v>40.26237031806566</v>
      </c>
      <c r="AU19" t="n">
        <v>33.50004404128813</v>
      </c>
      <c r="AV19" t="n">
        <v>35.42540183263657</v>
      </c>
      <c r="AW19" t="n">
        <v>35.04746068118742</v>
      </c>
      <c r="AX19" t="n">
        <v>34.919091130138</v>
      </c>
      <c r="AY19" t="n">
        <v>37.38786815994482</v>
      </c>
      <c r="AZ19" t="n">
        <v>41.97030436551571</v>
      </c>
      <c r="BA19" t="n">
        <v>47.55559532657472</v>
      </c>
      <c r="BB19" t="n">
        <v>46.32692505360309</v>
      </c>
      <c r="BC19" t="n">
        <v>15.16629049504772</v>
      </c>
      <c r="BD19" t="n">
        <v>36.47059136690491</v>
      </c>
      <c r="BE19" t="n">
        <v>35.41419999720696</v>
      </c>
      <c r="BF19" t="n">
        <v>33.30288542633652</v>
      </c>
    </row>
    <row r="20">
      <c r="A20" s="13" t="n"/>
      <c r="B20" s="13" t="inlineStr">
        <is>
          <t>100040x100050</t>
        </is>
      </c>
      <c r="C20" t="n">
        <v>4.686988281397515</v>
      </c>
      <c r="D20" t="n">
        <v>4.794493656564885</v>
      </c>
      <c r="E20" t="n">
        <v>4.471639399918193</v>
      </c>
      <c r="F20" t="n">
        <v>4.688560879540851</v>
      </c>
      <c r="G20" t="n">
        <v>4.544876111931065</v>
      </c>
      <c r="H20" t="n">
        <v>4.294305303596563</v>
      </c>
      <c r="I20" t="n">
        <v>4.341997225043688</v>
      </c>
      <c r="J20" t="n">
        <v>4.489352153592749</v>
      </c>
      <c r="K20" t="n">
        <v>4.16212177346962</v>
      </c>
      <c r="L20" t="n">
        <v>4.234574861346645</v>
      </c>
      <c r="M20" t="n">
        <v>4.206174624849836</v>
      </c>
      <c r="N20" t="n">
        <v>4.63707776258449</v>
      </c>
      <c r="O20" t="n">
        <v>5.059170894889877</v>
      </c>
      <c r="P20" t="n">
        <v>5.190021914665516</v>
      </c>
      <c r="Q20" t="n">
        <v>4.975832426984571</v>
      </c>
      <c r="R20" t="n">
        <v>4.505755295658803</v>
      </c>
      <c r="S20" t="n">
        <v>3.849819775419237</v>
      </c>
      <c r="T20" t="n">
        <v>3.800923947332445</v>
      </c>
      <c r="U20" t="n">
        <v>3.958527129670587</v>
      </c>
      <c r="V20" t="n">
        <v>4.091710087548401</v>
      </c>
      <c r="W20" t="n">
        <v>4.101464111832642</v>
      </c>
      <c r="X20" t="n">
        <v>4.068415526664873</v>
      </c>
      <c r="Y20" t="n">
        <v>4.163833360157829</v>
      </c>
      <c r="Z20" t="n">
        <v>4.181534477723065</v>
      </c>
      <c r="AA20" t="n">
        <v>3.971443440557891</v>
      </c>
      <c r="AB20" t="n">
        <v>4.132973067333127</v>
      </c>
      <c r="AC20" t="n">
        <v>3.944700893277097</v>
      </c>
      <c r="AD20" t="n">
        <v>3.618638386694562</v>
      </c>
      <c r="AE20" t="n">
        <v>3.564169442396199</v>
      </c>
      <c r="AF20" t="n">
        <v>3.696723945752481</v>
      </c>
      <c r="AG20" t="n">
        <v>3.938870411993484</v>
      </c>
      <c r="AH20" t="n">
        <v>3.906802912630752</v>
      </c>
      <c r="AI20" t="n">
        <v>3.845914242518715</v>
      </c>
      <c r="AJ20" t="n">
        <v>3.741111444869489</v>
      </c>
      <c r="AK20" t="n">
        <v>3.820883965412703</v>
      </c>
      <c r="AL20" t="n">
        <v>4.369773694511554</v>
      </c>
      <c r="AM20" t="n">
        <v>4.352363346529651</v>
      </c>
      <c r="AN20" t="n">
        <v>4.281726990528163</v>
      </c>
      <c r="AO20" t="n">
        <v>4.056431670977251</v>
      </c>
      <c r="AP20" t="n">
        <v>3.982204368589885</v>
      </c>
      <c r="AQ20" t="n">
        <v>3.796711844155743</v>
      </c>
      <c r="AR20" t="n">
        <v>3.750752444323083</v>
      </c>
      <c r="AS20" t="n">
        <v>3.584400659279767</v>
      </c>
      <c r="AT20" t="n">
        <v>3.465988970976327</v>
      </c>
      <c r="AU20" t="n">
        <v>3.315146576083389</v>
      </c>
      <c r="AV20" t="n">
        <v>3.374900813408201</v>
      </c>
      <c r="AW20" t="n">
        <v>3.399249939223003</v>
      </c>
      <c r="AX20" t="n">
        <v>3.508693226865562</v>
      </c>
      <c r="AY20" t="n">
        <v>3.459263294970923</v>
      </c>
      <c r="AZ20" t="n">
        <v>3.462237109220431</v>
      </c>
      <c r="BA20" t="n">
        <v>3.416351201787155</v>
      </c>
      <c r="BB20" t="n">
        <v>3.221459585666222</v>
      </c>
      <c r="BC20" t="n">
        <v>3.779883845970957</v>
      </c>
      <c r="BD20" t="n">
        <v>3.32680385380799</v>
      </c>
      <c r="BE20" t="n">
        <v>3.453528581157293</v>
      </c>
      <c r="BF20" t="n">
        <v>3.670109985859826</v>
      </c>
    </row>
    <row r="21">
      <c r="A21" s="13" t="n"/>
      <c r="B21" s="13" t="inlineStr">
        <is>
          <t>REST</t>
        </is>
      </c>
      <c r="C21" t="n">
        <v>2.642973894980551</v>
      </c>
      <c r="D21" t="n">
        <v>2.372408011507078</v>
      </c>
      <c r="E21" t="n">
        <v>2.360816227546378</v>
      </c>
      <c r="F21" t="n">
        <v>2.442663897295245</v>
      </c>
      <c r="G21" t="n">
        <v>2.355438190898926</v>
      </c>
      <c r="H21" t="n">
        <v>2.328194256105478</v>
      </c>
      <c r="I21" t="n">
        <v>2.411168977955287</v>
      </c>
      <c r="J21" t="n">
        <v>2.146398028930743</v>
      </c>
      <c r="K21" t="n">
        <v>2.136692956108648</v>
      </c>
      <c r="L21" t="n">
        <v>2.19106569528244</v>
      </c>
      <c r="M21" t="n">
        <v>2.241937393287427</v>
      </c>
      <c r="N21" t="n">
        <v>2.358422973963172</v>
      </c>
      <c r="O21" t="n">
        <v>2.451722666391447</v>
      </c>
      <c r="P21" t="n">
        <v>2.453572579562599</v>
      </c>
      <c r="Q21" t="n">
        <v>2.411003688265716</v>
      </c>
      <c r="R21" t="n">
        <v>2.209346770203307</v>
      </c>
      <c r="S21" t="n">
        <v>2.055327316260679</v>
      </c>
      <c r="T21" t="n">
        <v>1.964658160908747</v>
      </c>
      <c r="U21" t="n">
        <v>2.124959334623551</v>
      </c>
      <c r="V21" t="n">
        <v>2.097820761732442</v>
      </c>
      <c r="W21" t="n">
        <v>1.985300956637159</v>
      </c>
      <c r="X21" t="n">
        <v>1.93197598634896</v>
      </c>
      <c r="Y21" t="n">
        <v>1.884893595957638</v>
      </c>
      <c r="Z21" t="n">
        <v>1.942500036936316</v>
      </c>
      <c r="AA21" t="n">
        <v>1.912818622907788</v>
      </c>
      <c r="AB21" t="n">
        <v>1.905672112080564</v>
      </c>
      <c r="AC21" t="n">
        <v>2.007743020125472</v>
      </c>
      <c r="AD21" t="n">
        <v>1.966779604686181</v>
      </c>
      <c r="AE21" t="n">
        <v>2.13283182979209</v>
      </c>
      <c r="AF21" t="n">
        <v>2.007379017030425</v>
      </c>
      <c r="AG21" t="n">
        <v>1.955389144153758</v>
      </c>
      <c r="AH21" t="n">
        <v>2.005245390196332</v>
      </c>
      <c r="AI21" t="n">
        <v>1.897020684413581</v>
      </c>
      <c r="AJ21" t="n">
        <v>1.923693975910621</v>
      </c>
      <c r="AK21" t="n">
        <v>1.909219327444384</v>
      </c>
      <c r="AL21" t="n">
        <v>2.120046369988474</v>
      </c>
      <c r="AM21" t="n">
        <v>2.208443646220835</v>
      </c>
      <c r="AN21" t="n">
        <v>2.21361999135826</v>
      </c>
      <c r="AO21" t="n">
        <v>2.149615714987267</v>
      </c>
      <c r="AP21" t="n">
        <v>2.188819267297943</v>
      </c>
      <c r="AQ21" t="n">
        <v>2.209697851005483</v>
      </c>
      <c r="AR21" t="n">
        <v>2.249890946658608</v>
      </c>
      <c r="AS21" t="n">
        <v>2.088978252505321</v>
      </c>
      <c r="AT21" t="n">
        <v>2.156408682812733</v>
      </c>
      <c r="AU21" t="n">
        <v>2.130456506411424</v>
      </c>
      <c r="AV21" t="n">
        <v>2.229672930139366</v>
      </c>
      <c r="AW21" t="n">
        <v>2.24432178940592</v>
      </c>
      <c r="AX21" t="n">
        <v>2.327097858669957</v>
      </c>
      <c r="AY21" t="n">
        <v>2.291802834248412</v>
      </c>
      <c r="AZ21" t="n">
        <v>2.10323135805552</v>
      </c>
      <c r="BA21" t="n">
        <v>2.238352546306263</v>
      </c>
      <c r="BB21" t="n">
        <v>2.210710734282043</v>
      </c>
      <c r="BC21" t="n">
        <v>2.373623853079981</v>
      </c>
      <c r="BD21" t="n">
        <v>2.275388533055528</v>
      </c>
      <c r="BE21" t="n">
        <v>2.165445499475708</v>
      </c>
      <c r="BF21" t="n">
        <v>2.147727475607069</v>
      </c>
    </row>
    <row r="22">
      <c r="A22" s="13" t="inlineStr">
        <is>
          <t>REST</t>
        </is>
      </c>
      <c r="B22" s="13" t="inlineStr">
        <is>
          <t>010000</t>
        </is>
      </c>
      <c r="C22" t="n">
        <v>148.8083503065293</v>
      </c>
      <c r="D22" t="n">
        <v>192.4254036136996</v>
      </c>
      <c r="E22" t="n">
        <v>205.0015571877346</v>
      </c>
      <c r="F22" t="n">
        <v>200.8671356108053</v>
      </c>
      <c r="G22" t="n">
        <v>191.5881525477651</v>
      </c>
      <c r="H22" t="n">
        <v>219.6852921565091</v>
      </c>
      <c r="I22" t="n">
        <v>206.7389333953453</v>
      </c>
      <c r="J22" t="n">
        <v>208.0380790809851</v>
      </c>
      <c r="K22" t="n">
        <v>202.8215657010575</v>
      </c>
      <c r="L22" t="n">
        <v>203.7705439181097</v>
      </c>
      <c r="M22" t="n">
        <v>196.4366924900187</v>
      </c>
      <c r="N22" t="n">
        <v>207.0432534722995</v>
      </c>
      <c r="O22" t="n">
        <v>231.8611527756983</v>
      </c>
      <c r="P22" t="n">
        <v>205.671801354607</v>
      </c>
      <c r="Q22" t="n">
        <v>193.9403257360542</v>
      </c>
      <c r="R22" t="n">
        <v>190.7757259177033</v>
      </c>
      <c r="S22" t="n">
        <v>215.4120680276168</v>
      </c>
      <c r="T22" t="n">
        <v>243.7958498098218</v>
      </c>
      <c r="U22" t="n">
        <v>252.7417290533323</v>
      </c>
      <c r="V22" t="n">
        <v>252.0916649068854</v>
      </c>
      <c r="W22" t="n">
        <v>261.7532160825705</v>
      </c>
      <c r="X22" t="n">
        <v>257.6969540917918</v>
      </c>
      <c r="Y22" t="n">
        <v>212.5663211898728</v>
      </c>
      <c r="Z22" t="n">
        <v>245.8181581618184</v>
      </c>
      <c r="AA22" t="n">
        <v>222.4202262486453</v>
      </c>
      <c r="AB22" t="n">
        <v>234.4789767021405</v>
      </c>
      <c r="AC22" t="n">
        <v>187.1871440566558</v>
      </c>
      <c r="AD22" t="n">
        <v>204.4907084222919</v>
      </c>
      <c r="AE22" t="n">
        <v>226.2080468075768</v>
      </c>
      <c r="AF22" t="n">
        <v>221.0926831112916</v>
      </c>
      <c r="AG22" t="n">
        <v>257.6021265105336</v>
      </c>
      <c r="AH22" t="n">
        <v>239.1828599221813</v>
      </c>
      <c r="AI22" t="n">
        <v>243.3847881872166</v>
      </c>
      <c r="AJ22" t="n">
        <v>261.8726345884621</v>
      </c>
      <c r="AK22" t="n">
        <v>274.0583131106854</v>
      </c>
      <c r="AL22" t="n">
        <v>267.4813382704922</v>
      </c>
      <c r="AM22" t="n">
        <v>245.5026748396373</v>
      </c>
      <c r="AN22" t="n">
        <v>259.1206164321878</v>
      </c>
      <c r="AO22" t="n">
        <v>313.8101576230137</v>
      </c>
      <c r="AP22" t="n">
        <v>336.0677019414003</v>
      </c>
      <c r="AQ22" t="n">
        <v>337.5457789696241</v>
      </c>
      <c r="AR22" t="n">
        <v>344.9471848809468</v>
      </c>
      <c r="AS22" t="n">
        <v>322.2984311690516</v>
      </c>
      <c r="AT22" t="n">
        <v>355.2804356002049</v>
      </c>
      <c r="AU22" t="n">
        <v>475.2968293830674</v>
      </c>
      <c r="AV22" t="n">
        <v>462.0472884186913</v>
      </c>
      <c r="AW22" t="n">
        <v>435.7153133916815</v>
      </c>
      <c r="AX22" t="n">
        <v>427.310764518257</v>
      </c>
      <c r="AY22" t="n">
        <v>404.3639339269484</v>
      </c>
      <c r="AZ22" t="n">
        <v>412.9235462986209</v>
      </c>
      <c r="BA22" t="n">
        <v>392.0364299822469</v>
      </c>
      <c r="BB22" t="n">
        <v>386.4652360261591</v>
      </c>
      <c r="BC22" t="n">
        <v>398.6361781292503</v>
      </c>
      <c r="BD22" t="n">
        <v>417.6352992662596</v>
      </c>
      <c r="BE22" t="n">
        <v>335.8270162214484</v>
      </c>
      <c r="BF22" t="n">
        <v>368.3926384828723</v>
      </c>
    </row>
    <row r="23">
      <c r="A23" s="13" t="n"/>
      <c r="B23" s="13" t="inlineStr">
        <is>
          <t>100010</t>
        </is>
      </c>
      <c r="C23" t="n">
        <v>379.5613734723988</v>
      </c>
      <c r="D23" t="n">
        <v>408.4933925252224</v>
      </c>
      <c r="E23" t="n">
        <v>393.9925474201476</v>
      </c>
      <c r="F23" t="n">
        <v>396.184376039138</v>
      </c>
      <c r="G23" t="n">
        <v>381.6224609721255</v>
      </c>
      <c r="H23" t="n">
        <v>389.5688052931441</v>
      </c>
      <c r="I23" t="n">
        <v>417.3765697961248</v>
      </c>
      <c r="J23" t="n">
        <v>414.6028856587246</v>
      </c>
      <c r="K23" t="n">
        <v>387.3692386757063</v>
      </c>
      <c r="L23" t="n">
        <v>408.196710040767</v>
      </c>
      <c r="M23" t="n">
        <v>408.9459759921899</v>
      </c>
      <c r="N23" t="n">
        <v>420.1874415540879</v>
      </c>
      <c r="O23" t="n">
        <v>396.0866015454111</v>
      </c>
      <c r="P23" t="n">
        <v>363.6803145155428</v>
      </c>
      <c r="Q23" t="n">
        <v>346.9139310380371</v>
      </c>
      <c r="R23" t="n">
        <v>349.510226916669</v>
      </c>
      <c r="S23" t="n">
        <v>279.5234357419376</v>
      </c>
      <c r="T23" t="n">
        <v>303.708281822185</v>
      </c>
      <c r="U23" t="n">
        <v>325.2576388756767</v>
      </c>
      <c r="V23" t="n">
        <v>346.2005014992631</v>
      </c>
      <c r="W23" t="n">
        <v>393.0896371954912</v>
      </c>
      <c r="X23" t="n">
        <v>319.6738908089714</v>
      </c>
      <c r="Y23" t="n">
        <v>291.0915368802559</v>
      </c>
      <c r="Z23" t="n">
        <v>321.2396519536447</v>
      </c>
      <c r="AA23" t="n">
        <v>312.830179997004</v>
      </c>
      <c r="AB23" t="n">
        <v>327.443570934275</v>
      </c>
      <c r="AC23" t="n">
        <v>340.4775038641329</v>
      </c>
      <c r="AD23" t="n">
        <v>317.1243603503785</v>
      </c>
      <c r="AE23" t="n">
        <v>282.8361116931055</v>
      </c>
      <c r="AF23" t="n">
        <v>347.1158145005222</v>
      </c>
      <c r="AG23" t="n">
        <v>354.9933614767603</v>
      </c>
      <c r="AH23" t="n">
        <v>337.734820898503</v>
      </c>
      <c r="AI23" t="n">
        <v>423.8735448868235</v>
      </c>
      <c r="AJ23" t="n">
        <v>372.6024705260614</v>
      </c>
      <c r="AK23" t="n">
        <v>431.1733552016202</v>
      </c>
      <c r="AL23" t="n">
        <v>462.210041957875</v>
      </c>
      <c r="AM23" t="n">
        <v>453.4969479444636</v>
      </c>
      <c r="AN23" t="n">
        <v>428.9908225716393</v>
      </c>
      <c r="AO23" t="n">
        <v>471.5941909908914</v>
      </c>
      <c r="AP23" t="n">
        <v>501.3461398311318</v>
      </c>
      <c r="AQ23" t="n">
        <v>490.6766444450412</v>
      </c>
      <c r="AR23" t="n">
        <v>511.8464946468591</v>
      </c>
      <c r="AS23" t="n">
        <v>402.9273146650536</v>
      </c>
      <c r="AT23" t="n">
        <v>448.9765240340496</v>
      </c>
      <c r="AU23" t="n">
        <v>508.6957195633096</v>
      </c>
      <c r="AV23" t="n">
        <v>492.7969879934918</v>
      </c>
      <c r="AW23" t="n">
        <v>450.526328379178</v>
      </c>
      <c r="AX23" t="n">
        <v>437.3016712528105</v>
      </c>
      <c r="AY23" t="n">
        <v>486.8401115293307</v>
      </c>
      <c r="AZ23" t="n">
        <v>495.2381972157343</v>
      </c>
      <c r="BA23" t="n">
        <v>435.6988956763511</v>
      </c>
      <c r="BB23" t="n">
        <v>398.9106285379033</v>
      </c>
      <c r="BC23" t="n">
        <v>461.8823750494926</v>
      </c>
      <c r="BD23" t="n">
        <v>541.7545166597013</v>
      </c>
      <c r="BE23" t="n">
        <v>530.001684585135</v>
      </c>
      <c r="BF23" t="n">
        <v>426.5471209878577</v>
      </c>
    </row>
    <row r="24">
      <c r="A24" s="13" t="n"/>
      <c r="B24" s="13" t="inlineStr">
        <is>
          <t>100030</t>
        </is>
      </c>
      <c r="C24" t="n">
        <v>278.0225691699084</v>
      </c>
      <c r="D24" t="n">
        <v>274.8146702201815</v>
      </c>
      <c r="E24" t="n">
        <v>276.7002172075646</v>
      </c>
      <c r="F24" t="n">
        <v>283.1698063412013</v>
      </c>
      <c r="G24" t="n">
        <v>293.0619696023969</v>
      </c>
      <c r="H24" t="n">
        <v>269.5680881761984</v>
      </c>
      <c r="I24" t="n">
        <v>276.8536861728577</v>
      </c>
      <c r="J24" t="n">
        <v>270.9342125623591</v>
      </c>
      <c r="K24" t="n">
        <v>271.9013582786026</v>
      </c>
      <c r="L24" t="n">
        <v>302.7349192109062</v>
      </c>
      <c r="M24" t="n">
        <v>298.8655986800545</v>
      </c>
      <c r="N24" t="n">
        <v>277.9807337532048</v>
      </c>
      <c r="O24" t="n">
        <v>271.8864784367971</v>
      </c>
      <c r="P24" t="n">
        <v>232.9057265541398</v>
      </c>
      <c r="Q24" t="n">
        <v>241.8783388276896</v>
      </c>
      <c r="R24" t="n">
        <v>246.1023876649231</v>
      </c>
      <c r="S24" t="n">
        <v>199.5642359177525</v>
      </c>
      <c r="T24" t="n">
        <v>232.4075131781434</v>
      </c>
      <c r="U24" t="n">
        <v>204.7500887560386</v>
      </c>
      <c r="V24" t="n">
        <v>196.5326797298857</v>
      </c>
      <c r="W24" t="n">
        <v>212.5998452752932</v>
      </c>
      <c r="X24" t="n">
        <v>175.5167287760952</v>
      </c>
      <c r="Y24" t="n">
        <v>213.2583975697833</v>
      </c>
      <c r="Z24" t="n">
        <v>236.1354098143757</v>
      </c>
      <c r="AA24" t="n">
        <v>255.0160658410287</v>
      </c>
      <c r="AB24" t="n">
        <v>245.4250976361848</v>
      </c>
      <c r="AC24" t="n">
        <v>240.9334092583175</v>
      </c>
      <c r="AD24" t="n">
        <v>247.0477734933925</v>
      </c>
      <c r="AE24" t="n">
        <v>298.8308788525276</v>
      </c>
      <c r="AF24" t="n">
        <v>445.0704396146293</v>
      </c>
      <c r="AG24" t="n">
        <v>444.7828764150895</v>
      </c>
      <c r="AH24" t="n">
        <v>413.2456728793039</v>
      </c>
      <c r="AI24" t="n">
        <v>405.0181297131987</v>
      </c>
      <c r="AJ24" t="n">
        <v>446.2391341919889</v>
      </c>
      <c r="AK24" t="n">
        <v>441.3352689958072</v>
      </c>
      <c r="AL24" t="n">
        <v>410.7657113737479</v>
      </c>
      <c r="AM24" t="n">
        <v>365.1697052970662</v>
      </c>
      <c r="AN24" t="n">
        <v>381.8553518077703</v>
      </c>
      <c r="AO24" t="n">
        <v>358.4735579009871</v>
      </c>
      <c r="AP24" t="n">
        <v>374.0263614133438</v>
      </c>
      <c r="AQ24" t="n">
        <v>369.6273979897906</v>
      </c>
      <c r="AR24" t="n">
        <v>431.7179590938992</v>
      </c>
      <c r="AS24" t="n">
        <v>505.3733757645584</v>
      </c>
      <c r="AT24" t="n">
        <v>539.8358021169347</v>
      </c>
      <c r="AU24" t="n">
        <v>470.9025020322058</v>
      </c>
      <c r="AV24" t="n">
        <v>468.3562406400961</v>
      </c>
      <c r="AW24" t="n">
        <v>401.9029350639879</v>
      </c>
      <c r="AX24" t="n">
        <v>263.6294750077608</v>
      </c>
      <c r="AY24" t="n">
        <v>303.7693029197665</v>
      </c>
      <c r="AZ24" t="n">
        <v>359.7321976434199</v>
      </c>
      <c r="BA24" t="n">
        <v>362.2440964177948</v>
      </c>
      <c r="BB24" t="n">
        <v>318.3348048756886</v>
      </c>
      <c r="BC24" t="n">
        <v>295.8179107230609</v>
      </c>
      <c r="BD24" t="n">
        <v>278.0635907680099</v>
      </c>
      <c r="BE24" t="n">
        <v>288.1699184111309</v>
      </c>
      <c r="BF24" t="n">
        <v>271.891297363552</v>
      </c>
    </row>
    <row r="25">
      <c r="A25" s="13" t="n"/>
      <c r="B25" s="13" t="inlineStr">
        <is>
          <t>100040x100050</t>
        </is>
      </c>
      <c r="C25" t="n">
        <v>123.1218282963562</v>
      </c>
      <c r="D25" t="n">
        <v>120.484111993785</v>
      </c>
      <c r="E25" t="n">
        <v>117.6753458925384</v>
      </c>
      <c r="F25" t="n">
        <v>117.8370228358836</v>
      </c>
      <c r="G25" t="n">
        <v>122.5910661048823</v>
      </c>
      <c r="H25" t="n">
        <v>117.0915232765206</v>
      </c>
      <c r="I25" t="n">
        <v>124.3285741891303</v>
      </c>
      <c r="J25" t="n">
        <v>123.5622924739989</v>
      </c>
      <c r="K25" t="n">
        <v>121.5209696573162</v>
      </c>
      <c r="L25" t="n">
        <v>117.219272672427</v>
      </c>
      <c r="M25" t="n">
        <v>119.5441442110135</v>
      </c>
      <c r="N25" t="n">
        <v>122.873896689022</v>
      </c>
      <c r="O25" t="n">
        <v>121.9508045160065</v>
      </c>
      <c r="P25" t="n">
        <v>114.5237657560201</v>
      </c>
      <c r="Q25" t="n">
        <v>109.1447280751133</v>
      </c>
      <c r="R25" t="n">
        <v>113.1706687607515</v>
      </c>
      <c r="S25" t="n">
        <v>113.9723953911105</v>
      </c>
      <c r="T25" t="n">
        <v>122.5372544002948</v>
      </c>
      <c r="U25" t="n">
        <v>128.0413559942604</v>
      </c>
      <c r="V25" t="n">
        <v>130.1462656323635</v>
      </c>
      <c r="W25" t="n">
        <v>128.9145164380074</v>
      </c>
      <c r="X25" t="n">
        <v>118.3027641707728</v>
      </c>
      <c r="Y25" t="n">
        <v>112.1980643559433</v>
      </c>
      <c r="Z25" t="n">
        <v>106.1647957490922</v>
      </c>
      <c r="AA25" t="n">
        <v>100.5070772088777</v>
      </c>
      <c r="AB25" t="n">
        <v>90.96894348320063</v>
      </c>
      <c r="AC25" t="n">
        <v>89.09758113269523</v>
      </c>
      <c r="AD25" t="n">
        <v>94.1768727891294</v>
      </c>
      <c r="AE25" t="n">
        <v>92.21326253293178</v>
      </c>
      <c r="AF25" t="n">
        <v>93.09907838058504</v>
      </c>
      <c r="AG25" t="n">
        <v>86.17298572413974</v>
      </c>
      <c r="AH25" t="n">
        <v>83.36958220587775</v>
      </c>
      <c r="AI25" t="n">
        <v>85.34740855626927</v>
      </c>
      <c r="AJ25" t="n">
        <v>94.69590328916961</v>
      </c>
      <c r="AK25" t="n">
        <v>92.60484527418265</v>
      </c>
      <c r="AL25" t="n">
        <v>102.2761801574747</v>
      </c>
      <c r="AM25" t="n">
        <v>107.0123601218823</v>
      </c>
      <c r="AN25" t="n">
        <v>101.9502099168326</v>
      </c>
      <c r="AO25" t="n">
        <v>103.0240054185123</v>
      </c>
      <c r="AP25" t="n">
        <v>111.9616022795976</v>
      </c>
      <c r="AQ25" t="n">
        <v>111.949941940238</v>
      </c>
      <c r="AR25" t="n">
        <v>117.9769917068527</v>
      </c>
      <c r="AS25" t="n">
        <v>123.6800234455357</v>
      </c>
      <c r="AT25" t="n">
        <v>128.4894454068153</v>
      </c>
      <c r="AU25" t="n">
        <v>138.973082118522</v>
      </c>
      <c r="AV25" t="n">
        <v>132.6118567987637</v>
      </c>
      <c r="AW25" t="n">
        <v>123.9691569870046</v>
      </c>
      <c r="AX25" t="n">
        <v>121.9972757824959</v>
      </c>
      <c r="AY25" t="n">
        <v>120.4842584121524</v>
      </c>
      <c r="AZ25" t="n">
        <v>131.9040810199643</v>
      </c>
      <c r="BA25" t="n">
        <v>138.1667383058814</v>
      </c>
      <c r="BB25" t="n">
        <v>137.1449467983053</v>
      </c>
      <c r="BC25" t="n">
        <v>122.8909794781927</v>
      </c>
      <c r="BD25" t="n">
        <v>126.0280338583397</v>
      </c>
      <c r="BE25" t="n">
        <v>145.3863783790378</v>
      </c>
      <c r="BF25" t="n">
        <v>151.1030314708273</v>
      </c>
    </row>
    <row r="26">
      <c r="A26" s="13" t="n"/>
      <c r="B26" s="13" t="inlineStr">
        <is>
          <t>REST</t>
        </is>
      </c>
      <c r="C26" t="n">
        <v>1.023694056700754</v>
      </c>
      <c r="D26" t="n">
        <v>1.019988544464411</v>
      </c>
      <c r="E26" t="n">
        <v>1.019702170141056</v>
      </c>
      <c r="F26" t="n">
        <v>1.019802339403</v>
      </c>
      <c r="G26" t="n">
        <v>1.01989547003908</v>
      </c>
      <c r="H26" t="n">
        <v>1.019353743029204</v>
      </c>
      <c r="I26" t="n">
        <v>1.018746874576367</v>
      </c>
      <c r="J26" t="n">
        <v>1.018904921738916</v>
      </c>
      <c r="K26" t="n">
        <v>1.019654487066719</v>
      </c>
      <c r="L26" t="n">
        <v>1.019377853534254</v>
      </c>
      <c r="M26" t="n">
        <v>1.019540973348888</v>
      </c>
      <c r="N26" t="n">
        <v>1.018826230586973</v>
      </c>
      <c r="O26" t="n">
        <v>1.018344245485022</v>
      </c>
      <c r="P26" t="n">
        <v>1.021174865321702</v>
      </c>
      <c r="Q26" t="n">
        <v>1.022316516358353</v>
      </c>
      <c r="R26" t="n">
        <v>1.021901588735119</v>
      </c>
      <c r="S26" t="n">
        <v>1.02305345273544</v>
      </c>
      <c r="T26" t="n">
        <v>1.020151424120097</v>
      </c>
      <c r="U26" t="n">
        <v>1.019627086085982</v>
      </c>
      <c r="V26" t="n">
        <v>1.019370412778723</v>
      </c>
      <c r="W26" t="n">
        <v>1.018304480219596</v>
      </c>
      <c r="X26" t="n">
        <v>1.021205060818395</v>
      </c>
      <c r="Y26" t="n">
        <v>1.022258773035356</v>
      </c>
      <c r="Z26" t="n">
        <v>1.021111145649191</v>
      </c>
      <c r="AA26" t="n">
        <v>1.022009315730102</v>
      </c>
      <c r="AB26" t="n">
        <v>1.022987263140604</v>
      </c>
      <c r="AC26" t="n">
        <v>1.024366051473998</v>
      </c>
      <c r="AD26" t="n">
        <v>1.023270624041574</v>
      </c>
      <c r="AE26" t="n">
        <v>1.022667200496913</v>
      </c>
      <c r="AF26" t="n">
        <v>1.020820162360378</v>
      </c>
      <c r="AG26" t="n">
        <v>1.021019572520331</v>
      </c>
      <c r="AH26" t="n">
        <v>1.022167123357896</v>
      </c>
      <c r="AI26" t="n">
        <v>1.021195407063307</v>
      </c>
      <c r="AJ26" t="n">
        <v>1.019651196310627</v>
      </c>
      <c r="AK26" t="n">
        <v>1.019383888963073</v>
      </c>
      <c r="AL26" t="n">
        <v>1.018377444820349</v>
      </c>
      <c r="AM26" t="n">
        <v>1.018623648937791</v>
      </c>
      <c r="AN26" t="n">
        <v>1.018896496556574</v>
      </c>
      <c r="AO26" t="n">
        <v>1.018060962390032</v>
      </c>
      <c r="AP26" t="n">
        <v>1.016802375174884</v>
      </c>
      <c r="AQ26" t="n">
        <v>1.016866820811412</v>
      </c>
      <c r="AR26" t="n">
        <v>1.015856063102559</v>
      </c>
      <c r="AS26" t="n">
        <v>1.015898641201812</v>
      </c>
      <c r="AT26" t="n">
        <v>1.014907946320063</v>
      </c>
      <c r="AU26" t="n">
        <v>1.013552464366421</v>
      </c>
      <c r="AV26" t="n">
        <v>1.014090611457217</v>
      </c>
      <c r="AW26" t="n">
        <v>1.015373264006736</v>
      </c>
      <c r="AX26" t="n">
        <v>1.016896992818055</v>
      </c>
      <c r="AY26" t="n">
        <v>1.016396016935178</v>
      </c>
      <c r="AZ26" t="n">
        <v>1.015048607051949</v>
      </c>
      <c r="BA26" t="n">
        <v>1.015095949506787</v>
      </c>
      <c r="BB26" t="n">
        <v>1.015801286440421</v>
      </c>
      <c r="BC26" t="n">
        <v>1.016462305085686</v>
      </c>
      <c r="BD26" t="n">
        <v>1.016024050891927</v>
      </c>
      <c r="BE26" t="n">
        <v>1.015447915998656</v>
      </c>
      <c r="BF26" t="n">
        <v>1.015573324354797</v>
      </c>
    </row>
  </sheetData>
  <mergeCells count="5">
    <mergeCell ref="A22:A26"/>
    <mergeCell ref="A17:A21"/>
    <mergeCell ref="A12:A16"/>
    <mergeCell ref="A2:A6"/>
    <mergeCell ref="A7:A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0.8565657043181828</v>
      </c>
      <c r="D2" t="n">
        <v>0.9109270673445961</v>
      </c>
      <c r="E2" t="n">
        <v>0.9379666420273614</v>
      </c>
      <c r="F2" t="n">
        <v>0.9303585013680167</v>
      </c>
      <c r="G2" t="n">
        <v>0.903500607512022</v>
      </c>
      <c r="H2" t="n">
        <v>0.9605394408015018</v>
      </c>
      <c r="I2" t="n">
        <v>0.949556327187849</v>
      </c>
      <c r="J2" t="n">
        <v>0.9335255132478243</v>
      </c>
      <c r="K2" t="n">
        <v>0.9493587888386227</v>
      </c>
      <c r="L2" t="n">
        <v>0.9486741489389414</v>
      </c>
      <c r="M2" t="n">
        <v>0.952926284097265</v>
      </c>
      <c r="N2" t="n">
        <v>0.9687492031075369</v>
      </c>
      <c r="O2" t="n">
        <v>0.9736507097665156</v>
      </c>
      <c r="P2" t="n">
        <v>0.9726160303446053</v>
      </c>
      <c r="Q2" t="n">
        <v>0.9694641480296736</v>
      </c>
      <c r="R2" t="n">
        <v>0.9805061939598395</v>
      </c>
      <c r="S2" t="n">
        <v>0.9718206768701885</v>
      </c>
      <c r="T2" t="n">
        <v>0.9865593648099864</v>
      </c>
      <c r="U2" t="n">
        <v>1.001574483962056</v>
      </c>
      <c r="V2" t="n">
        <v>1.001343858297241</v>
      </c>
      <c r="W2" t="n">
        <v>1.013502382529004</v>
      </c>
      <c r="X2" t="n">
        <v>0.9872474887666541</v>
      </c>
      <c r="Y2" t="n">
        <v>1.00508569196802</v>
      </c>
      <c r="Z2" t="n">
        <v>1.004916699604586</v>
      </c>
      <c r="AA2" t="n">
        <v>1.006909694339708</v>
      </c>
      <c r="AB2" t="n">
        <v>0.8785732094195045</v>
      </c>
      <c r="AC2" t="n">
        <v>0.9288791234180567</v>
      </c>
      <c r="AD2" t="n">
        <v>0.9449775100662975</v>
      </c>
      <c r="AE2" t="n">
        <v>0.9496085966287454</v>
      </c>
      <c r="AF2" t="n">
        <v>0.9494686559954013</v>
      </c>
      <c r="AG2" t="n">
        <v>0.9512231047277053</v>
      </c>
      <c r="AH2" t="n">
        <v>0.9444317380913797</v>
      </c>
      <c r="AI2" t="n">
        <v>0.9465366634974257</v>
      </c>
      <c r="AJ2" t="n">
        <v>0.9429379860989439</v>
      </c>
      <c r="AK2" t="n">
        <v>0.9368984244282453</v>
      </c>
      <c r="AL2" t="n">
        <v>0.9308871382903826</v>
      </c>
      <c r="AM2" t="n">
        <v>0.9395681248923808</v>
      </c>
      <c r="AN2" t="n">
        <v>0.9529428220110566</v>
      </c>
      <c r="AO2" t="n">
        <v>0.9440996368747199</v>
      </c>
      <c r="AP2" t="n">
        <v>0.9606674332299678</v>
      </c>
      <c r="AQ2" t="n">
        <v>0.9459803474410308</v>
      </c>
      <c r="AR2" t="n">
        <v>0.8966804388309942</v>
      </c>
      <c r="AS2" t="n">
        <v>0.9609733121655434</v>
      </c>
      <c r="AT2" t="n">
        <v>0.9652409782500656</v>
      </c>
      <c r="AU2" t="n">
        <v>0.9608483660971855</v>
      </c>
      <c r="AV2" t="n">
        <v>0.970430084832458</v>
      </c>
      <c r="AW2" t="n">
        <v>0.9694186932589951</v>
      </c>
      <c r="AX2" t="n">
        <v>0.9756042679749503</v>
      </c>
      <c r="AY2" t="n">
        <v>0.972133783492608</v>
      </c>
      <c r="AZ2" t="n">
        <v>0.9654802141169425</v>
      </c>
      <c r="BA2" t="n">
        <v>0.9639645178128473</v>
      </c>
      <c r="BB2" t="n">
        <v>0.959498704977283</v>
      </c>
      <c r="BC2" t="n">
        <v>0.9776941457333083</v>
      </c>
      <c r="BD2" t="n">
        <v>0.9986691998612069</v>
      </c>
      <c r="BE2" t="n">
        <v>0.9980860129280449</v>
      </c>
      <c r="BF2" t="n">
        <v>0.98063638410784</v>
      </c>
    </row>
    <row r="3">
      <c r="A3" s="13" t="n"/>
      <c r="B3" s="13" t="inlineStr">
        <is>
          <t>100010</t>
        </is>
      </c>
      <c r="C3" t="n">
        <v>1.00686336395632</v>
      </c>
      <c r="D3" t="n">
        <v>0.9938896120613679</v>
      </c>
      <c r="E3" t="n">
        <v>0.9833272372435776</v>
      </c>
      <c r="F3" t="n">
        <v>0.9902164287954288</v>
      </c>
      <c r="G3" t="n">
        <v>0.9936099749579846</v>
      </c>
      <c r="H3" t="n">
        <v>1.000175407882264</v>
      </c>
      <c r="I3" t="n">
        <v>1.005513293474734</v>
      </c>
      <c r="J3" t="n">
        <v>1.004635933733788</v>
      </c>
      <c r="K3" t="n">
        <v>1.0089978392698</v>
      </c>
      <c r="L3" t="n">
        <v>0.9531735420984663</v>
      </c>
      <c r="M3" t="n">
        <v>0.9589426856626575</v>
      </c>
      <c r="N3" t="n">
        <v>0.9584456497238225</v>
      </c>
      <c r="O3" t="n">
        <v>0.9708608904381597</v>
      </c>
      <c r="P3" t="n">
        <v>0.9692589642240561</v>
      </c>
      <c r="Q3" t="n">
        <v>0.968542927439891</v>
      </c>
      <c r="R3" t="n">
        <v>0.966705211583605</v>
      </c>
      <c r="S3" t="n">
        <v>0.9692587650047622</v>
      </c>
      <c r="T3" t="n">
        <v>0.9619781416037804</v>
      </c>
      <c r="U3" t="n">
        <v>0.9734381161577289</v>
      </c>
      <c r="V3" t="n">
        <v>0.9768049199197337</v>
      </c>
      <c r="W3" t="n">
        <v>0.9704549858854999</v>
      </c>
      <c r="X3" t="n">
        <v>0.9905316806691982</v>
      </c>
      <c r="Y3" t="n">
        <v>0.9899872278019433</v>
      </c>
      <c r="Z3" t="n">
        <v>0.9804953296472914</v>
      </c>
      <c r="AA3" t="n">
        <v>0.9917023676503672</v>
      </c>
      <c r="AB3" t="n">
        <v>0.9722980429628256</v>
      </c>
      <c r="AC3" t="n">
        <v>0.9653088505506597</v>
      </c>
      <c r="AD3" t="n">
        <v>0.9585662813254424</v>
      </c>
      <c r="AE3" t="n">
        <v>0.9607430502103701</v>
      </c>
      <c r="AF3" t="n">
        <v>0.9713511057197234</v>
      </c>
      <c r="AG3" t="n">
        <v>0.9211460545069776</v>
      </c>
      <c r="AH3" t="n">
        <v>0.8925005968239388</v>
      </c>
      <c r="AI3" t="n">
        <v>0.8978758769548911</v>
      </c>
      <c r="AJ3" t="n">
        <v>0.9246135485849437</v>
      </c>
      <c r="AK3" t="n">
        <v>0.8545282929389814</v>
      </c>
      <c r="AL3" t="n">
        <v>0.891702215062943</v>
      </c>
      <c r="AM3" t="n">
        <v>0.8187766620417989</v>
      </c>
      <c r="AN3" t="n">
        <v>0.9002918198255492</v>
      </c>
      <c r="AO3" t="n">
        <v>0.9493104316923662</v>
      </c>
      <c r="AP3" t="n">
        <v>0.8799554370693595</v>
      </c>
      <c r="AQ3" t="n">
        <v>0.8945202311992532</v>
      </c>
      <c r="AR3" t="n">
        <v>0.8849733637953555</v>
      </c>
      <c r="AS3" t="n">
        <v>0.8391576295003662</v>
      </c>
      <c r="AT3" t="n">
        <v>0.7472841779234327</v>
      </c>
      <c r="AU3" t="n">
        <v>0.8951600443294185</v>
      </c>
      <c r="AV3" t="n">
        <v>0.901439209938969</v>
      </c>
      <c r="AW3" t="n">
        <v>0.9096748708016654</v>
      </c>
      <c r="AX3" t="n">
        <v>0.9093070468674577</v>
      </c>
      <c r="AY3" t="n">
        <v>0.8564543785085071</v>
      </c>
      <c r="AZ3" t="n">
        <v>0.8662900372030394</v>
      </c>
      <c r="BA3" t="n">
        <v>0.8607212252112962</v>
      </c>
      <c r="BB3" t="n">
        <v>0.8809948412324896</v>
      </c>
      <c r="BC3" t="n">
        <v>0.8129734783981715</v>
      </c>
      <c r="BD3" t="n">
        <v>0.8217168791973326</v>
      </c>
      <c r="BE3" t="n">
        <v>0.8104237301761601</v>
      </c>
      <c r="BF3" t="n">
        <v>0.8045369842863138</v>
      </c>
    </row>
    <row r="4">
      <c r="A4" s="13" t="n"/>
      <c r="B4" s="13" t="inlineStr">
        <is>
          <t>100030</t>
        </is>
      </c>
      <c r="C4" t="n">
        <v>0.8149476546637515</v>
      </c>
      <c r="D4" t="n">
        <v>0.8173592457020713</v>
      </c>
      <c r="E4" t="n">
        <v>0.8195120996499905</v>
      </c>
      <c r="F4" t="n">
        <v>0.8136777864212603</v>
      </c>
      <c r="G4" t="n">
        <v>0.7948699695699633</v>
      </c>
      <c r="H4" t="n">
        <v>0.7938745102888902</v>
      </c>
      <c r="I4" t="n">
        <v>0.8010028964744725</v>
      </c>
      <c r="J4" t="n">
        <v>0.8033159900187342</v>
      </c>
      <c r="K4" t="n">
        <v>0.8055244134177729</v>
      </c>
      <c r="L4" t="n">
        <v>0.8014186104862285</v>
      </c>
      <c r="M4" t="n">
        <v>0.8053377952466745</v>
      </c>
      <c r="N4" t="n">
        <v>0.8046511319507738</v>
      </c>
      <c r="O4" t="n">
        <v>0.7934610986154061</v>
      </c>
      <c r="P4" t="n">
        <v>0.801778887005211</v>
      </c>
      <c r="Q4" t="n">
        <v>0.8011251154447686</v>
      </c>
      <c r="R4" t="n">
        <v>0.8028703248858752</v>
      </c>
      <c r="S4" t="n">
        <v>0.8055258987309774</v>
      </c>
      <c r="T4" t="n">
        <v>0.7970160590692044</v>
      </c>
      <c r="U4" t="n">
        <v>0.800745302553633</v>
      </c>
      <c r="V4" t="n">
        <v>0.8039953634320333</v>
      </c>
      <c r="W4" t="n">
        <v>0.7877724475067936</v>
      </c>
      <c r="X4" t="n">
        <v>0.731932074326022</v>
      </c>
      <c r="Y4" t="n">
        <v>0.7359329865782729</v>
      </c>
      <c r="Z4" t="n">
        <v>0.7483404816990389</v>
      </c>
      <c r="AA4" t="n">
        <v>0.6213440412515604</v>
      </c>
      <c r="AB4" t="n">
        <v>0.7697121669026991</v>
      </c>
      <c r="AC4" t="n">
        <v>0.7870797747964241</v>
      </c>
      <c r="AD4" t="n">
        <v>0.803051968751788</v>
      </c>
      <c r="AE4" t="n">
        <v>0.7907079406803379</v>
      </c>
      <c r="AF4" t="n">
        <v>0.7749485632406714</v>
      </c>
      <c r="AG4" t="n">
        <v>0.7865538416474465</v>
      </c>
      <c r="AH4" t="n">
        <v>0.7899672428861041</v>
      </c>
      <c r="AI4" t="n">
        <v>0.7853743687846649</v>
      </c>
      <c r="AJ4" t="n">
        <v>0.7839336502803845</v>
      </c>
      <c r="AK4" t="n">
        <v>0.7906145720998737</v>
      </c>
      <c r="AL4" t="n">
        <v>0.7829256428053591</v>
      </c>
      <c r="AM4" t="n">
        <v>0.8065598905893349</v>
      </c>
      <c r="AN4" t="n">
        <v>0.8018828438446315</v>
      </c>
      <c r="AO4" t="n">
        <v>0.7957858319458032</v>
      </c>
      <c r="AP4" t="n">
        <v>0.7803540411855961</v>
      </c>
      <c r="AQ4" t="n">
        <v>0.8096616735186992</v>
      </c>
      <c r="AR4" t="n">
        <v>0.8250577200551927</v>
      </c>
      <c r="AS4" t="n">
        <v>0.8389361263544174</v>
      </c>
      <c r="AT4" t="n">
        <v>0.9021196313665454</v>
      </c>
      <c r="AU4" t="n">
        <v>0.8726091563852941</v>
      </c>
      <c r="AV4" t="n">
        <v>0.8862536827673645</v>
      </c>
      <c r="AW4" t="n">
        <v>0.9077066452879168</v>
      </c>
      <c r="AX4" t="n">
        <v>0.8946486101701894</v>
      </c>
      <c r="AY4" t="n">
        <v>0.8945647026156455</v>
      </c>
      <c r="AZ4" t="n">
        <v>0.8985723259200601</v>
      </c>
      <c r="BA4" t="n">
        <v>0.9044937765979736</v>
      </c>
      <c r="BB4" t="n">
        <v>0.9130233537313778</v>
      </c>
      <c r="BC4" t="n">
        <v>0.4259580984228256</v>
      </c>
      <c r="BD4" t="n">
        <v>0.9138582888000518</v>
      </c>
      <c r="BE4" t="n">
        <v>0.8294720578085961</v>
      </c>
      <c r="BF4" t="n">
        <v>0.9172458627835079</v>
      </c>
    </row>
    <row r="5">
      <c r="A5" s="13" t="n"/>
      <c r="B5" s="13" t="inlineStr">
        <is>
          <t>100040x100050</t>
        </is>
      </c>
      <c r="C5" t="n">
        <v>0.5641581845130286</v>
      </c>
      <c r="D5" t="n">
        <v>0.5578526403777793</v>
      </c>
      <c r="E5" t="n">
        <v>0.5747000352305867</v>
      </c>
      <c r="F5" t="n">
        <v>0.5779717219207826</v>
      </c>
      <c r="G5" t="n">
        <v>0.577622071269263</v>
      </c>
      <c r="H5" t="n">
        <v>0.5808165724142399</v>
      </c>
      <c r="I5" t="n">
        <v>0.4687100579250348</v>
      </c>
      <c r="J5" t="n">
        <v>0.5289851340521696</v>
      </c>
      <c r="K5" t="n">
        <v>0.5591254752558725</v>
      </c>
      <c r="L5" t="n">
        <v>0.5128286702049729</v>
      </c>
      <c r="M5" t="n">
        <v>0.5232536677346382</v>
      </c>
      <c r="N5" t="n">
        <v>0.5470584802629925</v>
      </c>
      <c r="O5" t="n">
        <v>0.5354155155526165</v>
      </c>
      <c r="P5" t="n">
        <v>0.508707146581077</v>
      </c>
      <c r="Q5" t="n">
        <v>0.4500278222157944</v>
      </c>
      <c r="R5" t="n">
        <v>0.4594621073013074</v>
      </c>
      <c r="S5" t="n">
        <v>0.4636625146129323</v>
      </c>
      <c r="T5" t="n">
        <v>0.4419020742938612</v>
      </c>
      <c r="U5" t="n">
        <v>0.4848181458084377</v>
      </c>
      <c r="V5" t="n">
        <v>0.5341904193227442</v>
      </c>
      <c r="W5" t="n">
        <v>0.5351107045713148</v>
      </c>
      <c r="X5" t="n">
        <v>0.522830326916682</v>
      </c>
      <c r="Y5" t="n">
        <v>0.5142100031036294</v>
      </c>
      <c r="Z5" t="n">
        <v>0.5714467808284864</v>
      </c>
      <c r="AA5" t="n">
        <v>0.5438268544028236</v>
      </c>
      <c r="AB5" t="n">
        <v>0.5545495544839091</v>
      </c>
      <c r="AC5" t="n">
        <v>0.5030285295632628</v>
      </c>
      <c r="AD5" t="n">
        <v>0.5300861807045826</v>
      </c>
      <c r="AE5" t="n">
        <v>0.5778217596821247</v>
      </c>
      <c r="AF5" t="n">
        <v>0.5451528695216515</v>
      </c>
      <c r="AG5" t="n">
        <v>0.5037373517217654</v>
      </c>
      <c r="AH5" t="n">
        <v>0.6148370751487116</v>
      </c>
      <c r="AI5" t="n">
        <v>0.6832201960004225</v>
      </c>
      <c r="AJ5" t="n">
        <v>0.6759347701602703</v>
      </c>
      <c r="AK5" t="n">
        <v>0.7149594603986171</v>
      </c>
      <c r="AL5" t="n">
        <v>0.9365163789311844</v>
      </c>
      <c r="AM5" t="n">
        <v>0.9847349335454854</v>
      </c>
      <c r="AN5" t="n">
        <v>0.9511731352481551</v>
      </c>
      <c r="AO5" t="n">
        <v>0.9927237286402204</v>
      </c>
      <c r="AP5" t="n">
        <v>0.9864178211531492</v>
      </c>
      <c r="AQ5" t="n">
        <v>0.9699024372316462</v>
      </c>
      <c r="AR5" t="n">
        <v>0.9648749544716472</v>
      </c>
      <c r="AS5" t="n">
        <v>0.94153160200471</v>
      </c>
      <c r="AT5" t="n">
        <v>0.9086086950124822</v>
      </c>
      <c r="AU5" t="n">
        <v>0.9475826512765587</v>
      </c>
      <c r="AV5" t="n">
        <v>0.8677416977939209</v>
      </c>
      <c r="AW5" t="n">
        <v>0.8968523549798879</v>
      </c>
      <c r="AX5" t="n">
        <v>0.893315565024399</v>
      </c>
      <c r="AY5" t="n">
        <v>0.8989372625835063</v>
      </c>
      <c r="AZ5" t="n">
        <v>0.9287120772333817</v>
      </c>
      <c r="BA5" t="n">
        <v>0.9416379817387023</v>
      </c>
      <c r="BB5" t="n">
        <v>0.925856799065145</v>
      </c>
      <c r="BC5" t="n">
        <v>0.9816050275448149</v>
      </c>
      <c r="BD5" t="n">
        <v>0.8970238821182184</v>
      </c>
      <c r="BE5" t="n">
        <v>0.8583247761468474</v>
      </c>
      <c r="BF5" t="n">
        <v>0.8636639946004522</v>
      </c>
    </row>
    <row r="6">
      <c r="A6" s="13" t="n"/>
      <c r="B6" s="13" t="inlineStr">
        <is>
          <t>REST</t>
        </is>
      </c>
      <c r="C6" t="n">
        <v>0.9467359044692083</v>
      </c>
      <c r="D6" t="n">
        <v>0.9419364920197856</v>
      </c>
      <c r="E6" t="n">
        <v>0.9357030438606764</v>
      </c>
      <c r="F6" t="n">
        <v>0.9516421764466265</v>
      </c>
      <c r="G6" t="n">
        <v>0.9477966306663976</v>
      </c>
      <c r="H6" t="n">
        <v>0.9728367771223685</v>
      </c>
      <c r="I6" t="n">
        <v>0.9725677907803911</v>
      </c>
      <c r="J6" t="n">
        <v>0.8613636897731113</v>
      </c>
      <c r="K6" t="n">
        <v>0.8622668082863578</v>
      </c>
      <c r="L6" t="n">
        <v>0.9094072507669795</v>
      </c>
      <c r="M6" t="n">
        <v>0.9224494163359173</v>
      </c>
      <c r="N6" t="n">
        <v>0.939732590273934</v>
      </c>
      <c r="O6" t="n">
        <v>0.9060727377652545</v>
      </c>
      <c r="P6" t="n">
        <v>0.8738888962205549</v>
      </c>
      <c r="Q6" t="n">
        <v>0.8614483029745914</v>
      </c>
      <c r="R6" t="n">
        <v>0.8497387402005522</v>
      </c>
      <c r="S6" t="n">
        <v>0.8560801277516253</v>
      </c>
      <c r="T6" t="n">
        <v>0.8090056830342939</v>
      </c>
      <c r="U6" t="n">
        <v>0.8126698779799931</v>
      </c>
      <c r="V6" t="n">
        <v>0.8740896241682051</v>
      </c>
      <c r="W6" t="n">
        <v>0.8993202575816196</v>
      </c>
      <c r="X6" t="n">
        <v>0.921954009495553</v>
      </c>
      <c r="Y6" t="n">
        <v>0.9029597564885992</v>
      </c>
      <c r="Z6" t="n">
        <v>0.8962385580041871</v>
      </c>
      <c r="AA6" t="n">
        <v>0.8945678341266163</v>
      </c>
      <c r="AB6" t="n">
        <v>0.912315027179079</v>
      </c>
      <c r="AC6" t="n">
        <v>0.9082694305679248</v>
      </c>
      <c r="AD6" t="n">
        <v>0.9341156576356106</v>
      </c>
      <c r="AE6" t="n">
        <v>0.9250085516480796</v>
      </c>
      <c r="AF6" t="n">
        <v>0.9209897815438542</v>
      </c>
      <c r="AG6" t="n">
        <v>0.9217500942879203</v>
      </c>
      <c r="AH6" t="n">
        <v>0.9184235926282251</v>
      </c>
      <c r="AI6" t="n">
        <v>0.9131446599217933</v>
      </c>
      <c r="AJ6" t="n">
        <v>0.9193866984336292</v>
      </c>
      <c r="AK6" t="n">
        <v>0.9137681657425957</v>
      </c>
      <c r="AL6" t="n">
        <v>0.9072063531022998</v>
      </c>
      <c r="AM6" t="n">
        <v>0.8952001201505201</v>
      </c>
      <c r="AN6" t="n">
        <v>0.8673862261821362</v>
      </c>
      <c r="AO6" t="n">
        <v>0.8738554280463331</v>
      </c>
      <c r="AP6" t="n">
        <v>0.8664010519046808</v>
      </c>
      <c r="AQ6" t="n">
        <v>0.8741318678637509</v>
      </c>
      <c r="AR6" t="n">
        <v>0.7973272983745725</v>
      </c>
      <c r="AS6" t="n">
        <v>0.844769918738725</v>
      </c>
      <c r="AT6" t="n">
        <v>0.8181679891005643</v>
      </c>
      <c r="AU6" t="n">
        <v>0.7697312684796158</v>
      </c>
      <c r="AV6" t="n">
        <v>0.7797643346860663</v>
      </c>
      <c r="AW6" t="n">
        <v>0.779467767324598</v>
      </c>
      <c r="AX6" t="n">
        <v>0.8065736183222758</v>
      </c>
      <c r="AY6" t="n">
        <v>0.8255922437010256</v>
      </c>
      <c r="AZ6" t="n">
        <v>0.8353520422958001</v>
      </c>
      <c r="BA6" t="n">
        <v>0.8340373910629504</v>
      </c>
      <c r="BB6" t="n">
        <v>0.8153657795455407</v>
      </c>
      <c r="BC6" t="n">
        <v>0.8197083436624556</v>
      </c>
      <c r="BD6" t="n">
        <v>0.8620909736668104</v>
      </c>
      <c r="BE6" t="n">
        <v>0.801711149235292</v>
      </c>
      <c r="BF6" t="n">
        <v>0.7323075293741489</v>
      </c>
    </row>
    <row r="7">
      <c r="A7" s="13" t="inlineStr">
        <is>
          <t>100010</t>
        </is>
      </c>
      <c r="B7" s="13" t="inlineStr">
        <is>
          <t>010000</t>
        </is>
      </c>
      <c r="C7" t="n">
        <v>1.001015767030604</v>
      </c>
      <c r="D7" t="n">
        <v>0.9983157988461893</v>
      </c>
      <c r="E7" t="n">
        <v>0.998102356233819</v>
      </c>
      <c r="F7" t="n">
        <v>0.9978086091661865</v>
      </c>
      <c r="G7" t="n">
        <v>0.9968223305005097</v>
      </c>
      <c r="H7" t="n">
        <v>0.9935731203818668</v>
      </c>
      <c r="I7" t="n">
        <v>0.9985548348124201</v>
      </c>
      <c r="J7" t="n">
        <v>0.9979454979230354</v>
      </c>
      <c r="K7" t="n">
        <v>0.998646764351408</v>
      </c>
      <c r="L7" t="n">
        <v>0.9981951642771278</v>
      </c>
      <c r="M7" t="n">
        <v>0.9964093023722986</v>
      </c>
      <c r="N7" t="n">
        <v>0.9959133018669989</v>
      </c>
      <c r="O7" t="n">
        <v>0.9912478936771709</v>
      </c>
      <c r="P7" t="n">
        <v>0.994061266290761</v>
      </c>
      <c r="Q7" t="n">
        <v>0.9939605771398442</v>
      </c>
      <c r="R7" t="n">
        <v>0.9960803833421537</v>
      </c>
      <c r="S7" t="n">
        <v>0.9981562368716222</v>
      </c>
      <c r="T7" t="n">
        <v>0.9996756885976215</v>
      </c>
      <c r="U7" t="n">
        <v>0.9976817094197117</v>
      </c>
      <c r="V7" t="n">
        <v>0.9965901366078027</v>
      </c>
      <c r="W7" t="n">
        <v>0.9967681319444439</v>
      </c>
      <c r="X7" t="n">
        <v>0.9974328302544103</v>
      </c>
      <c r="Y7" t="n">
        <v>0.9983905652439595</v>
      </c>
      <c r="Z7" t="n">
        <v>0.9976637860011243</v>
      </c>
      <c r="AA7" t="n">
        <v>0.9957571646143801</v>
      </c>
      <c r="AB7" t="n">
        <v>0.9981526314134558</v>
      </c>
      <c r="AC7" t="n">
        <v>0.9976474065170637</v>
      </c>
      <c r="AD7" t="n">
        <v>0.9976186086672563</v>
      </c>
      <c r="AE7" t="n">
        <v>0.997410648016368</v>
      </c>
      <c r="AF7" t="n">
        <v>0.9985738355548028</v>
      </c>
      <c r="AG7" t="n">
        <v>0.9991222089573416</v>
      </c>
      <c r="AH7" t="n">
        <v>0.9987410295490142</v>
      </c>
      <c r="AI7" t="n">
        <v>0.9981990038550436</v>
      </c>
      <c r="AJ7" t="n">
        <v>0.9991000999150272</v>
      </c>
      <c r="AK7" t="n">
        <v>0.9997831414530103</v>
      </c>
      <c r="AL7" t="n">
        <v>0.9991082696944694</v>
      </c>
      <c r="AM7" t="n">
        <v>0.9988834667127333</v>
      </c>
      <c r="AN7" t="n">
        <v>0.9992121496946315</v>
      </c>
      <c r="AO7" t="n">
        <v>0.9994091374783853</v>
      </c>
      <c r="AP7" t="n">
        <v>0.9996596416164606</v>
      </c>
      <c r="AQ7" t="n">
        <v>0.9991571975746782</v>
      </c>
      <c r="AR7" t="n">
        <v>0.998040436611067</v>
      </c>
      <c r="AS7" t="n">
        <v>0.9984091843370203</v>
      </c>
      <c r="AT7" t="n">
        <v>0.9982133319730714</v>
      </c>
      <c r="AU7" t="n">
        <v>0.9980175007842903</v>
      </c>
      <c r="AV7" t="n">
        <v>0.9982260116781011</v>
      </c>
      <c r="AW7" t="n">
        <v>0.9982075828077934</v>
      </c>
      <c r="AX7" t="n">
        <v>0.9982277253305718</v>
      </c>
      <c r="AY7" t="n">
        <v>0.9975548483672944</v>
      </c>
      <c r="AZ7" t="n">
        <v>0.9978417529893324</v>
      </c>
      <c r="BA7" t="n">
        <v>0.9988069664176139</v>
      </c>
      <c r="BB7" t="n">
        <v>0.9975775873084453</v>
      </c>
      <c r="BC7" t="n">
        <v>0.9993315167215563</v>
      </c>
      <c r="BD7" t="n">
        <v>0.9997358648200027</v>
      </c>
      <c r="BE7" t="n">
        <v>0.9990437043522976</v>
      </c>
      <c r="BF7" t="n">
        <v>0.9984617602074025</v>
      </c>
    </row>
    <row r="8">
      <c r="A8" s="13" t="n"/>
      <c r="B8" s="13" t="inlineStr">
        <is>
          <t>100010</t>
        </is>
      </c>
      <c r="C8" t="n">
        <v>1.021154199829037</v>
      </c>
      <c r="D8" t="n">
        <v>1.017363501936791</v>
      </c>
      <c r="E8" t="n">
        <v>1.022379812728716</v>
      </c>
      <c r="F8" t="n">
        <v>1.018977893842658</v>
      </c>
      <c r="G8" t="n">
        <v>1.018163208390231</v>
      </c>
      <c r="H8" t="n">
        <v>1.018176886704826</v>
      </c>
      <c r="I8" t="n">
        <v>1.022747772878618</v>
      </c>
      <c r="J8" t="n">
        <v>1.021497429859204</v>
      </c>
      <c r="K8" t="n">
        <v>1.022769913012241</v>
      </c>
      <c r="L8" t="n">
        <v>1.021360572792341</v>
      </c>
      <c r="M8" t="n">
        <v>1.025808087173697</v>
      </c>
      <c r="N8" t="n">
        <v>1.027413250611434</v>
      </c>
      <c r="O8" t="n">
        <v>1.026732074614797</v>
      </c>
      <c r="P8" t="n">
        <v>1.028458542184502</v>
      </c>
      <c r="Q8" t="n">
        <v>1.028638717227546</v>
      </c>
      <c r="R8" t="n">
        <v>1.027226504582174</v>
      </c>
      <c r="S8" t="n">
        <v>1.023258158620789</v>
      </c>
      <c r="T8" t="n">
        <v>1.024583437502544</v>
      </c>
      <c r="U8" t="n">
        <v>1.024031494892698</v>
      </c>
      <c r="V8" t="n">
        <v>1.019243647322068</v>
      </c>
      <c r="W8" t="n">
        <v>1.007578534803779</v>
      </c>
      <c r="X8" t="n">
        <v>0.9972173680200962</v>
      </c>
      <c r="Y8" t="n">
        <v>0.9920413066619722</v>
      </c>
      <c r="Z8" t="n">
        <v>0.9811814808519441</v>
      </c>
      <c r="AA8" t="n">
        <v>0.9689615816482805</v>
      </c>
      <c r="AB8" t="n">
        <v>0.97260113877893</v>
      </c>
      <c r="AC8" t="n">
        <v>0.9556666218886675</v>
      </c>
      <c r="AD8" t="n">
        <v>0.9639537885448847</v>
      </c>
      <c r="AE8" t="n">
        <v>0.9595952775461182</v>
      </c>
      <c r="AF8" t="n">
        <v>0.9618418038757217</v>
      </c>
      <c r="AG8" t="n">
        <v>0.9352978917382883</v>
      </c>
      <c r="AH8" t="n">
        <v>0.9063841340692195</v>
      </c>
      <c r="AI8" t="n">
        <v>0.8687091659948605</v>
      </c>
      <c r="AJ8" t="n">
        <v>0.8939790576191465</v>
      </c>
      <c r="AK8" t="n">
        <v>0.9330718864770275</v>
      </c>
      <c r="AL8" t="n">
        <v>0.9376993135092691</v>
      </c>
      <c r="AM8" t="n">
        <v>0.9136001790782183</v>
      </c>
      <c r="AN8" t="n">
        <v>0.9016288313733833</v>
      </c>
      <c r="AO8" t="n">
        <v>0.8682114793346781</v>
      </c>
      <c r="AP8" t="n">
        <v>0.8367161591416885</v>
      </c>
      <c r="AQ8" t="n">
        <v>0.7940348705149921</v>
      </c>
      <c r="AR8" t="n">
        <v>0.8076138971115848</v>
      </c>
      <c r="AS8" t="n">
        <v>0.8442276098807675</v>
      </c>
      <c r="AT8" t="n">
        <v>0.8146945013655896</v>
      </c>
      <c r="AU8" t="n">
        <v>0.7398847673780933</v>
      </c>
      <c r="AV8" t="n">
        <v>0.7555221363384432</v>
      </c>
      <c r="AW8" t="n">
        <v>0.754661992387924</v>
      </c>
      <c r="AX8" t="n">
        <v>0.7527496143095677</v>
      </c>
      <c r="AY8" t="n">
        <v>0.7325086700307769</v>
      </c>
      <c r="AZ8" t="n">
        <v>0.7563337447377243</v>
      </c>
      <c r="BA8" t="n">
        <v>0.795369533408494</v>
      </c>
      <c r="BB8" t="n">
        <v>0.7730646350978326</v>
      </c>
      <c r="BC8" t="n">
        <v>0.8496250091276319</v>
      </c>
      <c r="BD8" t="n">
        <v>0.8594163566605129</v>
      </c>
      <c r="BE8" t="n">
        <v>0.8661316900523628</v>
      </c>
      <c r="BF8" t="n">
        <v>0.8813017515925362</v>
      </c>
    </row>
    <row r="9">
      <c r="A9" s="13" t="n"/>
      <c r="B9" s="13" t="inlineStr">
        <is>
          <t>100030</t>
        </is>
      </c>
      <c r="C9" t="n">
        <v>1.326275335328144</v>
      </c>
      <c r="D9" t="n">
        <v>1.250814779179448</v>
      </c>
      <c r="E9" t="n">
        <v>1.290248897236119</v>
      </c>
      <c r="F9" t="n">
        <v>1.17118779198574</v>
      </c>
      <c r="G9" t="n">
        <v>1.034667037322929</v>
      </c>
      <c r="H9" t="n">
        <v>0.974699927446106</v>
      </c>
      <c r="I9" t="n">
        <v>1.101979886549815</v>
      </c>
      <c r="J9" t="n">
        <v>1.061232928817118</v>
      </c>
      <c r="K9" t="n">
        <v>1.086810895814049</v>
      </c>
      <c r="L9" t="n">
        <v>1.071558703491844</v>
      </c>
      <c r="M9" t="n">
        <v>1.149898376978496</v>
      </c>
      <c r="N9" t="n">
        <v>1.180774790575371</v>
      </c>
      <c r="O9" t="n">
        <v>1.099057248608144</v>
      </c>
      <c r="P9" t="n">
        <v>1.199826316090341</v>
      </c>
      <c r="Q9" t="n">
        <v>1.179792036606021</v>
      </c>
      <c r="R9" t="n">
        <v>1.2338510720212</v>
      </c>
      <c r="S9" t="n">
        <v>1.293317791701172</v>
      </c>
      <c r="T9" t="n">
        <v>1.263398803775816</v>
      </c>
      <c r="U9" t="n">
        <v>1.264222256112964</v>
      </c>
      <c r="V9" t="n">
        <v>1.289814215855373</v>
      </c>
      <c r="W9" t="n">
        <v>1.069270429772657</v>
      </c>
      <c r="X9" t="n">
        <v>1.246371669660022</v>
      </c>
      <c r="Y9" t="n">
        <v>1.095819998378906</v>
      </c>
      <c r="Z9" t="n">
        <v>1.110776419726494</v>
      </c>
      <c r="AA9" t="n">
        <v>1.185903362743451</v>
      </c>
      <c r="AB9" t="n">
        <v>1.12568442543589</v>
      </c>
      <c r="AC9" t="n">
        <v>1.182214085028788</v>
      </c>
      <c r="AD9" t="n">
        <v>1.178991084393882</v>
      </c>
      <c r="AE9" t="n">
        <v>1.178076109103136</v>
      </c>
      <c r="AF9" t="n">
        <v>1.175499373730905</v>
      </c>
      <c r="AG9" t="n">
        <v>1.19893593413241</v>
      </c>
      <c r="AH9" t="n">
        <v>1.395353038060074</v>
      </c>
      <c r="AI9" t="n">
        <v>1.257659789161576</v>
      </c>
      <c r="AJ9" t="n">
        <v>1.257138237562828</v>
      </c>
      <c r="AK9" t="n">
        <v>1.168449781782747</v>
      </c>
      <c r="AL9" t="n">
        <v>1.278123606150204</v>
      </c>
      <c r="AM9" t="n">
        <v>1.296982227054959</v>
      </c>
      <c r="AN9" t="n">
        <v>1.233180682553047</v>
      </c>
      <c r="AO9" t="n">
        <v>1.209613591280451</v>
      </c>
      <c r="AP9" t="n">
        <v>1.10738590863528</v>
      </c>
      <c r="AQ9" t="n">
        <v>0.8634165241726888</v>
      </c>
      <c r="AR9" t="n">
        <v>0.7265798027767462</v>
      </c>
      <c r="AS9" t="n">
        <v>0.8919523230624853</v>
      </c>
      <c r="AT9" t="n">
        <v>0.8363020858160778</v>
      </c>
      <c r="AU9" t="n">
        <v>0.8685516185820052</v>
      </c>
      <c r="AV9" t="n">
        <v>0.9059176307705217</v>
      </c>
      <c r="AW9" t="n">
        <v>0.8932374828252008</v>
      </c>
      <c r="AX9" t="n">
        <v>0.9035696965012955</v>
      </c>
      <c r="AY9" t="n">
        <v>0.9380249516408855</v>
      </c>
      <c r="AZ9" t="n">
        <v>0.9153823203904996</v>
      </c>
      <c r="BA9" t="n">
        <v>0.8871285343359517</v>
      </c>
      <c r="BB9" t="n">
        <v>0.7672908723501514</v>
      </c>
      <c r="BC9" t="n">
        <v>0.8306482676605947</v>
      </c>
      <c r="BD9" t="n">
        <v>0.8190972687125949</v>
      </c>
      <c r="BE9" t="n">
        <v>0.855982997035153</v>
      </c>
      <c r="BF9" t="n">
        <v>0.8907154925766309</v>
      </c>
    </row>
    <row r="10">
      <c r="A10" s="13" t="n"/>
      <c r="B10" s="13" t="inlineStr">
        <is>
          <t>100040x100050</t>
        </is>
      </c>
      <c r="C10" t="n">
        <v>1.126767809602497</v>
      </c>
      <c r="D10" t="n">
        <v>1.090650430314976</v>
      </c>
      <c r="E10" t="n">
        <v>1.085192284210287</v>
      </c>
      <c r="F10" t="n">
        <v>1.08688624959607</v>
      </c>
      <c r="G10" t="n">
        <v>1.0825477499293</v>
      </c>
      <c r="H10" t="n">
        <v>1.06673968126903</v>
      </c>
      <c r="I10" t="n">
        <v>1.094491111119281</v>
      </c>
      <c r="J10" t="n">
        <v>1.088672325293798</v>
      </c>
      <c r="K10" t="n">
        <v>1.074613105384581</v>
      </c>
      <c r="L10" t="n">
        <v>1.02811861384343</v>
      </c>
      <c r="M10" t="n">
        <v>1.006936040082391</v>
      </c>
      <c r="N10" t="n">
        <v>1.024396575169882</v>
      </c>
      <c r="O10" t="n">
        <v>0.9394204821476081</v>
      </c>
      <c r="P10" t="n">
        <v>0.9918914651609413</v>
      </c>
      <c r="Q10" t="n">
        <v>0.9613682703153857</v>
      </c>
      <c r="R10" t="n">
        <v>0.9842478954900301</v>
      </c>
      <c r="S10" t="n">
        <v>0.984774835901902</v>
      </c>
      <c r="T10" t="n">
        <v>1.053296683696947</v>
      </c>
      <c r="U10" t="n">
        <v>0.9568958002940695</v>
      </c>
      <c r="V10" t="n">
        <v>0.9396643301842605</v>
      </c>
      <c r="W10" t="n">
        <v>0.9468953321772595</v>
      </c>
      <c r="X10" t="n">
        <v>0.9528257659500454</v>
      </c>
      <c r="Y10" t="n">
        <v>0.9808662443773412</v>
      </c>
      <c r="Z10" t="n">
        <v>0.9245179425794899</v>
      </c>
      <c r="AA10" t="n">
        <v>0.896126821724742</v>
      </c>
      <c r="AB10" t="n">
        <v>0.9352434207219786</v>
      </c>
      <c r="AC10" t="n">
        <v>0.9382431334068189</v>
      </c>
      <c r="AD10" t="n">
        <v>0.9260148673141108</v>
      </c>
      <c r="AE10" t="n">
        <v>0.9272178982894473</v>
      </c>
      <c r="AF10" t="n">
        <v>0.9082850602657833</v>
      </c>
      <c r="AG10" t="n">
        <v>0.897830556269154</v>
      </c>
      <c r="AH10" t="n">
        <v>0.9102971757330759</v>
      </c>
      <c r="AI10" t="n">
        <v>0.8566722341417652</v>
      </c>
      <c r="AJ10" t="n">
        <v>0.844343688636475</v>
      </c>
      <c r="AK10" t="n">
        <v>0.8614979958939867</v>
      </c>
      <c r="AL10" t="n">
        <v>0.8902202791088667</v>
      </c>
      <c r="AM10" t="n">
        <v>0.8823874775167382</v>
      </c>
      <c r="AN10" t="n">
        <v>0.9098577294968451</v>
      </c>
      <c r="AO10" t="n">
        <v>0.908438927195336</v>
      </c>
      <c r="AP10" t="n">
        <v>0.9033781636043626</v>
      </c>
      <c r="AQ10" t="n">
        <v>0.8928228880865158</v>
      </c>
      <c r="AR10" t="n">
        <v>0.9431017044106283</v>
      </c>
      <c r="AS10" t="n">
        <v>0.8425399516540246</v>
      </c>
      <c r="AT10" t="n">
        <v>0.9101358624960708</v>
      </c>
      <c r="AU10" t="n">
        <v>0.9097299384558596</v>
      </c>
      <c r="AV10" t="n">
        <v>0.8949987966583983</v>
      </c>
      <c r="AW10" t="n">
        <v>0.9163851328358867</v>
      </c>
      <c r="AX10" t="n">
        <v>0.857687169909024</v>
      </c>
      <c r="AY10" t="n">
        <v>0.7980269154927722</v>
      </c>
      <c r="AZ10" t="n">
        <v>0.7941479250424536</v>
      </c>
      <c r="BA10" t="n">
        <v>0.8114058020735082</v>
      </c>
      <c r="BB10" t="n">
        <v>0.7849974859904021</v>
      </c>
      <c r="BC10" t="n">
        <v>0.7499933910184241</v>
      </c>
      <c r="BD10" t="n">
        <v>0.74985009014547</v>
      </c>
      <c r="BE10" t="n">
        <v>0.7923691404786189</v>
      </c>
      <c r="BF10" t="n">
        <v>0.8711891489195611</v>
      </c>
    </row>
    <row r="11">
      <c r="A11" s="13" t="n"/>
      <c r="B11" s="13" t="inlineStr">
        <is>
          <t>REST</t>
        </is>
      </c>
      <c r="C11" t="n">
        <v>0.7983843388388797</v>
      </c>
      <c r="D11" t="n">
        <v>0.7806925577091711</v>
      </c>
      <c r="E11" t="n">
        <v>0.7874566711359886</v>
      </c>
      <c r="F11" t="n">
        <v>0.7784309704470639</v>
      </c>
      <c r="G11" t="n">
        <v>0.7731448759712426</v>
      </c>
      <c r="H11" t="n">
        <v>0.7705737986140082</v>
      </c>
      <c r="I11" t="n">
        <v>0.798637105885627</v>
      </c>
      <c r="J11" t="n">
        <v>0.7359290228142518</v>
      </c>
      <c r="K11" t="n">
        <v>0.7186946884730139</v>
      </c>
      <c r="L11" t="n">
        <v>0.7323779838547986</v>
      </c>
      <c r="M11" t="n">
        <v>0.7508204413237775</v>
      </c>
      <c r="N11" t="n">
        <v>0.7447288676444015</v>
      </c>
      <c r="O11" t="n">
        <v>0.7235892938214842</v>
      </c>
      <c r="P11" t="n">
        <v>0.6925710643976385</v>
      </c>
      <c r="Q11" t="n">
        <v>0.6974332614479303</v>
      </c>
      <c r="R11" t="n">
        <v>0.6884742935171623</v>
      </c>
      <c r="S11" t="n">
        <v>0.6988422636002863</v>
      </c>
      <c r="T11" t="n">
        <v>0.6948264637102163</v>
      </c>
      <c r="U11" t="n">
        <v>0.685678851553836</v>
      </c>
      <c r="V11" t="n">
        <v>0.7494269254158711</v>
      </c>
      <c r="W11" t="n">
        <v>0.7549357754900413</v>
      </c>
      <c r="X11" t="n">
        <v>0.7866891118441628</v>
      </c>
      <c r="Y11" t="n">
        <v>0.793927668415437</v>
      </c>
      <c r="Z11" t="n">
        <v>0.8040890008998564</v>
      </c>
      <c r="AA11" t="n">
        <v>0.805514265246734</v>
      </c>
      <c r="AB11" t="n">
        <v>0.8279724125360438</v>
      </c>
      <c r="AC11" t="n">
        <v>0.8356062815907809</v>
      </c>
      <c r="AD11" t="n">
        <v>0.8304249013169613</v>
      </c>
      <c r="AE11" t="n">
        <v>0.8281882581596983</v>
      </c>
      <c r="AF11" t="n">
        <v>0.8248334292895396</v>
      </c>
      <c r="AG11" t="n">
        <v>0.8098839253850196</v>
      </c>
      <c r="AH11" t="n">
        <v>0.79652756386188</v>
      </c>
      <c r="AI11" t="n">
        <v>0.8103541414390235</v>
      </c>
      <c r="AJ11" t="n">
        <v>0.8096604393459236</v>
      </c>
      <c r="AK11" t="n">
        <v>0.7910263434418197</v>
      </c>
      <c r="AL11" t="n">
        <v>0.7858811503779892</v>
      </c>
      <c r="AM11" t="n">
        <v>0.7974347208881728</v>
      </c>
      <c r="AN11" t="n">
        <v>0.7917492072091016</v>
      </c>
      <c r="AO11" t="n">
        <v>0.7338558509897233</v>
      </c>
      <c r="AP11" t="n">
        <v>0.7651576247628981</v>
      </c>
      <c r="AQ11" t="n">
        <v>0.7352645824752824</v>
      </c>
      <c r="AR11" t="n">
        <v>0.6936382526043018</v>
      </c>
      <c r="AS11" t="n">
        <v>0.7029254745297863</v>
      </c>
      <c r="AT11" t="n">
        <v>0.7338454667655554</v>
      </c>
      <c r="AU11" t="n">
        <v>0.7304350374844799</v>
      </c>
      <c r="AV11" t="n">
        <v>0.7049678637473611</v>
      </c>
      <c r="AW11" t="n">
        <v>0.7039869392689115</v>
      </c>
      <c r="AX11" t="n">
        <v>0.7363540186114035</v>
      </c>
      <c r="AY11" t="n">
        <v>0.7388167450434496</v>
      </c>
      <c r="AZ11" t="n">
        <v>0.7384434217068867</v>
      </c>
      <c r="BA11" t="n">
        <v>0.7814377803814844</v>
      </c>
      <c r="BB11" t="n">
        <v>0.764188145786687</v>
      </c>
      <c r="BC11" t="n">
        <v>0.7565721803708686</v>
      </c>
      <c r="BD11" t="n">
        <v>0.7695259886246806</v>
      </c>
      <c r="BE11" t="n">
        <v>0.7474648293992472</v>
      </c>
      <c r="BF11" t="n">
        <v>0.7110540871303945</v>
      </c>
    </row>
    <row r="12">
      <c r="A12" s="13" t="inlineStr">
        <is>
          <t>100030</t>
        </is>
      </c>
      <c r="B12" s="13" t="inlineStr">
        <is>
          <t>010000</t>
        </is>
      </c>
      <c r="C12" t="n">
        <v>1.0042656734235</v>
      </c>
      <c r="D12" t="n">
        <v>1.004254461431221</v>
      </c>
      <c r="E12" t="n">
        <v>1.004237203603103</v>
      </c>
      <c r="F12" t="n">
        <v>1.00421523432734</v>
      </c>
      <c r="G12" t="n">
        <v>1.004220535313058</v>
      </c>
      <c r="H12" t="n">
        <v>1.004257324932646</v>
      </c>
      <c r="I12" t="n">
        <v>1.004316978774424</v>
      </c>
      <c r="J12" t="n">
        <v>1.004311153810736</v>
      </c>
      <c r="K12" t="n">
        <v>1.004296857603306</v>
      </c>
      <c r="L12" t="n">
        <v>1.004249503201006</v>
      </c>
      <c r="M12" t="n">
        <v>1.004199260287114</v>
      </c>
      <c r="N12" t="n">
        <v>1.004246829624181</v>
      </c>
      <c r="O12" t="n">
        <v>1.004231860161275</v>
      </c>
      <c r="P12" t="n">
        <v>1.004193223559937</v>
      </c>
      <c r="Q12" t="n">
        <v>1.004216666052376</v>
      </c>
      <c r="R12" t="n">
        <v>1.004223280060407</v>
      </c>
      <c r="S12" t="n">
        <v>1.004231205454552</v>
      </c>
      <c r="T12" t="n">
        <v>1.002130382958601</v>
      </c>
      <c r="U12" t="n">
        <v>1.002114002445667</v>
      </c>
      <c r="V12" t="n">
        <v>1.00250007885843</v>
      </c>
      <c r="W12" t="n">
        <v>1.004608514436701</v>
      </c>
      <c r="X12" t="n">
        <v>1.005324730135385</v>
      </c>
      <c r="Y12" t="n">
        <v>1.005466774870899</v>
      </c>
      <c r="Z12" t="n">
        <v>1.006533345527034</v>
      </c>
      <c r="AA12" t="n">
        <v>1.006536701648129</v>
      </c>
      <c r="AB12" t="n">
        <v>1.006910283648902</v>
      </c>
      <c r="AC12" t="n">
        <v>1.006239893046217</v>
      </c>
      <c r="AD12" t="n">
        <v>1.003417885960093</v>
      </c>
      <c r="AE12" t="n">
        <v>1.001394280403298</v>
      </c>
      <c r="AF12" t="n">
        <v>1.003965597816687</v>
      </c>
      <c r="AG12" t="n">
        <v>1.003546522517712</v>
      </c>
      <c r="AH12" t="n">
        <v>1.003794368626495</v>
      </c>
      <c r="AI12" t="n">
        <v>1.004263078730353</v>
      </c>
      <c r="AJ12" t="n">
        <v>1.004248043822403</v>
      </c>
      <c r="AK12" t="n">
        <v>1.004529654578787</v>
      </c>
      <c r="AL12" t="n">
        <v>1.004953866859534</v>
      </c>
      <c r="AM12" t="n">
        <v>1.004547546065806</v>
      </c>
      <c r="AN12" t="n">
        <v>1.004151241380088</v>
      </c>
      <c r="AO12" t="n">
        <v>1.003627182749142</v>
      </c>
      <c r="AP12" t="n">
        <v>1.003220671119178</v>
      </c>
      <c r="AQ12" t="n">
        <v>1.003079187202173</v>
      </c>
      <c r="AR12" t="n">
        <v>1.003179274741212</v>
      </c>
      <c r="AS12" t="n">
        <v>1.001611023423455</v>
      </c>
      <c r="AT12" t="n">
        <v>1.002609492657414</v>
      </c>
      <c r="AU12" t="n">
        <v>1.002704720943256</v>
      </c>
      <c r="AV12" t="n">
        <v>1.002419677988266</v>
      </c>
      <c r="AW12" t="n">
        <v>1.003222006806376</v>
      </c>
      <c r="AX12" t="n">
        <v>1.003241512981924</v>
      </c>
      <c r="AY12" t="n">
        <v>1.001851138244414</v>
      </c>
      <c r="AZ12" t="n">
        <v>1.001742076338941</v>
      </c>
      <c r="BA12" t="n">
        <v>1.002857809761756</v>
      </c>
      <c r="BB12" t="n">
        <v>1.0026454056498</v>
      </c>
      <c r="BC12" t="n">
        <v>1.002354217711824</v>
      </c>
      <c r="BD12" t="n">
        <v>1.002089286684906</v>
      </c>
      <c r="BE12" t="n">
        <v>1.003472450298944</v>
      </c>
      <c r="BF12" t="n">
        <v>1.003755800228882</v>
      </c>
    </row>
    <row r="13">
      <c r="A13" s="13" t="n"/>
      <c r="B13" s="13" t="inlineStr">
        <is>
          <t>100010</t>
        </is>
      </c>
      <c r="C13" t="n">
        <v>1.006170470985371</v>
      </c>
      <c r="D13" t="n">
        <v>1.001214400552676</v>
      </c>
      <c r="E13" t="n">
        <v>1.003759316656166</v>
      </c>
      <c r="F13" t="n">
        <v>0.997965132607132</v>
      </c>
      <c r="G13" t="n">
        <v>0.9929338027830132</v>
      </c>
      <c r="H13" t="n">
        <v>0.9978116159515158</v>
      </c>
      <c r="I13" t="n">
        <v>1.013041740188239</v>
      </c>
      <c r="J13" t="n">
        <v>1.013239104881685</v>
      </c>
      <c r="K13" t="n">
        <v>1.021484786767305</v>
      </c>
      <c r="L13" t="n">
        <v>1.020506678712881</v>
      </c>
      <c r="M13" t="n">
        <v>1.019825810689535</v>
      </c>
      <c r="N13" t="n">
        <v>1.019703626662841</v>
      </c>
      <c r="O13" t="n">
        <v>1.015859116667399</v>
      </c>
      <c r="P13" t="n">
        <v>1.015808180376547</v>
      </c>
      <c r="Q13" t="n">
        <v>1.017631519608516</v>
      </c>
      <c r="R13" t="n">
        <v>1.015349394426223</v>
      </c>
      <c r="S13" t="n">
        <v>1.011501939180775</v>
      </c>
      <c r="T13" t="n">
        <v>1.01404566402931</v>
      </c>
      <c r="U13" t="n">
        <v>1.008284643271656</v>
      </c>
      <c r="V13" t="n">
        <v>1.00902714681843</v>
      </c>
      <c r="W13" t="n">
        <v>1.011440659561239</v>
      </c>
      <c r="X13" t="n">
        <v>1.007129772801483</v>
      </c>
      <c r="Y13" t="n">
        <v>1.01075013347189</v>
      </c>
      <c r="Z13" t="n">
        <v>0.9991528994872678</v>
      </c>
      <c r="AA13" t="n">
        <v>0.9856031817441897</v>
      </c>
      <c r="AB13" t="n">
        <v>0.9716419323124478</v>
      </c>
      <c r="AC13" t="n">
        <v>0.9193601411249001</v>
      </c>
      <c r="AD13" t="n">
        <v>0.9770119070084599</v>
      </c>
      <c r="AE13" t="n">
        <v>0.9673260194189928</v>
      </c>
      <c r="AF13" t="n">
        <v>0.8740636846679052</v>
      </c>
      <c r="AG13" t="n">
        <v>0.935694783203129</v>
      </c>
      <c r="AH13" t="n">
        <v>0.8339165835535752</v>
      </c>
      <c r="AI13" t="n">
        <v>0.8439476010079234</v>
      </c>
      <c r="AJ13" t="n">
        <v>0.8479493192136144</v>
      </c>
      <c r="AK13" t="n">
        <v>0.8746341721031216</v>
      </c>
      <c r="AL13" t="n">
        <v>0.8696785683590041</v>
      </c>
      <c r="AM13" t="n">
        <v>0.7228755574526841</v>
      </c>
      <c r="AN13" t="n">
        <v>0.7541127457248608</v>
      </c>
      <c r="AO13" t="n">
        <v>0.7878318947207512</v>
      </c>
      <c r="AP13" t="n">
        <v>0.7323447859017405</v>
      </c>
      <c r="AQ13" t="n">
        <v>0.7742455418635225</v>
      </c>
      <c r="AR13" t="n">
        <v>0.7187362484055125</v>
      </c>
      <c r="AS13" t="n">
        <v>0.8708430759549871</v>
      </c>
      <c r="AT13" t="n">
        <v>0.873140071384928</v>
      </c>
      <c r="AU13" t="n">
        <v>0.8575612325246078</v>
      </c>
      <c r="AV13" t="n">
        <v>0.7919448169716132</v>
      </c>
      <c r="AW13" t="n">
        <v>0.8088780184025428</v>
      </c>
      <c r="AX13" t="n">
        <v>0.8779458750449901</v>
      </c>
      <c r="AY13" t="n">
        <v>0.8615954537181866</v>
      </c>
      <c r="AZ13" t="n">
        <v>0.8799051004876207</v>
      </c>
      <c r="BA13" t="n">
        <v>0.8170252276558306</v>
      </c>
      <c r="BB13" t="n">
        <v>0.8148733924728804</v>
      </c>
      <c r="BC13" t="n">
        <v>0.8027768896393591</v>
      </c>
      <c r="BD13" t="n">
        <v>0.8015099634686665</v>
      </c>
      <c r="BE13" t="n">
        <v>0.7762438287618949</v>
      </c>
      <c r="BF13" t="n">
        <v>0.766085883898365</v>
      </c>
    </row>
    <row r="14">
      <c r="A14" s="13" t="n"/>
      <c r="B14" s="13" t="inlineStr">
        <is>
          <t>100030</t>
        </is>
      </c>
      <c r="C14" t="n">
        <v>0.9539874078840159</v>
      </c>
      <c r="D14" t="n">
        <v>0.9552089134108456</v>
      </c>
      <c r="E14" t="n">
        <v>0.9551344095169435</v>
      </c>
      <c r="F14" t="n">
        <v>0.9503185222880497</v>
      </c>
      <c r="G14" t="n">
        <v>0.9461008243108894</v>
      </c>
      <c r="H14" t="n">
        <v>0.94620080622398</v>
      </c>
      <c r="I14" t="n">
        <v>0.9553127022726613</v>
      </c>
      <c r="J14" t="n">
        <v>0.9581514830706797</v>
      </c>
      <c r="K14" t="n">
        <v>0.9620992766759049</v>
      </c>
      <c r="L14" t="n">
        <v>0.9594112430818197</v>
      </c>
      <c r="M14" t="n">
        <v>0.9602312848375344</v>
      </c>
      <c r="N14" t="n">
        <v>0.962150753232328</v>
      </c>
      <c r="O14" t="n">
        <v>0.9616889005705495</v>
      </c>
      <c r="P14" t="n">
        <v>0.9586748128560003</v>
      </c>
      <c r="Q14" t="n">
        <v>0.9564542784213752</v>
      </c>
      <c r="R14" t="n">
        <v>0.96027736958257</v>
      </c>
      <c r="S14" t="n">
        <v>0.9590064626563342</v>
      </c>
      <c r="T14" t="n">
        <v>0.9551220902213617</v>
      </c>
      <c r="U14" t="n">
        <v>0.9545365527813467</v>
      </c>
      <c r="V14" t="n">
        <v>0.9536688726292515</v>
      </c>
      <c r="W14" t="n">
        <v>0.9527456879094254</v>
      </c>
      <c r="X14" t="n">
        <v>0.9505607057393151</v>
      </c>
      <c r="Y14" t="n">
        <v>0.9427345284588835</v>
      </c>
      <c r="Z14" t="n">
        <v>0.950143983008656</v>
      </c>
      <c r="AA14" t="n">
        <v>0.9467873145652576</v>
      </c>
      <c r="AB14" t="n">
        <v>0.9451819783373804</v>
      </c>
      <c r="AC14" t="n">
        <v>0.9444483235530287</v>
      </c>
      <c r="AD14" t="n">
        <v>0.9260668658523312</v>
      </c>
      <c r="AE14" t="n">
        <v>0.9068156546243421</v>
      </c>
      <c r="AF14" t="n">
        <v>0.9092200789842229</v>
      </c>
      <c r="AG14" t="n">
        <v>0.9135447510230205</v>
      </c>
      <c r="AH14" t="n">
        <v>0.9238742267808372</v>
      </c>
      <c r="AI14" t="n">
        <v>0.9150098378606141</v>
      </c>
      <c r="AJ14" t="n">
        <v>0.9151870155658824</v>
      </c>
      <c r="AK14" t="n">
        <v>0.9143387572932695</v>
      </c>
      <c r="AL14" t="n">
        <v>0.9102028925736227</v>
      </c>
      <c r="AM14" t="n">
        <v>0.9161427524333764</v>
      </c>
      <c r="AN14" t="n">
        <v>0.9100413627111583</v>
      </c>
      <c r="AO14" t="n">
        <v>0.8963522581427569</v>
      </c>
      <c r="AP14" t="n">
        <v>0.8978643174412753</v>
      </c>
      <c r="AQ14" t="n">
        <v>0.8891822076537593</v>
      </c>
      <c r="AR14" t="n">
        <v>0.8951768161344417</v>
      </c>
      <c r="AS14" t="n">
        <v>0.9260492486937469</v>
      </c>
      <c r="AT14" t="n">
        <v>0.8993993854664256</v>
      </c>
      <c r="AU14" t="n">
        <v>0.9023604715534145</v>
      </c>
      <c r="AV14" t="n">
        <v>0.9161793752230578</v>
      </c>
      <c r="AW14" t="n">
        <v>0.9067503516095311</v>
      </c>
      <c r="AX14" t="n">
        <v>0.9092826866999365</v>
      </c>
      <c r="AY14" t="n">
        <v>0.9337626852224363</v>
      </c>
      <c r="AZ14" t="n">
        <v>0.9390711165807175</v>
      </c>
      <c r="BA14" t="n">
        <v>0.9196340043760929</v>
      </c>
      <c r="BB14" t="n">
        <v>0.8983941272900102</v>
      </c>
      <c r="BC14" t="n">
        <v>0.9073610450281347</v>
      </c>
      <c r="BD14" t="n">
        <v>0.9186205654978998</v>
      </c>
      <c r="BE14" t="n">
        <v>0.9159263744166509</v>
      </c>
      <c r="BF14" t="n">
        <v>0.9030228309942103</v>
      </c>
    </row>
    <row r="15">
      <c r="A15" s="13" t="n"/>
      <c r="B15" s="13" t="inlineStr">
        <is>
          <t>100040x100050</t>
        </is>
      </c>
      <c r="C15" t="n">
        <v>0.9964760986999286</v>
      </c>
      <c r="D15" t="n">
        <v>0.990084468283384</v>
      </c>
      <c r="E15" t="n">
        <v>0.9920378839265506</v>
      </c>
      <c r="F15" t="n">
        <v>0.9877727723388213</v>
      </c>
      <c r="G15" t="n">
        <v>0.9834335348878366</v>
      </c>
      <c r="H15" t="n">
        <v>0.9902543904610213</v>
      </c>
      <c r="I15" t="n">
        <v>0.9968866710249255</v>
      </c>
      <c r="J15" t="n">
        <v>0.9708148315780015</v>
      </c>
      <c r="K15" t="n">
        <v>0.9678241718278119</v>
      </c>
      <c r="L15" t="n">
        <v>0.9678781350452357</v>
      </c>
      <c r="M15" t="n">
        <v>0.9366898124726433</v>
      </c>
      <c r="N15" t="n">
        <v>0.9407028108450334</v>
      </c>
      <c r="O15" t="n">
        <v>0.9677489906298569</v>
      </c>
      <c r="P15" t="n">
        <v>0.9907221072693857</v>
      </c>
      <c r="Q15" t="n">
        <v>0.9928672116814087</v>
      </c>
      <c r="R15" t="n">
        <v>0.9971668223379874</v>
      </c>
      <c r="S15" t="n">
        <v>0.9912275688940581</v>
      </c>
      <c r="T15" t="n">
        <v>0.8660985886274266</v>
      </c>
      <c r="U15" t="n">
        <v>0.8848290832409793</v>
      </c>
      <c r="V15" t="n">
        <v>0.932199558725345</v>
      </c>
      <c r="W15" t="n">
        <v>0.9576955238327419</v>
      </c>
      <c r="X15" t="n">
        <v>0.99169715370136</v>
      </c>
      <c r="Y15" t="n">
        <v>0.9812887866130852</v>
      </c>
      <c r="Z15" t="n">
        <v>0.9840380962700509</v>
      </c>
      <c r="AA15" t="n">
        <v>0.9430035462601106</v>
      </c>
      <c r="AB15" t="n">
        <v>0.9665706946576856</v>
      </c>
      <c r="AC15" t="n">
        <v>1.018119167749146</v>
      </c>
      <c r="AD15" t="n">
        <v>1.037258077002915</v>
      </c>
      <c r="AE15" t="n">
        <v>1.028380922244643</v>
      </c>
      <c r="AF15" t="n">
        <v>0.9800664868849822</v>
      </c>
      <c r="AG15" t="n">
        <v>0.9601079516160923</v>
      </c>
      <c r="AH15" t="n">
        <v>0.9497153954623682</v>
      </c>
      <c r="AI15" t="n">
        <v>0.9828970183062192</v>
      </c>
      <c r="AJ15" t="n">
        <v>0.9597939759945134</v>
      </c>
      <c r="AK15" t="n">
        <v>0.9812820792554168</v>
      </c>
      <c r="AL15" t="n">
        <v>0.9869431286475465</v>
      </c>
      <c r="AM15" t="n">
        <v>0.9836439445803028</v>
      </c>
      <c r="AN15" t="n">
        <v>0.9751328309262732</v>
      </c>
      <c r="AO15" t="n">
        <v>0.9683615453244097</v>
      </c>
      <c r="AP15" t="n">
        <v>0.9282256047716666</v>
      </c>
      <c r="AQ15" t="n">
        <v>0.8346530299247362</v>
      </c>
      <c r="AR15" t="n">
        <v>0.8520339907841272</v>
      </c>
      <c r="AS15" t="n">
        <v>0.8697796751409677</v>
      </c>
      <c r="AT15" t="n">
        <v>0.9237848442495681</v>
      </c>
      <c r="AU15" t="n">
        <v>0.8621957628089828</v>
      </c>
      <c r="AV15" t="n">
        <v>0.8549958688498404</v>
      </c>
      <c r="AW15" t="n">
        <v>0.8767665329587888</v>
      </c>
      <c r="AX15" t="n">
        <v>0.8483531060964981</v>
      </c>
      <c r="AY15" t="n">
        <v>0.8130512408637064</v>
      </c>
      <c r="AZ15" t="n">
        <v>0.8317942873925853</v>
      </c>
      <c r="BA15" t="n">
        <v>0.7887900724585993</v>
      </c>
      <c r="BB15" t="n">
        <v>0.7957441279905344</v>
      </c>
      <c r="BC15" t="n">
        <v>0.7934344399074966</v>
      </c>
      <c r="BD15" t="n">
        <v>0.7906963484752281</v>
      </c>
      <c r="BE15" t="n">
        <v>0.7123006250089313</v>
      </c>
      <c r="BF15" t="n">
        <v>0.7249690092080474</v>
      </c>
    </row>
    <row r="16">
      <c r="A16" s="13" t="n"/>
      <c r="B16" s="13" t="inlineStr">
        <is>
          <t>REST</t>
        </is>
      </c>
      <c r="C16" t="n">
        <v>0.795611163031831</v>
      </c>
      <c r="D16" t="n">
        <v>0.7641723696875854</v>
      </c>
      <c r="E16" t="n">
        <v>0.7890389912403287</v>
      </c>
      <c r="F16" t="n">
        <v>0.787553721293735</v>
      </c>
      <c r="G16" t="n">
        <v>0.7521756811639432</v>
      </c>
      <c r="H16" t="n">
        <v>0.7793018169806375</v>
      </c>
      <c r="I16" t="n">
        <v>0.8044233873497062</v>
      </c>
      <c r="J16" t="n">
        <v>0.7926606557802024</v>
      </c>
      <c r="K16" t="n">
        <v>0.7971229499008062</v>
      </c>
      <c r="L16" t="n">
        <v>0.8034469612658405</v>
      </c>
      <c r="M16" t="n">
        <v>0.8051959534602229</v>
      </c>
      <c r="N16" t="n">
        <v>0.8015133964605424</v>
      </c>
      <c r="O16" t="n">
        <v>0.7864029205547285</v>
      </c>
      <c r="P16" t="n">
        <v>0.8318780005673654</v>
      </c>
      <c r="Q16" t="n">
        <v>0.8152519657322833</v>
      </c>
      <c r="R16" t="n">
        <v>0.8113713006606399</v>
      </c>
      <c r="S16" t="n">
        <v>0.825154793396474</v>
      </c>
      <c r="T16" t="n">
        <v>0.8199504071492765</v>
      </c>
      <c r="U16" t="n">
        <v>0.823290378750364</v>
      </c>
      <c r="V16" t="n">
        <v>0.8257171457156722</v>
      </c>
      <c r="W16" t="n">
        <v>0.8429967235559769</v>
      </c>
      <c r="X16" t="n">
        <v>0.8178791730850671</v>
      </c>
      <c r="Y16" t="n">
        <v>0.8227644083349562</v>
      </c>
      <c r="Z16" t="n">
        <v>0.8245637975261859</v>
      </c>
      <c r="AA16" t="n">
        <v>0.7960563806661336</v>
      </c>
      <c r="AB16" t="n">
        <v>0.8187375613130743</v>
      </c>
      <c r="AC16" t="n">
        <v>0.7825910457423907</v>
      </c>
      <c r="AD16" t="n">
        <v>0.7948860109666245</v>
      </c>
      <c r="AE16" t="n">
        <v>0.8010223754003064</v>
      </c>
      <c r="AF16" t="n">
        <v>0.8217083511539459</v>
      </c>
      <c r="AG16" t="n">
        <v>0.8258110463129125</v>
      </c>
      <c r="AH16" t="n">
        <v>0.8568840108858956</v>
      </c>
      <c r="AI16" t="n">
        <v>0.8407054981077963</v>
      </c>
      <c r="AJ16" t="n">
        <v>0.7999890063300488</v>
      </c>
      <c r="AK16" t="n">
        <v>0.8079931011516385</v>
      </c>
      <c r="AL16" t="n">
        <v>0.7892867566690007</v>
      </c>
      <c r="AM16" t="n">
        <v>0.7872809954629502</v>
      </c>
      <c r="AN16" t="n">
        <v>0.7421973027171234</v>
      </c>
      <c r="AO16" t="n">
        <v>0.7805259288990408</v>
      </c>
      <c r="AP16" t="n">
        <v>0.7485042014380852</v>
      </c>
      <c r="AQ16" t="n">
        <v>0.7443047608872231</v>
      </c>
      <c r="AR16" t="n">
        <v>0.7112848513567703</v>
      </c>
      <c r="AS16" t="n">
        <v>0.7088346220806119</v>
      </c>
      <c r="AT16" t="n">
        <v>0.6865954235683872</v>
      </c>
      <c r="AU16" t="n">
        <v>0.705607657860209</v>
      </c>
      <c r="AV16" t="n">
        <v>0.6981006004133602</v>
      </c>
      <c r="AW16" t="n">
        <v>0.7147405322185302</v>
      </c>
      <c r="AX16" t="n">
        <v>0.7259052095607761</v>
      </c>
      <c r="AY16" t="n">
        <v>0.7033953232121669</v>
      </c>
      <c r="AZ16" t="n">
        <v>0.6963780035650107</v>
      </c>
      <c r="BA16" t="n">
        <v>0.7068446602157646</v>
      </c>
      <c r="BB16" t="n">
        <v>0.6853674163951157</v>
      </c>
      <c r="BC16" t="n">
        <v>0.6626920497403054</v>
      </c>
      <c r="BD16" t="n">
        <v>0.6558611268028137</v>
      </c>
      <c r="BE16" t="n">
        <v>0.6697508637745337</v>
      </c>
      <c r="BF16" t="n">
        <v>0.6694876002079726</v>
      </c>
    </row>
    <row r="17">
      <c r="A17" s="13" t="inlineStr">
        <is>
          <t>100040x100050</t>
        </is>
      </c>
      <c r="B17" s="13" t="inlineStr">
        <is>
          <t>010000</t>
        </is>
      </c>
      <c r="C17" t="n">
        <v>0.6364266702455185</v>
      </c>
      <c r="D17" t="n">
        <v>0.7383001752858294</v>
      </c>
      <c r="E17" t="n">
        <v>0.7734870779817268</v>
      </c>
      <c r="F17" t="n">
        <v>0.7423130908382312</v>
      </c>
      <c r="G17" t="n">
        <v>0.7921594332647703</v>
      </c>
      <c r="H17" t="n">
        <v>0.8343298804029609</v>
      </c>
      <c r="I17" t="n">
        <v>0.8026764044539656</v>
      </c>
      <c r="J17" t="n">
        <v>0.6953839829237135</v>
      </c>
      <c r="K17" t="n">
        <v>0.785192294425149</v>
      </c>
      <c r="L17" t="n">
        <v>0.8113042799613637</v>
      </c>
      <c r="M17" t="n">
        <v>0.7528342941738508</v>
      </c>
      <c r="N17" t="n">
        <v>0.8398905849721945</v>
      </c>
      <c r="O17" t="n">
        <v>0.837320539684365</v>
      </c>
      <c r="P17" t="n">
        <v>0.8679239426815167</v>
      </c>
      <c r="Q17" t="n">
        <v>0.8736690914596007</v>
      </c>
      <c r="R17" t="n">
        <v>0.8794460276945621</v>
      </c>
      <c r="S17" t="n">
        <v>0.8694109543868935</v>
      </c>
      <c r="T17" t="n">
        <v>0.7785352402748386</v>
      </c>
      <c r="U17" t="n">
        <v>0.8493141895016977</v>
      </c>
      <c r="V17" t="n">
        <v>0.8957114389154843</v>
      </c>
      <c r="W17" t="n">
        <v>0.8970703842755653</v>
      </c>
      <c r="X17" t="n">
        <v>0.9236790813057677</v>
      </c>
      <c r="Y17" t="n">
        <v>0.9434338152350091</v>
      </c>
      <c r="Z17" t="n">
        <v>0.9367629707206659</v>
      </c>
      <c r="AA17" t="n">
        <v>0.9325232230674515</v>
      </c>
      <c r="AB17" t="n">
        <v>0.9408312807123432</v>
      </c>
      <c r="AC17" t="n">
        <v>0.9130836510432321</v>
      </c>
      <c r="AD17" t="n">
        <v>0.9051163116805019</v>
      </c>
      <c r="AE17" t="n">
        <v>0.9386208029954193</v>
      </c>
      <c r="AF17" t="n">
        <v>0.9424821714390869</v>
      </c>
      <c r="AG17" t="n">
        <v>0.8832101274467712</v>
      </c>
      <c r="AH17" t="n">
        <v>0.8799103326613912</v>
      </c>
      <c r="AI17" t="n">
        <v>0.9180920827749585</v>
      </c>
      <c r="AJ17" t="n">
        <v>0.921932467278143</v>
      </c>
      <c r="AK17" t="n">
        <v>0.8961051705563324</v>
      </c>
      <c r="AL17" t="n">
        <v>0.8901836473972038</v>
      </c>
      <c r="AM17" t="n">
        <v>0.8920933228040629</v>
      </c>
      <c r="AN17" t="n">
        <v>0.9232391944462536</v>
      </c>
      <c r="AO17" t="n">
        <v>0.8325117626422173</v>
      </c>
      <c r="AP17" t="n">
        <v>0.8471981569353374</v>
      </c>
      <c r="AQ17" t="n">
        <v>0.8536149393768006</v>
      </c>
      <c r="AR17" t="n">
        <v>0.7681001869437249</v>
      </c>
      <c r="AS17" t="n">
        <v>0.8755241880105719</v>
      </c>
      <c r="AT17" t="n">
        <v>0.8918106005327084</v>
      </c>
      <c r="AU17" t="n">
        <v>0.9084203533547478</v>
      </c>
      <c r="AV17" t="n">
        <v>0.9402877295605259</v>
      </c>
      <c r="AW17" t="n">
        <v>0.8936660409309279</v>
      </c>
      <c r="AX17" t="n">
        <v>0.8819104611700047</v>
      </c>
      <c r="AY17" t="n">
        <v>0.8823230872413983</v>
      </c>
      <c r="AZ17" t="n">
        <v>0.8710550046850347</v>
      </c>
      <c r="BA17" t="n">
        <v>0.8803132488315185</v>
      </c>
      <c r="BB17" t="n">
        <v>0.8736550054477942</v>
      </c>
      <c r="BC17" t="n">
        <v>0.8774156191133208</v>
      </c>
      <c r="BD17" t="n">
        <v>0.8989024354453528</v>
      </c>
      <c r="BE17" t="n">
        <v>0.9224359958737265</v>
      </c>
      <c r="BF17" t="n">
        <v>0.9279043636675858</v>
      </c>
    </row>
    <row r="18">
      <c r="A18" s="13" t="n"/>
      <c r="B18" s="13" t="inlineStr">
        <is>
          <t>100010</t>
        </is>
      </c>
      <c r="C18" t="n">
        <v>1.064916001638932</v>
      </c>
      <c r="D18" t="n">
        <v>1.06335513342056</v>
      </c>
      <c r="E18" t="n">
        <v>1.066065175824472</v>
      </c>
      <c r="F18" t="n">
        <v>1.062508981364911</v>
      </c>
      <c r="G18" t="n">
        <v>1.061645518040322</v>
      </c>
      <c r="H18" t="n">
        <v>1.064537029408446</v>
      </c>
      <c r="I18" t="n">
        <v>1.065359307769011</v>
      </c>
      <c r="J18" t="n">
        <v>1.061622302644103</v>
      </c>
      <c r="K18" t="n">
        <v>1.066294340065113</v>
      </c>
      <c r="L18" t="n">
        <v>1.062961105871383</v>
      </c>
      <c r="M18" t="n">
        <v>1.064686362302625</v>
      </c>
      <c r="N18" t="n">
        <v>1.066577447001493</v>
      </c>
      <c r="O18" t="n">
        <v>1.065511493912561</v>
      </c>
      <c r="P18" t="n">
        <v>1.06741437836255</v>
      </c>
      <c r="Q18" t="n">
        <v>1.067889231950243</v>
      </c>
      <c r="R18" t="n">
        <v>1.066686911259444</v>
      </c>
      <c r="S18" t="n">
        <v>1.063632458765205</v>
      </c>
      <c r="T18" t="n">
        <v>1.06326106524275</v>
      </c>
      <c r="U18" t="n">
        <v>1.063519974030822</v>
      </c>
      <c r="V18" t="n">
        <v>1.062159810203976</v>
      </c>
      <c r="W18" t="n">
        <v>1.053141224564684</v>
      </c>
      <c r="X18" t="n">
        <v>1.047803321367281</v>
      </c>
      <c r="Y18" t="n">
        <v>1.046123012987763</v>
      </c>
      <c r="Z18" t="n">
        <v>1.040666951651353</v>
      </c>
      <c r="AA18" t="n">
        <v>1.031954024029712</v>
      </c>
      <c r="AB18" t="n">
        <v>1.029391150357339</v>
      </c>
      <c r="AC18" t="n">
        <v>1.00966368685294</v>
      </c>
      <c r="AD18" t="n">
        <v>1.00088361696136</v>
      </c>
      <c r="AE18" t="n">
        <v>1.0137359024329</v>
      </c>
      <c r="AF18" t="n">
        <v>1.001422397290947</v>
      </c>
      <c r="AG18" t="n">
        <v>0.9619126948107259</v>
      </c>
      <c r="AH18" t="n">
        <v>0.944867207310317</v>
      </c>
      <c r="AI18" t="n">
        <v>0.8855039640732213</v>
      </c>
      <c r="AJ18" t="n">
        <v>0.944999603469863</v>
      </c>
      <c r="AK18" t="n">
        <v>0.971517241691776</v>
      </c>
      <c r="AL18" t="n">
        <v>0.9453799395031972</v>
      </c>
      <c r="AM18" t="n">
        <v>0.9183389425470773</v>
      </c>
      <c r="AN18" t="n">
        <v>0.9087898960358791</v>
      </c>
      <c r="AO18" t="n">
        <v>0.9325793627194399</v>
      </c>
      <c r="AP18" t="n">
        <v>0.8919800579021312</v>
      </c>
      <c r="AQ18" t="n">
        <v>0.8838549208636045</v>
      </c>
      <c r="AR18" t="n">
        <v>0.8985846207632441</v>
      </c>
      <c r="AS18" t="n">
        <v>0.9101716337338297</v>
      </c>
      <c r="AT18" t="n">
        <v>0.9010205268847946</v>
      </c>
      <c r="AU18" t="n">
        <v>0.8678912812202937</v>
      </c>
      <c r="AV18" t="n">
        <v>0.879616414144974</v>
      </c>
      <c r="AW18" t="n">
        <v>0.8656908847015121</v>
      </c>
      <c r="AX18" t="n">
        <v>0.8652151916668606</v>
      </c>
      <c r="AY18" t="n">
        <v>0.8286837887749022</v>
      </c>
      <c r="AZ18" t="n">
        <v>0.8467558059065385</v>
      </c>
      <c r="BA18" t="n">
        <v>0.8461204264811421</v>
      </c>
      <c r="BB18" t="n">
        <v>0.8301539409527614</v>
      </c>
      <c r="BC18" t="n">
        <v>0.8453052893863364</v>
      </c>
      <c r="BD18" t="n">
        <v>0.840777095941197</v>
      </c>
      <c r="BE18" t="n">
        <v>0.8393926364775557</v>
      </c>
      <c r="BF18" t="n">
        <v>0.835094789173454</v>
      </c>
    </row>
    <row r="19">
      <c r="A19" s="13" t="n"/>
      <c r="B19" s="13" t="inlineStr">
        <is>
          <t>100030</t>
        </is>
      </c>
      <c r="C19" t="n">
        <v>1.116871806726862</v>
      </c>
      <c r="D19" t="n">
        <v>1.160633964478278</v>
      </c>
      <c r="E19" t="n">
        <v>1.225111256457861</v>
      </c>
      <c r="F19" t="n">
        <v>1.130689559292842</v>
      </c>
      <c r="G19" t="n">
        <v>1.091901338650694</v>
      </c>
      <c r="H19" t="n">
        <v>1.125785163958203</v>
      </c>
      <c r="I19" t="n">
        <v>1.180278212518157</v>
      </c>
      <c r="J19" t="n">
        <v>1.144216468035388</v>
      </c>
      <c r="K19" t="n">
        <v>1.218018823916529</v>
      </c>
      <c r="L19" t="n">
        <v>1.188135022369296</v>
      </c>
      <c r="M19" t="n">
        <v>1.229059317023773</v>
      </c>
      <c r="N19" t="n">
        <v>1.244933478124824</v>
      </c>
      <c r="O19" t="n">
        <v>1.213119266215783</v>
      </c>
      <c r="P19" t="n">
        <v>1.19088684578029</v>
      </c>
      <c r="Q19" t="n">
        <v>1.149949918162766</v>
      </c>
      <c r="R19" t="n">
        <v>1.214049162823047</v>
      </c>
      <c r="S19" t="n">
        <v>1.207699944045167</v>
      </c>
      <c r="T19" t="n">
        <v>1.095270283528699</v>
      </c>
      <c r="U19" t="n">
        <v>1.149012388637842</v>
      </c>
      <c r="V19" t="n">
        <v>1.172000190283548</v>
      </c>
      <c r="W19" t="n">
        <v>1.13864958380696</v>
      </c>
      <c r="X19" t="n">
        <v>1.145906947920025</v>
      </c>
      <c r="Y19" t="n">
        <v>1.101564372453931</v>
      </c>
      <c r="Z19" t="n">
        <v>1.155338869527857</v>
      </c>
      <c r="AA19" t="n">
        <v>1.070181185539757</v>
      </c>
      <c r="AB19" t="n">
        <v>1.104945887308265</v>
      </c>
      <c r="AC19" t="n">
        <v>1.103549884029745</v>
      </c>
      <c r="AD19" t="n">
        <v>1.152037808259376</v>
      </c>
      <c r="AE19" t="n">
        <v>1.068511848706958</v>
      </c>
      <c r="AF19" t="n">
        <v>0.9798742767746479</v>
      </c>
      <c r="AG19" t="n">
        <v>0.9729367460658217</v>
      </c>
      <c r="AH19" t="n">
        <v>1.030606463969073</v>
      </c>
      <c r="AI19" t="n">
        <v>1.048555195055598</v>
      </c>
      <c r="AJ19" t="n">
        <v>1.032679784188503</v>
      </c>
      <c r="AK19" t="n">
        <v>1.02151746538086</v>
      </c>
      <c r="AL19" t="n">
        <v>0.9809392756429349</v>
      </c>
      <c r="AM19" t="n">
        <v>0.9641104780325704</v>
      </c>
      <c r="AN19" t="n">
        <v>0.9055675866611046</v>
      </c>
      <c r="AO19" t="n">
        <v>0.8852550453365952</v>
      </c>
      <c r="AP19" t="n">
        <v>0.9685005112127627</v>
      </c>
      <c r="AQ19" t="n">
        <v>0.9967034323525522</v>
      </c>
      <c r="AR19" t="n">
        <v>0.940888941205746</v>
      </c>
      <c r="AS19" t="n">
        <v>1.101847162255524</v>
      </c>
      <c r="AT19" t="n">
        <v>0.8525472191727023</v>
      </c>
      <c r="AU19" t="n">
        <v>0.8102700583438198</v>
      </c>
      <c r="AV19" t="n">
        <v>0.9303444948865719</v>
      </c>
      <c r="AW19" t="n">
        <v>0.9213356381828968</v>
      </c>
      <c r="AX19" t="n">
        <v>0.8933850521493909</v>
      </c>
      <c r="AY19" t="n">
        <v>0.8813151000871947</v>
      </c>
      <c r="AZ19" t="n">
        <v>0.8964944339980635</v>
      </c>
      <c r="BA19" t="n">
        <v>0.8203584335991785</v>
      </c>
      <c r="BB19" t="n">
        <v>0.7823971831267376</v>
      </c>
      <c r="BC19" t="n">
        <v>0.6513260399998263</v>
      </c>
      <c r="BD19" t="n">
        <v>0.9111595471926485</v>
      </c>
      <c r="BE19" t="n">
        <v>0.8821362402287017</v>
      </c>
      <c r="BF19" t="n">
        <v>0.7701294146656673</v>
      </c>
    </row>
    <row r="20">
      <c r="A20" s="13" t="n"/>
      <c r="B20" s="13" t="inlineStr">
        <is>
          <t>100040x100050</t>
        </is>
      </c>
      <c r="C20" t="n">
        <v>0.9480385904010568</v>
      </c>
      <c r="D20" t="n">
        <v>0.9205121927009268</v>
      </c>
      <c r="E20" t="n">
        <v>0.9205973924424681</v>
      </c>
      <c r="F20" t="n">
        <v>0.942721401478969</v>
      </c>
      <c r="G20" t="n">
        <v>0.9523460608891747</v>
      </c>
      <c r="H20" t="n">
        <v>0.9420028872479489</v>
      </c>
      <c r="I20" t="n">
        <v>0.9515384230109795</v>
      </c>
      <c r="J20" t="n">
        <v>0.9522137162221533</v>
      </c>
      <c r="K20" t="n">
        <v>0.9574681077525907</v>
      </c>
      <c r="L20" t="n">
        <v>0.94195722062429</v>
      </c>
      <c r="M20" t="n">
        <v>0.9223362464032026</v>
      </c>
      <c r="N20" t="n">
        <v>0.9230061461048445</v>
      </c>
      <c r="O20" t="n">
        <v>0.9044425472275324</v>
      </c>
      <c r="P20" t="n">
        <v>0.9179739885978093</v>
      </c>
      <c r="Q20" t="n">
        <v>0.8935486908765853</v>
      </c>
      <c r="R20" t="n">
        <v>0.8937135110813407</v>
      </c>
      <c r="S20" t="n">
        <v>0.8865829418932994</v>
      </c>
      <c r="T20" t="n">
        <v>0.8674030164335493</v>
      </c>
      <c r="U20" t="n">
        <v>0.8909171199321408</v>
      </c>
      <c r="V20" t="n">
        <v>0.9254484177726184</v>
      </c>
      <c r="W20" t="n">
        <v>0.8913419257850963</v>
      </c>
      <c r="X20" t="n">
        <v>0.9286632890270465</v>
      </c>
      <c r="Y20" t="n">
        <v>0.9352732234610996</v>
      </c>
      <c r="Z20" t="n">
        <v>0.9142585046808196</v>
      </c>
      <c r="AA20" t="n">
        <v>0.8982420743064056</v>
      </c>
      <c r="AB20" t="n">
        <v>0.8949947132832712</v>
      </c>
      <c r="AC20" t="n">
        <v>0.9109224318628798</v>
      </c>
      <c r="AD20" t="n">
        <v>0.9086604300814564</v>
      </c>
      <c r="AE20" t="n">
        <v>0.8950968542945897</v>
      </c>
      <c r="AF20" t="n">
        <v>0.8520426880582626</v>
      </c>
      <c r="AG20" t="n">
        <v>0.8134528463153349</v>
      </c>
      <c r="AH20" t="n">
        <v>0.8196170919495464</v>
      </c>
      <c r="AI20" t="n">
        <v>0.8498839051397706</v>
      </c>
      <c r="AJ20" t="n">
        <v>0.8053421408042977</v>
      </c>
      <c r="AK20" t="n">
        <v>0.8014936610403381</v>
      </c>
      <c r="AL20" t="n">
        <v>0.7699023929266278</v>
      </c>
      <c r="AM20" t="n">
        <v>0.7290778462551261</v>
      </c>
      <c r="AN20" t="n">
        <v>0.7504856036525674</v>
      </c>
      <c r="AO20" t="n">
        <v>0.817158757739154</v>
      </c>
      <c r="AP20" t="n">
        <v>0.7906541633453187</v>
      </c>
      <c r="AQ20" t="n">
        <v>0.7576278739405938</v>
      </c>
      <c r="AR20" t="n">
        <v>0.7626023862454172</v>
      </c>
      <c r="AS20" t="n">
        <v>0.779685327241783</v>
      </c>
      <c r="AT20" t="n">
        <v>0.8070241776357551</v>
      </c>
      <c r="AU20" t="n">
        <v>0.8111769777820864</v>
      </c>
      <c r="AV20" t="n">
        <v>0.7667809069979686</v>
      </c>
      <c r="AW20" t="n">
        <v>0.7509549242903276</v>
      </c>
      <c r="AX20" t="n">
        <v>0.6952741112246493</v>
      </c>
      <c r="AY20" t="n">
        <v>0.6872346554817335</v>
      </c>
      <c r="AZ20" t="n">
        <v>0.7369789642443585</v>
      </c>
      <c r="BA20" t="n">
        <v>0.7350518714397224</v>
      </c>
      <c r="BB20" t="n">
        <v>0.7123206448542111</v>
      </c>
      <c r="BC20" t="n">
        <v>0.7203884111977109</v>
      </c>
      <c r="BD20" t="n">
        <v>0.6671058955980615</v>
      </c>
      <c r="BE20" t="n">
        <v>0.6203061531514013</v>
      </c>
      <c r="BF20" t="n">
        <v>0.632375190034292</v>
      </c>
    </row>
    <row r="21">
      <c r="A21" s="13" t="n"/>
      <c r="B21" s="13" t="inlineStr">
        <is>
          <t>REST</t>
        </is>
      </c>
      <c r="C21" t="n">
        <v>0.7417299331120107</v>
      </c>
      <c r="D21" t="n">
        <v>0.724977454456588</v>
      </c>
      <c r="E21" t="n">
        <v>0.7303686614346723</v>
      </c>
      <c r="F21" t="n">
        <v>0.7381779446234239</v>
      </c>
      <c r="G21" t="n">
        <v>0.7414783400899438</v>
      </c>
      <c r="H21" t="n">
        <v>0.7468110714923764</v>
      </c>
      <c r="I21" t="n">
        <v>0.7584313611910768</v>
      </c>
      <c r="J21" t="n">
        <v>0.7122482472189456</v>
      </c>
      <c r="K21" t="n">
        <v>0.7308459899522183</v>
      </c>
      <c r="L21" t="n">
        <v>0.7247830302351419</v>
      </c>
      <c r="M21" t="n">
        <v>0.7288278281877673</v>
      </c>
      <c r="N21" t="n">
        <v>0.7332507200088587</v>
      </c>
      <c r="O21" t="n">
        <v>0.7035531465844942</v>
      </c>
      <c r="P21" t="n">
        <v>0.6936111514503939</v>
      </c>
      <c r="Q21" t="n">
        <v>0.6966036078021109</v>
      </c>
      <c r="R21" t="n">
        <v>0.6820195781311836</v>
      </c>
      <c r="S21" t="n">
        <v>0.70798652187649</v>
      </c>
      <c r="T21" t="n">
        <v>0.6945943153704701</v>
      </c>
      <c r="U21" t="n">
        <v>0.6875453323778433</v>
      </c>
      <c r="V21" t="n">
        <v>0.7177101969842904</v>
      </c>
      <c r="W21" t="n">
        <v>0.7174702100895116</v>
      </c>
      <c r="X21" t="n">
        <v>0.7367473411497144</v>
      </c>
      <c r="Y21" t="n">
        <v>0.748425052454319</v>
      </c>
      <c r="Z21" t="n">
        <v>0.7542438345739677</v>
      </c>
      <c r="AA21" t="n">
        <v>0.7562023765319141</v>
      </c>
      <c r="AB21" t="n">
        <v>0.7615260602197695</v>
      </c>
      <c r="AC21" t="n">
        <v>0.750119205982569</v>
      </c>
      <c r="AD21" t="n">
        <v>0.7454730476885509</v>
      </c>
      <c r="AE21" t="n">
        <v>0.7452571339137684</v>
      </c>
      <c r="AF21" t="n">
        <v>0.7384253370486278</v>
      </c>
      <c r="AG21" t="n">
        <v>0.7416333328616445</v>
      </c>
      <c r="AH21" t="n">
        <v>0.7372280185193187</v>
      </c>
      <c r="AI21" t="n">
        <v>0.7563866071790126</v>
      </c>
      <c r="AJ21" t="n">
        <v>0.7369914723882686</v>
      </c>
      <c r="AK21" t="n">
        <v>0.7222119743061605</v>
      </c>
      <c r="AL21" t="n">
        <v>0.7002044163640898</v>
      </c>
      <c r="AM21" t="n">
        <v>0.6746615963860942</v>
      </c>
      <c r="AN21" t="n">
        <v>0.6772685914318584</v>
      </c>
      <c r="AO21" t="n">
        <v>0.7030002500991431</v>
      </c>
      <c r="AP21" t="n">
        <v>0.6822117766479628</v>
      </c>
      <c r="AQ21" t="n">
        <v>0.6784211071254848</v>
      </c>
      <c r="AR21" t="n">
        <v>0.6789558976458202</v>
      </c>
      <c r="AS21" t="n">
        <v>0.7220422732236244</v>
      </c>
      <c r="AT21" t="n">
        <v>0.6906361008289518</v>
      </c>
      <c r="AU21" t="n">
        <v>0.6939685679845317</v>
      </c>
      <c r="AV21" t="n">
        <v>0.6768398773951516</v>
      </c>
      <c r="AW21" t="n">
        <v>0.6956749468150945</v>
      </c>
      <c r="AX21" t="n">
        <v>0.7130192322186177</v>
      </c>
      <c r="AY21" t="n">
        <v>0.7134513147608381</v>
      </c>
      <c r="AZ21" t="n">
        <v>0.6959316480992066</v>
      </c>
      <c r="BA21" t="n">
        <v>0.7136893032272692</v>
      </c>
      <c r="BB21" t="n">
        <v>0.7175640860722409</v>
      </c>
      <c r="BC21" t="n">
        <v>0.6875441770904421</v>
      </c>
      <c r="BD21" t="n">
        <v>0.6939834782603453</v>
      </c>
      <c r="BE21" t="n">
        <v>0.6806220474113788</v>
      </c>
      <c r="BF21" t="n">
        <v>0.6457131623712129</v>
      </c>
    </row>
    <row r="22">
      <c r="A22" s="13" t="inlineStr">
        <is>
          <t>REST</t>
        </is>
      </c>
      <c r="B22" s="13" t="inlineStr">
        <is>
          <t>010000</t>
        </is>
      </c>
      <c r="C22" t="n">
        <v>0.4866845072805173</v>
      </c>
      <c r="D22" t="n">
        <v>0.5062080513716162</v>
      </c>
      <c r="E22" t="n">
        <v>0.5288371458611897</v>
      </c>
      <c r="F22" t="n">
        <v>0.5210649679404168</v>
      </c>
      <c r="G22" t="n">
        <v>0.4822843473030578</v>
      </c>
      <c r="H22" t="n">
        <v>0.545926890127104</v>
      </c>
      <c r="I22" t="n">
        <v>0.6566566119949832</v>
      </c>
      <c r="J22" t="n">
        <v>0.5769108564194695</v>
      </c>
      <c r="K22" t="n">
        <v>0.6790285064976409</v>
      </c>
      <c r="L22" t="n">
        <v>0.6649160797976229</v>
      </c>
      <c r="M22" t="n">
        <v>0.5408855974241358</v>
      </c>
      <c r="N22" t="n">
        <v>0.6137856014378271</v>
      </c>
      <c r="O22" t="n">
        <v>0.6208696504810535</v>
      </c>
      <c r="P22" t="n">
        <v>0.6681919957881602</v>
      </c>
      <c r="Q22" t="n">
        <v>0.6949990508219251</v>
      </c>
      <c r="R22" t="n">
        <v>0.6195890821196772</v>
      </c>
      <c r="S22" t="n">
        <v>0.6941583838038899</v>
      </c>
      <c r="T22" t="n">
        <v>0.5934862316942157</v>
      </c>
      <c r="U22" t="n">
        <v>0.525175238762939</v>
      </c>
      <c r="V22" t="n">
        <v>0.6045518478427575</v>
      </c>
      <c r="W22" t="n">
        <v>0.7193201749857312</v>
      </c>
      <c r="X22" t="n">
        <v>0.6904339188810134</v>
      </c>
      <c r="Y22" t="n">
        <v>0.6753077514573977</v>
      </c>
      <c r="Z22" t="n">
        <v>0.785706849810919</v>
      </c>
      <c r="AA22" t="n">
        <v>0.7551912332664904</v>
      </c>
      <c r="AB22" t="n">
        <v>0.8135646036621456</v>
      </c>
      <c r="AC22" t="n">
        <v>0.7664015143183939</v>
      </c>
      <c r="AD22" t="n">
        <v>0.6285873132485518</v>
      </c>
      <c r="AE22" t="n">
        <v>0.6823430398470134</v>
      </c>
      <c r="AF22" t="n">
        <v>0.6694398577958108</v>
      </c>
      <c r="AG22" t="n">
        <v>0.651864013597661</v>
      </c>
      <c r="AH22" t="n">
        <v>0.6804001127891687</v>
      </c>
      <c r="AI22" t="n">
        <v>0.7396851563659741</v>
      </c>
      <c r="AJ22" t="n">
        <v>0.7153566107030351</v>
      </c>
      <c r="AK22" t="n">
        <v>0.7009738809754982</v>
      </c>
      <c r="AL22" t="n">
        <v>0.7721941131415759</v>
      </c>
      <c r="AM22" t="n">
        <v>0.7791405679124511</v>
      </c>
      <c r="AN22" t="n">
        <v>0.806320959898238</v>
      </c>
      <c r="AO22" t="n">
        <v>0.7943579446374411</v>
      </c>
      <c r="AP22" t="n">
        <v>0.8059683749636708</v>
      </c>
      <c r="AQ22" t="n">
        <v>0.8122366734365416</v>
      </c>
      <c r="AR22" t="n">
        <v>0.8247530806244215</v>
      </c>
      <c r="AS22" t="n">
        <v>0.7778336297863827</v>
      </c>
      <c r="AT22" t="n">
        <v>0.779767310272271</v>
      </c>
      <c r="AU22" t="n">
        <v>0.8563748221243077</v>
      </c>
      <c r="AV22" t="n">
        <v>0.9037469804319022</v>
      </c>
      <c r="AW22" t="n">
        <v>0.8403232831976459</v>
      </c>
      <c r="AX22" t="n">
        <v>0.8611583634347705</v>
      </c>
      <c r="AY22" t="n">
        <v>0.7957218107178576</v>
      </c>
      <c r="AZ22" t="n">
        <v>0.8114664849553025</v>
      </c>
      <c r="BA22" t="n">
        <v>0.8591595726747837</v>
      </c>
      <c r="BB22" t="n">
        <v>0.8678653533833338</v>
      </c>
      <c r="BC22" t="n">
        <v>0.8998446521768426</v>
      </c>
      <c r="BD22" t="n">
        <v>0.8512000656262168</v>
      </c>
      <c r="BE22" t="n">
        <v>0.8530076670196164</v>
      </c>
      <c r="BF22" t="n">
        <v>0.8998192034703795</v>
      </c>
    </row>
    <row r="23">
      <c r="A23" s="13" t="n"/>
      <c r="B23" s="13" t="inlineStr">
        <is>
          <t>100010</t>
        </is>
      </c>
      <c r="C23" t="n">
        <v>1.119595117116908</v>
      </c>
      <c r="D23" t="n">
        <v>1.10161608664782</v>
      </c>
      <c r="E23" t="n">
        <v>1.111698298515769</v>
      </c>
      <c r="F23" t="n">
        <v>1.127549996930661</v>
      </c>
      <c r="G23" t="n">
        <v>1.091848237455319</v>
      </c>
      <c r="H23" t="n">
        <v>1.055229916783491</v>
      </c>
      <c r="I23" t="n">
        <v>1.126724426131181</v>
      </c>
      <c r="J23" t="n">
        <v>1.134507202142616</v>
      </c>
      <c r="K23" t="n">
        <v>1.154124477085802</v>
      </c>
      <c r="L23" t="n">
        <v>1.140881731932454</v>
      </c>
      <c r="M23" t="n">
        <v>1.142284269764583</v>
      </c>
      <c r="N23" t="n">
        <v>1.130024194030701</v>
      </c>
      <c r="O23" t="n">
        <v>1.067883974024569</v>
      </c>
      <c r="P23" t="n">
        <v>1.079816660138048</v>
      </c>
      <c r="Q23" t="n">
        <v>1.062925079082503</v>
      </c>
      <c r="R23" t="n">
        <v>1.052209728223478</v>
      </c>
      <c r="S23" t="n">
        <v>1.010988461814306</v>
      </c>
      <c r="T23" t="n">
        <v>1.016930519035502</v>
      </c>
      <c r="U23" t="n">
        <v>1.022065726408177</v>
      </c>
      <c r="V23" t="n">
        <v>1.038463103086305</v>
      </c>
      <c r="W23" t="n">
        <v>1.02618294384507</v>
      </c>
      <c r="X23" t="n">
        <v>1.012941773557209</v>
      </c>
      <c r="Y23" t="n">
        <v>1.029084512911304</v>
      </c>
      <c r="Z23" t="n">
        <v>1.035388435559984</v>
      </c>
      <c r="AA23" t="n">
        <v>1.012783490006004</v>
      </c>
      <c r="AB23" t="n">
        <v>1.03061317250678</v>
      </c>
      <c r="AC23" t="n">
        <v>1.009081255358019</v>
      </c>
      <c r="AD23" t="n">
        <v>1.02550245348067</v>
      </c>
      <c r="AE23" t="n">
        <v>1.019011488690447</v>
      </c>
      <c r="AF23" t="n">
        <v>1.024884752654859</v>
      </c>
      <c r="AG23" t="n">
        <v>1.012718355187024</v>
      </c>
      <c r="AH23" t="n">
        <v>0.9992726816021983</v>
      </c>
      <c r="AI23" t="n">
        <v>0.9690980552247047</v>
      </c>
      <c r="AJ23" t="n">
        <v>1.004560921213686</v>
      </c>
      <c r="AK23" t="n">
        <v>1.002216675739385</v>
      </c>
      <c r="AL23" t="n">
        <v>0.9970856970922676</v>
      </c>
      <c r="AM23" t="n">
        <v>0.9850444250786977</v>
      </c>
      <c r="AN23" t="n">
        <v>0.9953413667904313</v>
      </c>
      <c r="AO23" t="n">
        <v>0.9570721065599851</v>
      </c>
      <c r="AP23" t="n">
        <v>0.921897985039228</v>
      </c>
      <c r="AQ23" t="n">
        <v>0.9005890396806824</v>
      </c>
      <c r="AR23" t="n">
        <v>0.8970426532760417</v>
      </c>
      <c r="AS23" t="n">
        <v>0.9131307493468003</v>
      </c>
      <c r="AT23" t="n">
        <v>0.8875974754704377</v>
      </c>
      <c r="AU23" t="n">
        <v>0.849127377849493</v>
      </c>
      <c r="AV23" t="n">
        <v>0.8507770671478437</v>
      </c>
      <c r="AW23" t="n">
        <v>0.8512394928817892</v>
      </c>
      <c r="AX23" t="n">
        <v>0.8656028388195671</v>
      </c>
      <c r="AY23" t="n">
        <v>0.8508457913309816</v>
      </c>
      <c r="AZ23" t="n">
        <v>0.8609684135619533</v>
      </c>
      <c r="BA23" t="n">
        <v>0.8048199934412216</v>
      </c>
      <c r="BB23" t="n">
        <v>0.7792129478504831</v>
      </c>
      <c r="BC23" t="n">
        <v>0.8658470760945328</v>
      </c>
      <c r="BD23" t="n">
        <v>0.8480123516759273</v>
      </c>
      <c r="BE23" t="n">
        <v>0.8289142773893152</v>
      </c>
      <c r="BF23" t="n">
        <v>0.8242260507255087</v>
      </c>
    </row>
    <row r="24">
      <c r="A24" s="13" t="n"/>
      <c r="B24" s="13" t="inlineStr">
        <is>
          <t>100030</t>
        </is>
      </c>
      <c r="C24" t="n">
        <v>1.050270985356223</v>
      </c>
      <c r="D24" t="n">
        <v>1.050282563218411</v>
      </c>
      <c r="E24" t="n">
        <v>1.049831022494131</v>
      </c>
      <c r="F24" t="n">
        <v>1.050428656191035</v>
      </c>
      <c r="G24" t="n">
        <v>1.04850134333181</v>
      </c>
      <c r="H24" t="n">
        <v>1.045046159400647</v>
      </c>
      <c r="I24" t="n">
        <v>1.044795131387938</v>
      </c>
      <c r="J24" t="n">
        <v>1.045131720147181</v>
      </c>
      <c r="K24" t="n">
        <v>1.04852699784112</v>
      </c>
      <c r="L24" t="n">
        <v>1.040125634178874</v>
      </c>
      <c r="M24" t="n">
        <v>1.0515499521164</v>
      </c>
      <c r="N24" t="n">
        <v>1.054114553526284</v>
      </c>
      <c r="O24" t="n">
        <v>1.049743791177897</v>
      </c>
      <c r="P24" t="n">
        <v>1.044547756608464</v>
      </c>
      <c r="Q24" t="n">
        <v>1.036160339027431</v>
      </c>
      <c r="R24" t="n">
        <v>1.051396015837317</v>
      </c>
      <c r="S24" t="n">
        <v>1.048744464970193</v>
      </c>
      <c r="T24" t="n">
        <v>1.038746648881547</v>
      </c>
      <c r="U24" t="n">
        <v>1.040123534999352</v>
      </c>
      <c r="V24" t="n">
        <v>1.048970380003772</v>
      </c>
      <c r="W24" t="n">
        <v>1.046020749970687</v>
      </c>
      <c r="X24" t="n">
        <v>1.048191684368876</v>
      </c>
      <c r="Y24" t="n">
        <v>1.040806615998851</v>
      </c>
      <c r="Z24" t="n">
        <v>1.048400085350092</v>
      </c>
      <c r="AA24" t="n">
        <v>1.043061415581648</v>
      </c>
      <c r="AB24" t="n">
        <v>1.0332316699768</v>
      </c>
      <c r="AC24" t="n">
        <v>1.027256915268786</v>
      </c>
      <c r="AD24" t="n">
        <v>1.018478074338334</v>
      </c>
      <c r="AE24" t="n">
        <v>1.009840863182272</v>
      </c>
      <c r="AF24" t="n">
        <v>0.9996234935620743</v>
      </c>
      <c r="AG24" t="n">
        <v>1.01114626217345</v>
      </c>
      <c r="AH24" t="n">
        <v>1.017756319050739</v>
      </c>
      <c r="AI24" t="n">
        <v>1.002974391374568</v>
      </c>
      <c r="AJ24" t="n">
        <v>1.002554654102436</v>
      </c>
      <c r="AK24" t="n">
        <v>0.9965199437226843</v>
      </c>
      <c r="AL24" t="n">
        <v>0.9788982176897151</v>
      </c>
      <c r="AM24" t="n">
        <v>0.977468061783741</v>
      </c>
      <c r="AN24" t="n">
        <v>0.9901736206369915</v>
      </c>
      <c r="AO24" t="n">
        <v>0.9598381448230909</v>
      </c>
      <c r="AP24" t="n">
        <v>0.9772690710614184</v>
      </c>
      <c r="AQ24" t="n">
        <v>0.9660535850861089</v>
      </c>
      <c r="AR24" t="n">
        <v>0.927445023122228</v>
      </c>
      <c r="AS24" t="n">
        <v>0.9792291472409708</v>
      </c>
      <c r="AT24" t="n">
        <v>0.9179074039948095</v>
      </c>
      <c r="AU24" t="n">
        <v>0.9004358582465354</v>
      </c>
      <c r="AV24" t="n">
        <v>0.9269595315336102</v>
      </c>
      <c r="AW24" t="n">
        <v>0.9250325811680734</v>
      </c>
      <c r="AX24" t="n">
        <v>0.953090166700627</v>
      </c>
      <c r="AY24" t="n">
        <v>0.926857426826186</v>
      </c>
      <c r="AZ24" t="n">
        <v>0.8982682508945902</v>
      </c>
      <c r="BA24" t="n">
        <v>0.9463181302514584</v>
      </c>
      <c r="BB24" t="n">
        <v>0.9368368910264406</v>
      </c>
      <c r="BC24" t="n">
        <v>0.9379104853892176</v>
      </c>
      <c r="BD24" t="n">
        <v>0.9273986303432159</v>
      </c>
      <c r="BE24" t="n">
        <v>0.9219097867801934</v>
      </c>
      <c r="BF24" t="n">
        <v>0.9551881043970475</v>
      </c>
    </row>
    <row r="25">
      <c r="A25" s="13" t="n"/>
      <c r="B25" s="13" t="inlineStr">
        <is>
          <t>100040x100050</t>
        </is>
      </c>
      <c r="C25" t="n">
        <v>0.9880317414436178</v>
      </c>
      <c r="D25" t="n">
        <v>0.9791885486767266</v>
      </c>
      <c r="E25" t="n">
        <v>0.9813927112393757</v>
      </c>
      <c r="F25" t="n">
        <v>0.9898897051972317</v>
      </c>
      <c r="G25" t="n">
        <v>0.9942884998744308</v>
      </c>
      <c r="H25" t="n">
        <v>1.001699515906618</v>
      </c>
      <c r="I25" t="n">
        <v>0.9961183108114491</v>
      </c>
      <c r="J25" t="n">
        <v>0.9755271616075024</v>
      </c>
      <c r="K25" t="n">
        <v>0.9775851253069531</v>
      </c>
      <c r="L25" t="n">
        <v>0.9668981636814951</v>
      </c>
      <c r="M25" t="n">
        <v>0.9696699202865623</v>
      </c>
      <c r="N25" t="n">
        <v>0.9854923794827387</v>
      </c>
      <c r="O25" t="n">
        <v>0.9757457521496654</v>
      </c>
      <c r="P25" t="n">
        <v>0.9714435747013228</v>
      </c>
      <c r="Q25" t="n">
        <v>0.9503299173127572</v>
      </c>
      <c r="R25" t="n">
        <v>0.9538538440145992</v>
      </c>
      <c r="S25" t="n">
        <v>0.954049710875308</v>
      </c>
      <c r="T25" t="n">
        <v>0.9518278307641237</v>
      </c>
      <c r="U25" t="n">
        <v>0.9502145527774176</v>
      </c>
      <c r="V25" t="n">
        <v>0.9709850902092922</v>
      </c>
      <c r="W25" t="n">
        <v>0.9747627805411069</v>
      </c>
      <c r="X25" t="n">
        <v>0.9864715703632301</v>
      </c>
      <c r="Y25" t="n">
        <v>0.9881771446685239</v>
      </c>
      <c r="Z25" t="n">
        <v>0.9809851924316024</v>
      </c>
      <c r="AA25" t="n">
        <v>0.9681924185221118</v>
      </c>
      <c r="AB25" t="n">
        <v>0.9756919426104954</v>
      </c>
      <c r="AC25" t="n">
        <v>0.9712721955808516</v>
      </c>
      <c r="AD25" t="n">
        <v>0.9878258713440767</v>
      </c>
      <c r="AE25" t="n">
        <v>0.9718126832631172</v>
      </c>
      <c r="AF25" t="n">
        <v>0.9743586582709487</v>
      </c>
      <c r="AG25" t="n">
        <v>0.9412846868889715</v>
      </c>
      <c r="AH25" t="n">
        <v>0.9499754070403011</v>
      </c>
      <c r="AI25" t="n">
        <v>0.9456811020624432</v>
      </c>
      <c r="AJ25" t="n">
        <v>0.9515533344370486</v>
      </c>
      <c r="AK25" t="n">
        <v>0.9583993542905641</v>
      </c>
      <c r="AL25" t="n">
        <v>0.9314046423651092</v>
      </c>
      <c r="AM25" t="n">
        <v>0.9575207323892625</v>
      </c>
      <c r="AN25" t="n">
        <v>0.955105512598675</v>
      </c>
      <c r="AO25" t="n">
        <v>0.9510360618365861</v>
      </c>
      <c r="AP25" t="n">
        <v>0.9103439147465355</v>
      </c>
      <c r="AQ25" t="n">
        <v>0.8915346592194651</v>
      </c>
      <c r="AR25" t="n">
        <v>0.8764582785889816</v>
      </c>
      <c r="AS25" t="n">
        <v>0.9081721743444067</v>
      </c>
      <c r="AT25" t="n">
        <v>0.9099186509497205</v>
      </c>
      <c r="AU25" t="n">
        <v>0.8939707184182477</v>
      </c>
      <c r="AV25" t="n">
        <v>0.875544327003231</v>
      </c>
      <c r="AW25" t="n">
        <v>0.8839034480849122</v>
      </c>
      <c r="AX25" t="n">
        <v>0.8696695270116426</v>
      </c>
      <c r="AY25" t="n">
        <v>0.8791332214968088</v>
      </c>
      <c r="AZ25" t="n">
        <v>0.8854658892052195</v>
      </c>
      <c r="BA25" t="n">
        <v>0.8758467818321641</v>
      </c>
      <c r="BB25" t="n">
        <v>0.8638644541587056</v>
      </c>
      <c r="BC25" t="n">
        <v>0.8345318586406119</v>
      </c>
      <c r="BD25" t="n">
        <v>0.8323426791881192</v>
      </c>
      <c r="BE25" t="n">
        <v>0.8171956427646988</v>
      </c>
      <c r="BF25" t="n">
        <v>0.819468671929216</v>
      </c>
    </row>
    <row r="26">
      <c r="A26" s="13" t="n"/>
      <c r="B26" s="13" t="inlineStr">
        <is>
          <t>REST</t>
        </is>
      </c>
      <c r="C26" t="n">
        <v>0.7276426060581478</v>
      </c>
      <c r="D26" t="n">
        <v>0.7199692879559605</v>
      </c>
      <c r="E26" t="n">
        <v>0.7167877272700566</v>
      </c>
      <c r="F26" t="n">
        <v>0.7195125007581925</v>
      </c>
      <c r="G26" t="n">
        <v>0.7258897999809676</v>
      </c>
      <c r="H26" t="n">
        <v>0.7291271749557041</v>
      </c>
      <c r="I26" t="n">
        <v>0.7286135095945152</v>
      </c>
      <c r="J26" t="n">
        <v>0.6755765448877356</v>
      </c>
      <c r="K26" t="n">
        <v>0.712277344390622</v>
      </c>
      <c r="L26" t="n">
        <v>0.7106380817824036</v>
      </c>
      <c r="M26" t="n">
        <v>0.7250202290374937</v>
      </c>
      <c r="N26" t="n">
        <v>0.7480558249373054</v>
      </c>
      <c r="O26" t="n">
        <v>0.7265243636716147</v>
      </c>
      <c r="P26" t="n">
        <v>0.6922021735166533</v>
      </c>
      <c r="Q26" t="n">
        <v>0.6838758684205259</v>
      </c>
      <c r="R26" t="n">
        <v>0.680946722000467</v>
      </c>
      <c r="S26" t="n">
        <v>0.7021851269066126</v>
      </c>
      <c r="T26" t="n">
        <v>0.6949526754273719</v>
      </c>
      <c r="U26" t="n">
        <v>0.7062921355965651</v>
      </c>
      <c r="V26" t="n">
        <v>0.7607585235771447</v>
      </c>
      <c r="W26" t="n">
        <v>0.781026939393985</v>
      </c>
      <c r="X26" t="n">
        <v>0.7778134038985111</v>
      </c>
      <c r="Y26" t="n">
        <v>0.7738115357663016</v>
      </c>
      <c r="Z26" t="n">
        <v>0.7806500067873935</v>
      </c>
      <c r="AA26" t="n">
        <v>0.7819120255320628</v>
      </c>
      <c r="AB26" t="n">
        <v>0.7934792970434277</v>
      </c>
      <c r="AC26" t="n">
        <v>0.8068354355617477</v>
      </c>
      <c r="AD26" t="n">
        <v>0.8050728132112812</v>
      </c>
      <c r="AE26" t="n">
        <v>0.7989086409899154</v>
      </c>
      <c r="AF26" t="n">
        <v>0.8052451979407335</v>
      </c>
      <c r="AG26" t="n">
        <v>0.8086316165113232</v>
      </c>
      <c r="AH26" t="n">
        <v>0.8143020525288368</v>
      </c>
      <c r="AI26" t="n">
        <v>0.8247283112129414</v>
      </c>
      <c r="AJ26" t="n">
        <v>0.8002616380644215</v>
      </c>
      <c r="AK26" t="n">
        <v>0.8084918099228666</v>
      </c>
      <c r="AL26" t="n">
        <v>0.8138649293696762</v>
      </c>
      <c r="AM26" t="n">
        <v>0.8228546925013536</v>
      </c>
      <c r="AN26" t="n">
        <v>0.8157618881629646</v>
      </c>
      <c r="AO26" t="n">
        <v>0.7989434401223832</v>
      </c>
      <c r="AP26" t="n">
        <v>0.7839665416403645</v>
      </c>
      <c r="AQ26" t="n">
        <v>0.785589611186621</v>
      </c>
      <c r="AR26" t="n">
        <v>0.7756841577301213</v>
      </c>
      <c r="AS26" t="n">
        <v>0.8083237717523604</v>
      </c>
      <c r="AT26" t="n">
        <v>0.7985886825207454</v>
      </c>
      <c r="AU26" t="n">
        <v>0.7803182748286535</v>
      </c>
      <c r="AV26" t="n">
        <v>0.7809930031922335</v>
      </c>
      <c r="AW26" t="n">
        <v>0.7812294859606693</v>
      </c>
      <c r="AX26" t="n">
        <v>0.7895246004648717</v>
      </c>
      <c r="AY26" t="n">
        <v>0.7874218220940761</v>
      </c>
      <c r="AZ26" t="n">
        <v>0.7885248084335845</v>
      </c>
      <c r="BA26" t="n">
        <v>0.7846280001872863</v>
      </c>
      <c r="BB26" t="n">
        <v>0.7709691949456685</v>
      </c>
      <c r="BC26" t="n">
        <v>0.7620911437670933</v>
      </c>
      <c r="BD26" t="n">
        <v>0.7722089868394384</v>
      </c>
      <c r="BE26" t="n">
        <v>0.752468655975214</v>
      </c>
      <c r="BF26" t="n">
        <v>0.7140467176594218</v>
      </c>
    </row>
  </sheetData>
  <mergeCells count="5">
    <mergeCell ref="A22:A26"/>
    <mergeCell ref="A17:A21"/>
    <mergeCell ref="A12:A16"/>
    <mergeCell ref="A2:A6"/>
    <mergeCell ref="A7:A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0.9508116860365525</v>
      </c>
      <c r="D2" t="n">
        <v>0.7512424019679903</v>
      </c>
      <c r="E2" t="n">
        <v>0.5899311909894281</v>
      </c>
      <c r="F2" t="n">
        <v>0.6500157028676032</v>
      </c>
      <c r="G2" t="n">
        <v>0.7587026457466587</v>
      </c>
      <c r="H2" t="n">
        <v>0.5134929362660534</v>
      </c>
      <c r="I2" t="n">
        <v>0.5666659113819031</v>
      </c>
      <c r="J2" t="n">
        <v>0.6415005950021714</v>
      </c>
      <c r="K2" t="n">
        <v>0.5584913419644431</v>
      </c>
      <c r="L2" t="n">
        <v>0.5842123851976042</v>
      </c>
      <c r="M2" t="n">
        <v>0.5695215348372262</v>
      </c>
      <c r="N2" t="n">
        <v>0.4948806471877316</v>
      </c>
      <c r="O2" t="n">
        <v>0.4677196950561175</v>
      </c>
      <c r="P2" t="n">
        <v>0.473427459981817</v>
      </c>
      <c r="Q2" t="n">
        <v>0.4940208105037494</v>
      </c>
      <c r="R2" t="n">
        <v>0.4409376304508297</v>
      </c>
      <c r="S2" t="n">
        <v>0.4910578871754502</v>
      </c>
      <c r="T2" t="n">
        <v>0.436551318942219</v>
      </c>
      <c r="U2" t="n">
        <v>0.3572491415530673</v>
      </c>
      <c r="V2" t="n">
        <v>0.3628358474394835</v>
      </c>
      <c r="W2" t="n">
        <v>0.3066616022702991</v>
      </c>
      <c r="X2" t="n">
        <v>0.4642338288739716</v>
      </c>
      <c r="Y2" t="n">
        <v>0.33380729791952</v>
      </c>
      <c r="Z2" t="n">
        <v>0.3396238748740446</v>
      </c>
      <c r="AA2" t="n">
        <v>0.3407040150913823</v>
      </c>
      <c r="AB2" t="n">
        <v>0.7681037756110511</v>
      </c>
      <c r="AC2" t="n">
        <v>0.5739859861083839</v>
      </c>
      <c r="AD2" t="n">
        <v>0.4655713932020328</v>
      </c>
      <c r="AE2" t="n">
        <v>0.4341034991170835</v>
      </c>
      <c r="AF2" t="n">
        <v>0.4356249977731167</v>
      </c>
      <c r="AG2" t="n">
        <v>0.4228338606940873</v>
      </c>
      <c r="AH2" t="n">
        <v>0.4690810059470462</v>
      </c>
      <c r="AI2" t="n">
        <v>0.4568976713091154</v>
      </c>
      <c r="AJ2" t="n">
        <v>0.4781395021125137</v>
      </c>
      <c r="AK2" t="n">
        <v>0.5111385801168262</v>
      </c>
      <c r="AL2" t="n">
        <v>0.5482586665051034</v>
      </c>
      <c r="AM2" t="n">
        <v>0.5140817254872212</v>
      </c>
      <c r="AN2" t="n">
        <v>0.4494839244707233</v>
      </c>
      <c r="AO2" t="n">
        <v>0.4988351090058126</v>
      </c>
      <c r="AP2" t="n">
        <v>0.4410841554154399</v>
      </c>
      <c r="AQ2" t="n">
        <v>0.5446563325344996</v>
      </c>
      <c r="AR2" t="n">
        <v>0.7713287545940416</v>
      </c>
      <c r="AS2" t="n">
        <v>0.4653341504908031</v>
      </c>
      <c r="AT2" t="n">
        <v>0.4494953512245568</v>
      </c>
      <c r="AU2" t="n">
        <v>0.4688544625118851</v>
      </c>
      <c r="AV2" t="n">
        <v>0.4354751703242957</v>
      </c>
      <c r="AW2" t="n">
        <v>0.4394346195150744</v>
      </c>
      <c r="AX2" t="n">
        <v>0.4152572872768139</v>
      </c>
      <c r="AY2" t="n">
        <v>0.4306130256389845</v>
      </c>
      <c r="AZ2" t="n">
        <v>0.4582660808619775</v>
      </c>
      <c r="BA2" t="n">
        <v>0.4641465268412898</v>
      </c>
      <c r="BB2" t="n">
        <v>0.4801756705816452</v>
      </c>
      <c r="BC2" t="n">
        <v>0.4198611577846011</v>
      </c>
      <c r="BD2" t="n">
        <v>0.3386847698811002</v>
      </c>
      <c r="BE2" t="n">
        <v>0.3425394412525444</v>
      </c>
      <c r="BF2" t="n">
        <v>0.4259972889889048</v>
      </c>
    </row>
    <row r="3">
      <c r="A3" s="13" t="n"/>
      <c r="B3" s="13" t="inlineStr">
        <is>
          <t>100010</t>
        </is>
      </c>
      <c r="C3" t="n">
        <v>0.3508339171817342</v>
      </c>
      <c r="D3" t="n">
        <v>0.4451761090154172</v>
      </c>
      <c r="E3" t="n">
        <v>0.5151573565657682</v>
      </c>
      <c r="F3" t="n">
        <v>0.4704326998980846</v>
      </c>
      <c r="G3" t="n">
        <v>0.4475010813837953</v>
      </c>
      <c r="H3" t="n">
        <v>0.3938956184813235</v>
      </c>
      <c r="I3" t="n">
        <v>0.3559887384692318</v>
      </c>
      <c r="J3" t="n">
        <v>0.3641444532738975</v>
      </c>
      <c r="K3" t="n">
        <v>0.328066299140438</v>
      </c>
      <c r="L3" t="n">
        <v>0.5642634057222838</v>
      </c>
      <c r="M3" t="n">
        <v>0.5481758236695845</v>
      </c>
      <c r="N3" t="n">
        <v>0.5531103810511721</v>
      </c>
      <c r="O3" t="n">
        <v>0.4862471324162598</v>
      </c>
      <c r="P3" t="n">
        <v>0.4996805612563866</v>
      </c>
      <c r="Q3" t="n">
        <v>0.5032615130888508</v>
      </c>
      <c r="R3" t="n">
        <v>0.5121502832822364</v>
      </c>
      <c r="S3" t="n">
        <v>0.5014232865463892</v>
      </c>
      <c r="T3" t="n">
        <v>0.5458758956172649</v>
      </c>
      <c r="U3" t="n">
        <v>0.4782219845704753</v>
      </c>
      <c r="V3" t="n">
        <v>0.4577644372860467</v>
      </c>
      <c r="W3" t="n">
        <v>0.4992581963530607</v>
      </c>
      <c r="X3" t="n">
        <v>0.4281715614170952</v>
      </c>
      <c r="Y3" t="n">
        <v>0.4331491754820667</v>
      </c>
      <c r="Z3" t="n">
        <v>0.4777141735924145</v>
      </c>
      <c r="AA3" t="n">
        <v>0.4174706105773783</v>
      </c>
      <c r="AB3" t="n">
        <v>0.5084182605576906</v>
      </c>
      <c r="AC3" t="n">
        <v>0.5387560323850326</v>
      </c>
      <c r="AD3" t="n">
        <v>0.5581708541262539</v>
      </c>
      <c r="AE3" t="n">
        <v>0.5521934468019348</v>
      </c>
      <c r="AF3" t="n">
        <v>0.5285894228729687</v>
      </c>
      <c r="AG3" t="n">
        <v>0.630209252164205</v>
      </c>
      <c r="AH3" t="n">
        <v>0.6701770903376085</v>
      </c>
      <c r="AI3" t="n">
        <v>0.6639447811964784</v>
      </c>
      <c r="AJ3" t="n">
        <v>0.6240072116692631</v>
      </c>
      <c r="AK3" t="n">
        <v>0.7091083907182854</v>
      </c>
      <c r="AL3" t="n">
        <v>0.6694601438146928</v>
      </c>
      <c r="AM3" t="n">
        <v>0.7342891329286438</v>
      </c>
      <c r="AN3" t="n">
        <v>0.6539275172961435</v>
      </c>
      <c r="AO3" t="n">
        <v>0.5861052000480572</v>
      </c>
      <c r="AP3" t="n">
        <v>0.6967805470160603</v>
      </c>
      <c r="AQ3" t="n">
        <v>0.6717560139411806</v>
      </c>
      <c r="AR3" t="n">
        <v>0.7469083601351885</v>
      </c>
      <c r="AS3" t="n">
        <v>0.7813875638402997</v>
      </c>
      <c r="AT3" t="n">
        <v>0.8440535970817225</v>
      </c>
      <c r="AU3" t="n">
        <v>0.6991821950927902</v>
      </c>
      <c r="AV3" t="n">
        <v>0.6916239153745369</v>
      </c>
      <c r="AW3" t="n">
        <v>0.6823100999794759</v>
      </c>
      <c r="AX3" t="n">
        <v>0.682738659672822</v>
      </c>
      <c r="AY3" t="n">
        <v>0.7465549463402489</v>
      </c>
      <c r="AZ3" t="n">
        <v>0.7345064040274255</v>
      </c>
      <c r="BA3" t="n">
        <v>0.7424602959684374</v>
      </c>
      <c r="BB3" t="n">
        <v>0.7139933689625128</v>
      </c>
      <c r="BC3" t="n">
        <v>0.7957141306279485</v>
      </c>
      <c r="BD3" t="n">
        <v>0.7869527766106904</v>
      </c>
      <c r="BE3" t="n">
        <v>0.7981439918236474</v>
      </c>
      <c r="BF3" t="n">
        <v>0.8041453811787301</v>
      </c>
    </row>
    <row r="4">
      <c r="A4" s="13" t="n"/>
      <c r="B4" s="13" t="inlineStr">
        <is>
          <t>100030</t>
        </is>
      </c>
      <c r="C4" t="n">
        <v>0.3191235760480767</v>
      </c>
      <c r="D4" t="n">
        <v>0.2744180693399796</v>
      </c>
      <c r="E4" t="n">
        <v>0.2297885623494993</v>
      </c>
      <c r="F4" t="n">
        <v>0.3167808597790437</v>
      </c>
      <c r="G4" t="n">
        <v>0.5498583358600869</v>
      </c>
      <c r="H4" t="n">
        <v>0.5647250334091592</v>
      </c>
      <c r="I4" t="n">
        <v>0.435258457607947</v>
      </c>
      <c r="J4" t="n">
        <v>0.3818501174340467</v>
      </c>
      <c r="K4" t="n">
        <v>0.2767289934924323</v>
      </c>
      <c r="L4" t="n">
        <v>0.4247146130206865</v>
      </c>
      <c r="M4" t="n">
        <v>0.316617941200811</v>
      </c>
      <c r="N4" t="n">
        <v>0.340389471915384</v>
      </c>
      <c r="O4" t="n">
        <v>0.5244110093576899</v>
      </c>
      <c r="P4" t="n">
        <v>0.4114994821390571</v>
      </c>
      <c r="Q4" t="n">
        <v>0.4215636849241166</v>
      </c>
      <c r="R4" t="n">
        <v>0.398123100396037</v>
      </c>
      <c r="S4" t="n">
        <v>0.3587256032209875</v>
      </c>
      <c r="T4" t="n">
        <v>0.4637149385436871</v>
      </c>
      <c r="U4" t="n">
        <v>0.4291000501759719</v>
      </c>
      <c r="V4" t="n">
        <v>0.3964289860093586</v>
      </c>
      <c r="W4" t="n">
        <v>0.5274514502868212</v>
      </c>
      <c r="X4" t="n">
        <v>0.8166362955870738</v>
      </c>
      <c r="Y4" t="n">
        <v>0.7958152956410987</v>
      </c>
      <c r="Z4" t="n">
        <v>0.7305348000212937</v>
      </c>
      <c r="AA4" t="n">
        <v>1.095236620350516</v>
      </c>
      <c r="AB4" t="n">
        <v>0.793241917228954</v>
      </c>
      <c r="AC4" t="n">
        <v>0.7303929028635406</v>
      </c>
      <c r="AD4" t="n">
        <v>0.6444808168600801</v>
      </c>
      <c r="AE4" t="n">
        <v>0.7295170723197498</v>
      </c>
      <c r="AF4" t="n">
        <v>0.8249663562012516</v>
      </c>
      <c r="AG4" t="n">
        <v>0.753842985469088</v>
      </c>
      <c r="AH4" t="n">
        <v>0.7334329654717471</v>
      </c>
      <c r="AI4" t="n">
        <v>0.7606125188938923</v>
      </c>
      <c r="AJ4" t="n">
        <v>0.7694039829948102</v>
      </c>
      <c r="AK4" t="n">
        <v>0.7370552255341729</v>
      </c>
      <c r="AL4" t="n">
        <v>0.7730029559006542</v>
      </c>
      <c r="AM4" t="n">
        <v>0.6568929401226774</v>
      </c>
      <c r="AN4" t="n">
        <v>0.6856732919208326</v>
      </c>
      <c r="AO4" t="n">
        <v>0.7251572218402355</v>
      </c>
      <c r="AP4" t="n">
        <v>0.7704235366503849</v>
      </c>
      <c r="AQ4" t="n">
        <v>0.7394073215035529</v>
      </c>
      <c r="AR4" t="n">
        <v>0.7148873262305597</v>
      </c>
      <c r="AS4" t="n">
        <v>0.6809459563526739</v>
      </c>
      <c r="AT4" t="n">
        <v>0.5013254406835661</v>
      </c>
      <c r="AU4" t="n">
        <v>0.5854819152608813</v>
      </c>
      <c r="AV4" t="n">
        <v>0.5445360150041823</v>
      </c>
      <c r="AW4" t="n">
        <v>0.4336499875390767</v>
      </c>
      <c r="AX4" t="n">
        <v>0.5086753474572401</v>
      </c>
      <c r="AY4" t="n">
        <v>0.5103422396039936</v>
      </c>
      <c r="AZ4" t="n">
        <v>0.4886241285346323</v>
      </c>
      <c r="BA4" t="n">
        <v>0.4529162087766928</v>
      </c>
      <c r="BB4" t="n">
        <v>0.3975103077883596</v>
      </c>
      <c r="BC4" t="n">
        <v>0.9657699695149242</v>
      </c>
      <c r="BD4" t="n">
        <v>0.6657708403667096</v>
      </c>
      <c r="BE4" t="n">
        <v>0.7846169775617582</v>
      </c>
      <c r="BF4" t="n">
        <v>0.6268997834600035</v>
      </c>
    </row>
    <row r="5">
      <c r="A5" s="13" t="n"/>
      <c r="B5" s="13" t="inlineStr">
        <is>
          <t>100040x100050</t>
        </is>
      </c>
      <c r="C5" t="n">
        <v>0.8922020471665522</v>
      </c>
      <c r="D5" t="n">
        <v>0.901571229721615</v>
      </c>
      <c r="E5" t="n">
        <v>0.878576457176089</v>
      </c>
      <c r="F5" t="n">
        <v>0.8741688364638254</v>
      </c>
      <c r="G5" t="n">
        <v>0.8747639820106996</v>
      </c>
      <c r="H5" t="n">
        <v>0.8716696294887627</v>
      </c>
      <c r="I5" t="n">
        <v>1.007089668992726</v>
      </c>
      <c r="J5" t="n">
        <v>0.941792869803374</v>
      </c>
      <c r="K5" t="n">
        <v>0.9099994138064037</v>
      </c>
      <c r="L5" t="n">
        <v>0.954550565059586</v>
      </c>
      <c r="M5" t="n">
        <v>0.9458412376876049</v>
      </c>
      <c r="N5" t="n">
        <v>0.9246167720239349</v>
      </c>
      <c r="O5" t="n">
        <v>0.9348463821015217</v>
      </c>
      <c r="P5" t="n">
        <v>0.9567982485476338</v>
      </c>
      <c r="Q5" t="n">
        <v>0.9972240940480773</v>
      </c>
      <c r="R5" t="n">
        <v>0.990954380198855</v>
      </c>
      <c r="S5" t="n">
        <v>0.9882599127179507</v>
      </c>
      <c r="T5" t="n">
        <v>1.003966680944128</v>
      </c>
      <c r="U5" t="n">
        <v>0.9773090644361813</v>
      </c>
      <c r="V5" t="n">
        <v>0.9465222100563122</v>
      </c>
      <c r="W5" t="n">
        <v>0.9460445604341811</v>
      </c>
      <c r="X5" t="n">
        <v>0.9534890266673818</v>
      </c>
      <c r="Y5" t="n">
        <v>0.9591234672725172</v>
      </c>
      <c r="Z5" t="n">
        <v>0.9204730882579786</v>
      </c>
      <c r="AA5" t="n">
        <v>0.9380418768823688</v>
      </c>
      <c r="AB5" t="n">
        <v>0.9317553382567959</v>
      </c>
      <c r="AC5" t="n">
        <v>0.9614603879552467</v>
      </c>
      <c r="AD5" t="n">
        <v>0.9469069733095545</v>
      </c>
      <c r="AE5" t="n">
        <v>0.9208478795240509</v>
      </c>
      <c r="AF5" t="n">
        <v>0.9446391220908452</v>
      </c>
      <c r="AG5" t="n">
        <v>0.9729550964900165</v>
      </c>
      <c r="AH5" t="n">
        <v>0.8987659650723662</v>
      </c>
      <c r="AI5" t="n">
        <v>0.8498115348881089</v>
      </c>
      <c r="AJ5" t="n">
        <v>0.8562134030220583</v>
      </c>
      <c r="AK5" t="n">
        <v>0.8346113168641475</v>
      </c>
      <c r="AL5" t="n">
        <v>0.6268680521769244</v>
      </c>
      <c r="AM5" t="n">
        <v>0.5544414165855761</v>
      </c>
      <c r="AN5" t="n">
        <v>0.6103204690253294</v>
      </c>
      <c r="AO5" t="n">
        <v>0.5473583941723011</v>
      </c>
      <c r="AP5" t="n">
        <v>0.5565918164896941</v>
      </c>
      <c r="AQ5" t="n">
        <v>0.5815921877369169</v>
      </c>
      <c r="AR5" t="n">
        <v>0.5909873756557068</v>
      </c>
      <c r="AS5" t="n">
        <v>0.6273729909861135</v>
      </c>
      <c r="AT5" t="n">
        <v>0.6687935930453</v>
      </c>
      <c r="AU5" t="n">
        <v>0.6207932035654605</v>
      </c>
      <c r="AV5" t="n">
        <v>0.7130070810097069</v>
      </c>
      <c r="AW5" t="n">
        <v>0.6762828539184943</v>
      </c>
      <c r="AX5" t="n">
        <v>0.6813056459609594</v>
      </c>
      <c r="AY5" t="n">
        <v>0.6753483407155266</v>
      </c>
      <c r="AZ5" t="n">
        <v>0.6395247622905714</v>
      </c>
      <c r="BA5" t="n">
        <v>0.6220846075203893</v>
      </c>
      <c r="BB5" t="n">
        <v>0.6433381024093475</v>
      </c>
      <c r="BC5" t="n">
        <v>0.5509753518641387</v>
      </c>
      <c r="BD5" t="n">
        <v>0.6949577381078256</v>
      </c>
      <c r="BE5" t="n">
        <v>0.7525495799566594</v>
      </c>
      <c r="BF5" t="n">
        <v>0.744415298810832</v>
      </c>
    </row>
    <row r="6">
      <c r="A6" s="13" t="n"/>
      <c r="B6" s="13" t="inlineStr">
        <is>
          <t>REST</t>
        </is>
      </c>
      <c r="C6" t="n">
        <v>0.1085160280691639</v>
      </c>
      <c r="D6" t="n">
        <v>0.112219606124717</v>
      </c>
      <c r="E6" t="n">
        <v>0.1170249140165896</v>
      </c>
      <c r="F6" t="n">
        <v>0.1055098889839715</v>
      </c>
      <c r="G6" t="n">
        <v>0.1082186024534931</v>
      </c>
      <c r="H6" t="n">
        <v>0.09141204547680558</v>
      </c>
      <c r="I6" t="n">
        <v>0.09171960669304456</v>
      </c>
      <c r="J6" t="n">
        <v>0.1758725079980741</v>
      </c>
      <c r="K6" t="n">
        <v>0.1750542211568345</v>
      </c>
      <c r="L6" t="n">
        <v>0.1333036891826103</v>
      </c>
      <c r="M6" t="n">
        <v>0.1232847601767267</v>
      </c>
      <c r="N6" t="n">
        <v>0.1102847170804044</v>
      </c>
      <c r="O6" t="n">
        <v>0.1349714093447785</v>
      </c>
      <c r="P6" t="n">
        <v>0.1613808854734511</v>
      </c>
      <c r="Q6" t="n">
        <v>0.1721649717079193</v>
      </c>
      <c r="R6" t="n">
        <v>0.1827715113910256</v>
      </c>
      <c r="S6" t="n">
        <v>0.1779293387738648</v>
      </c>
      <c r="T6" t="n">
        <v>0.2201533731796302</v>
      </c>
      <c r="U6" t="n">
        <v>0.2167598925346463</v>
      </c>
      <c r="V6" t="n">
        <v>0.1590161344270099</v>
      </c>
      <c r="W6" t="n">
        <v>0.1374096148843759</v>
      </c>
      <c r="X6" t="n">
        <v>0.1185265536249646</v>
      </c>
      <c r="Y6" t="n">
        <v>0.134299268961232</v>
      </c>
      <c r="Z6" t="n">
        <v>0.1395690802719109</v>
      </c>
      <c r="AA6" t="n">
        <v>0.1408948858072011</v>
      </c>
      <c r="AB6" t="n">
        <v>0.1267842824486772</v>
      </c>
      <c r="AC6" t="n">
        <v>0.1300409485874899</v>
      </c>
      <c r="AD6" t="n">
        <v>0.1092168828159727</v>
      </c>
      <c r="AE6" t="n">
        <v>0.1164283842543698</v>
      </c>
      <c r="AF6" t="n">
        <v>0.1196694183362435</v>
      </c>
      <c r="AG6" t="n">
        <v>0.1191042895576077</v>
      </c>
      <c r="AH6" t="n">
        <v>0.1216912305557574</v>
      </c>
      <c r="AI6" t="n">
        <v>0.1258321581648422</v>
      </c>
      <c r="AJ6" t="n">
        <v>0.1211565500237903</v>
      </c>
      <c r="AK6" t="n">
        <v>0.1256845110334933</v>
      </c>
      <c r="AL6" t="n">
        <v>0.1313809965663514</v>
      </c>
      <c r="AM6" t="n">
        <v>0.1406591711307031</v>
      </c>
      <c r="AN6" t="n">
        <v>0.1620764289633125</v>
      </c>
      <c r="AO6" t="n">
        <v>0.1570438350961556</v>
      </c>
      <c r="AP6" t="n">
        <v>0.1638013621001658</v>
      </c>
      <c r="AQ6" t="n">
        <v>0.157465884455073</v>
      </c>
      <c r="AR6" t="n">
        <v>0.2261210889945665</v>
      </c>
      <c r="AS6" t="n">
        <v>0.1807665883079797</v>
      </c>
      <c r="AT6" t="n">
        <v>0.2062109762292332</v>
      </c>
      <c r="AU6" t="n">
        <v>0.2556045607653881</v>
      </c>
      <c r="AV6" t="n">
        <v>0.2447825212855542</v>
      </c>
      <c r="AW6" t="n">
        <v>0.2452041802664111</v>
      </c>
      <c r="AX6" t="n">
        <v>0.216288809765746</v>
      </c>
      <c r="AY6" t="n">
        <v>0.1971147457979726</v>
      </c>
      <c r="AZ6" t="n">
        <v>0.1880648763933509</v>
      </c>
      <c r="BA6" t="n">
        <v>0.1900038574475442</v>
      </c>
      <c r="BB6" t="n">
        <v>0.2097661241779567</v>
      </c>
      <c r="BC6" t="n">
        <v>0.2050675750220565</v>
      </c>
      <c r="BD6" t="n">
        <v>0.1607895223430419</v>
      </c>
      <c r="BE6" t="n">
        <v>0.2235524016108915</v>
      </c>
      <c r="BF6" t="n">
        <v>0.3127331852462552</v>
      </c>
    </row>
    <row r="7">
      <c r="A7" s="13" t="inlineStr">
        <is>
          <t>100010</t>
        </is>
      </c>
      <c r="B7" s="13" t="inlineStr">
        <is>
          <t>010000</t>
        </is>
      </c>
      <c r="C7" t="n">
        <v>0.07448283726563321</v>
      </c>
      <c r="D7" t="n">
        <v>0.107315242187594</v>
      </c>
      <c r="E7" t="n">
        <v>0.1097712532271304</v>
      </c>
      <c r="F7" t="n">
        <v>0.1129382520932893</v>
      </c>
      <c r="G7" t="n">
        <v>0.1277437375032334</v>
      </c>
      <c r="H7" t="n">
        <v>0.1694933859861878</v>
      </c>
      <c r="I7" t="n">
        <v>0.115461999973922</v>
      </c>
      <c r="J7" t="n">
        <v>0.1326108501387373</v>
      </c>
      <c r="K7" t="n">
        <v>0.1202866541553826</v>
      </c>
      <c r="L7" t="n">
        <v>0.1281568495804015</v>
      </c>
      <c r="M7" t="n">
        <v>0.1584366581176032</v>
      </c>
      <c r="N7" t="n">
        <v>0.1694703965594771</v>
      </c>
      <c r="O7" t="n">
        <v>0.2409361605448295</v>
      </c>
      <c r="P7" t="n">
        <v>0.1897060525895352</v>
      </c>
      <c r="Q7" t="n">
        <v>0.1933773122665119</v>
      </c>
      <c r="R7" t="n">
        <v>0.132257974278123</v>
      </c>
      <c r="S7" t="n">
        <v>0.09570536621234461</v>
      </c>
      <c r="T7" t="n">
        <v>0.05944885430507586</v>
      </c>
      <c r="U7" t="n">
        <v>0.1129069737383204</v>
      </c>
      <c r="V7" t="n">
        <v>0.1430627082382057</v>
      </c>
      <c r="W7" t="n">
        <v>0.1381862186246582</v>
      </c>
      <c r="X7" t="n">
        <v>0.1138590823315191</v>
      </c>
      <c r="Y7" t="n">
        <v>0.07270983090781077</v>
      </c>
      <c r="Z7" t="n">
        <v>0.09875528762774496</v>
      </c>
      <c r="AA7" t="n">
        <v>0.1483764463378217</v>
      </c>
      <c r="AB7" t="n">
        <v>0.0946962360948134</v>
      </c>
      <c r="AC7" t="n">
        <v>0.1130468448243767</v>
      </c>
      <c r="AD7" t="n">
        <v>0.116288746457743</v>
      </c>
      <c r="AE7" t="n">
        <v>0.1232600348361851</v>
      </c>
      <c r="AF7" t="n">
        <v>0.09904350263689259</v>
      </c>
      <c r="AG7" t="n">
        <v>0.08694707812104334</v>
      </c>
      <c r="AH7" t="n">
        <v>0.1035595785661888</v>
      </c>
      <c r="AI7" t="n">
        <v>0.1218281276476828</v>
      </c>
      <c r="AJ7" t="n">
        <v>0.09947458835534626</v>
      </c>
      <c r="AK7" t="n">
        <v>0.07945739094559193</v>
      </c>
      <c r="AL7" t="n">
        <v>0.09880006657367951</v>
      </c>
      <c r="AM7" t="n">
        <v>0.1071327984383217</v>
      </c>
      <c r="AN7" t="n">
        <v>0.09536567689197857</v>
      </c>
      <c r="AO7" t="n">
        <v>0.08928506097538146</v>
      </c>
      <c r="AP7" t="n">
        <v>0.08365756564259648</v>
      </c>
      <c r="AQ7" t="n">
        <v>0.1032748689963505</v>
      </c>
      <c r="AR7" t="n">
        <v>0.1379342441294743</v>
      </c>
      <c r="AS7" t="n">
        <v>0.1314050634272761</v>
      </c>
      <c r="AT7" t="n">
        <v>0.1359199138634327</v>
      </c>
      <c r="AU7" t="n">
        <v>0.1405584378005314</v>
      </c>
      <c r="AV7" t="n">
        <v>0.1380343240211014</v>
      </c>
      <c r="AW7" t="n">
        <v>0.1389000609393843</v>
      </c>
      <c r="AX7" t="n">
        <v>0.1384748625931021</v>
      </c>
      <c r="AY7" t="n">
        <v>0.1526506036651881</v>
      </c>
      <c r="AZ7" t="n">
        <v>0.1472635842165503</v>
      </c>
      <c r="BA7" t="n">
        <v>0.1291080549487135</v>
      </c>
      <c r="BB7" t="n">
        <v>0.1558112906235133</v>
      </c>
      <c r="BC7" t="n">
        <v>0.1132225112733015</v>
      </c>
      <c r="BD7" t="n">
        <v>0.1030692322327396</v>
      </c>
      <c r="BE7" t="n">
        <v>0.1266290955174418</v>
      </c>
      <c r="BF7" t="n">
        <v>0.1496709472841176</v>
      </c>
    </row>
    <row r="8">
      <c r="A8" s="13" t="n"/>
      <c r="B8" s="13" t="inlineStr">
        <is>
          <t>100010</t>
        </is>
      </c>
      <c r="C8" t="n">
        <v>0.2522968164356228</v>
      </c>
      <c r="D8" t="n">
        <v>0.2901628197039697</v>
      </c>
      <c r="E8" t="n">
        <v>0.2438105757237626</v>
      </c>
      <c r="F8" t="n">
        <v>0.2714089864204574</v>
      </c>
      <c r="G8" t="n">
        <v>0.2826368245953593</v>
      </c>
      <c r="H8" t="n">
        <v>0.2851288435867238</v>
      </c>
      <c r="I8" t="n">
        <v>0.2376493420543608</v>
      </c>
      <c r="J8" t="n">
        <v>0.2504347603097948</v>
      </c>
      <c r="K8" t="n">
        <v>0.2406642338450207</v>
      </c>
      <c r="L8" t="n">
        <v>0.2529205454196479</v>
      </c>
      <c r="M8" t="n">
        <v>0.2164875636709853</v>
      </c>
      <c r="N8" t="n">
        <v>0.2019958608071518</v>
      </c>
      <c r="O8" t="n">
        <v>0.2164458216589886</v>
      </c>
      <c r="P8" t="n">
        <v>0.1929551750026092</v>
      </c>
      <c r="Q8" t="n">
        <v>0.1906260504877693</v>
      </c>
      <c r="R8" t="n">
        <v>0.2076546824232556</v>
      </c>
      <c r="S8" t="n">
        <v>0.245556869228921</v>
      </c>
      <c r="T8" t="n">
        <v>0.2375411287694202</v>
      </c>
      <c r="U8" t="n">
        <v>0.2415615171833063</v>
      </c>
      <c r="V8" t="n">
        <v>0.2692605721063048</v>
      </c>
      <c r="W8" t="n">
        <v>0.3295033387482948</v>
      </c>
      <c r="X8" t="n">
        <v>0.3756767463484669</v>
      </c>
      <c r="Y8" t="n">
        <v>0.3964313019060833</v>
      </c>
      <c r="Z8" t="n">
        <v>0.4385118558871672</v>
      </c>
      <c r="AA8" t="n">
        <v>0.4796536459329533</v>
      </c>
      <c r="AB8" t="n">
        <v>0.4674830495679252</v>
      </c>
      <c r="AC8" t="n">
        <v>0.5459309397256192</v>
      </c>
      <c r="AD8" t="n">
        <v>0.515524469811835</v>
      </c>
      <c r="AE8" t="n">
        <v>0.5346229010699811</v>
      </c>
      <c r="AF8" t="n">
        <v>0.548741040196262</v>
      </c>
      <c r="AG8" t="n">
        <v>0.5961285219047561</v>
      </c>
      <c r="AH8" t="n">
        <v>0.6609639219043283</v>
      </c>
      <c r="AI8" t="n">
        <v>0.7328177746372129</v>
      </c>
      <c r="AJ8" t="n">
        <v>0.6915413401027474</v>
      </c>
      <c r="AK8" t="n">
        <v>0.6315047987547705</v>
      </c>
      <c r="AL8" t="n">
        <v>0.6243909733146593</v>
      </c>
      <c r="AM8" t="n">
        <v>0.660826546813482</v>
      </c>
      <c r="AN8" t="n">
        <v>0.6783669651356795</v>
      </c>
      <c r="AO8" t="n">
        <v>0.7219920372249333</v>
      </c>
      <c r="AP8" t="n">
        <v>0.7620805841752514</v>
      </c>
      <c r="AQ8" t="n">
        <v>0.8119125498433237</v>
      </c>
      <c r="AR8" t="n">
        <v>0.7988297292664324</v>
      </c>
      <c r="AS8" t="n">
        <v>0.7578380053093483</v>
      </c>
      <c r="AT8" t="n">
        <v>0.7905280403842165</v>
      </c>
      <c r="AU8" t="n">
        <v>0.8635219312476593</v>
      </c>
      <c r="AV8" t="n">
        <v>0.8494162744802146</v>
      </c>
      <c r="AW8" t="n">
        <v>0.850687831480463</v>
      </c>
      <c r="AX8" t="n">
        <v>0.8523271620839977</v>
      </c>
      <c r="AY8" t="n">
        <v>0.8706983040588889</v>
      </c>
      <c r="AZ8" t="n">
        <v>0.8484431064061745</v>
      </c>
      <c r="BA8" t="n">
        <v>0.8076367475753295</v>
      </c>
      <c r="BB8" t="n">
        <v>0.8319217678240575</v>
      </c>
      <c r="BC8" t="n">
        <v>0.7337134325293446</v>
      </c>
      <c r="BD8" t="n">
        <v>0.7201326827390642</v>
      </c>
      <c r="BE8" t="n">
        <v>0.7178601795884265</v>
      </c>
      <c r="BF8" t="n">
        <v>0.6888789009973572</v>
      </c>
    </row>
    <row r="9">
      <c r="A9" s="13" t="n"/>
      <c r="B9" s="13" t="inlineStr">
        <is>
          <t>100030</t>
        </is>
      </c>
      <c r="C9" t="n">
        <v>0.3079901159524248</v>
      </c>
      <c r="D9" t="n">
        <v>0.3710844448744012</v>
      </c>
      <c r="E9" t="n">
        <v>0.334074397949102</v>
      </c>
      <c r="F9" t="n">
        <v>0.4219042701852678</v>
      </c>
      <c r="G9" t="n">
        <v>0.5487813104033774</v>
      </c>
      <c r="H9" t="n">
        <v>0.6164811325776625</v>
      </c>
      <c r="I9" t="n">
        <v>0.4934756538995752</v>
      </c>
      <c r="J9" t="n">
        <v>0.5414748048306789</v>
      </c>
      <c r="K9" t="n">
        <v>0.5127177912650333</v>
      </c>
      <c r="L9" t="n">
        <v>0.532181262832526</v>
      </c>
      <c r="M9" t="n">
        <v>0.453415194871983</v>
      </c>
      <c r="N9" t="n">
        <v>0.4186142053228002</v>
      </c>
      <c r="O9" t="n">
        <v>0.4946775510549474</v>
      </c>
      <c r="P9" t="n">
        <v>0.433429480236755</v>
      </c>
      <c r="Q9" t="n">
        <v>0.445163869314369</v>
      </c>
      <c r="R9" t="n">
        <v>0.4100633716380664</v>
      </c>
      <c r="S9" t="n">
        <v>0.3603427196560954</v>
      </c>
      <c r="T9" t="n">
        <v>0.3849039875785698</v>
      </c>
      <c r="U9" t="n">
        <v>0.3997454980232683</v>
      </c>
      <c r="V9" t="n">
        <v>0.3667169312316538</v>
      </c>
      <c r="W9" t="n">
        <v>0.5585140796049283</v>
      </c>
      <c r="X9" t="n">
        <v>0.3600945533152245</v>
      </c>
      <c r="Y9" t="n">
        <v>0.5574358548068102</v>
      </c>
      <c r="Z9" t="n">
        <v>0.5409968376309172</v>
      </c>
      <c r="AA9" t="n">
        <v>0.4329619694187755</v>
      </c>
      <c r="AB9" t="n">
        <v>0.5224157882120785</v>
      </c>
      <c r="AC9" t="n">
        <v>0.4369693219154335</v>
      </c>
      <c r="AD9" t="n">
        <v>0.44764909963688</v>
      </c>
      <c r="AE9" t="n">
        <v>0.4503400857654313</v>
      </c>
      <c r="AF9" t="n">
        <v>0.4585284007834876</v>
      </c>
      <c r="AG9" t="n">
        <v>0.581037970297286</v>
      </c>
      <c r="AH9" t="n">
        <v>0.4557220386930732</v>
      </c>
      <c r="AI9" t="n">
        <v>0.5673153359341594</v>
      </c>
      <c r="AJ9" t="n">
        <v>0.567914005310189</v>
      </c>
      <c r="AK9" t="n">
        <v>0.6226278525549694</v>
      </c>
      <c r="AL9" t="n">
        <v>0.5479529674888922</v>
      </c>
      <c r="AM9" t="n">
        <v>0.5317164444098628</v>
      </c>
      <c r="AN9" t="n">
        <v>0.5848683564442048</v>
      </c>
      <c r="AO9" t="n">
        <v>0.6029300013724606</v>
      </c>
      <c r="AP9" t="n">
        <v>0.6636434670802008</v>
      </c>
      <c r="AQ9" t="n">
        <v>0.7472510366068161</v>
      </c>
      <c r="AR9" t="n">
        <v>0.8228884900400777</v>
      </c>
      <c r="AS9" t="n">
        <v>0.7003932616920046</v>
      </c>
      <c r="AT9" t="n">
        <v>0.7546641324196132</v>
      </c>
      <c r="AU9" t="n">
        <v>0.7339280391575681</v>
      </c>
      <c r="AV9" t="n">
        <v>0.6693592936669128</v>
      </c>
      <c r="AW9" t="n">
        <v>0.6963535034343395</v>
      </c>
      <c r="AX9" t="n">
        <v>0.673392835369197</v>
      </c>
      <c r="AY9" t="n">
        <v>0.5980656087454114</v>
      </c>
      <c r="AZ9" t="n">
        <v>0.6435732293899459</v>
      </c>
      <c r="BA9" t="n">
        <v>0.685511529675387</v>
      </c>
      <c r="BB9" t="n">
        <v>0.8139082516949474</v>
      </c>
      <c r="BC9" t="n">
        <v>0.7584399607149325</v>
      </c>
      <c r="BD9" t="n">
        <v>0.7718999190174536</v>
      </c>
      <c r="BE9" t="n">
        <v>0.7281019264256933</v>
      </c>
      <c r="BF9" t="n">
        <v>0.6657618183741942</v>
      </c>
    </row>
    <row r="10">
      <c r="A10" s="13" t="n"/>
      <c r="B10" s="13" t="inlineStr">
        <is>
          <t>100040x100050</t>
        </is>
      </c>
      <c r="C10" t="n">
        <v>0.305479545559329</v>
      </c>
      <c r="D10" t="n">
        <v>0.3938507331192547</v>
      </c>
      <c r="E10" t="n">
        <v>0.4073383986780052</v>
      </c>
      <c r="F10" t="n">
        <v>0.4031762278068693</v>
      </c>
      <c r="G10" t="n">
        <v>0.4160626966440644</v>
      </c>
      <c r="H10" t="n">
        <v>0.4592274158202285</v>
      </c>
      <c r="I10" t="n">
        <v>0.4031597400087273</v>
      </c>
      <c r="J10" t="n">
        <v>0.4183736210190435</v>
      </c>
      <c r="K10" t="n">
        <v>0.4504373699555749</v>
      </c>
      <c r="L10" t="n">
        <v>0.5343537844999721</v>
      </c>
      <c r="M10" t="n">
        <v>0.5645004133652795</v>
      </c>
      <c r="N10" t="n">
        <v>0.5416588020384175</v>
      </c>
      <c r="O10" t="n">
        <v>0.6450066629304215</v>
      </c>
      <c r="P10" t="n">
        <v>0.5747268975294261</v>
      </c>
      <c r="Q10" t="n">
        <v>0.6124734335891756</v>
      </c>
      <c r="R10" t="n">
        <v>0.5864311714554817</v>
      </c>
      <c r="S10" t="n">
        <v>0.5874318586674513</v>
      </c>
      <c r="T10" t="n">
        <v>0.5049538715134051</v>
      </c>
      <c r="U10" t="n">
        <v>0.6353755067692226</v>
      </c>
      <c r="V10" t="n">
        <v>0.6628896161951912</v>
      </c>
      <c r="W10" t="n">
        <v>0.6518405677491228</v>
      </c>
      <c r="X10" t="n">
        <v>0.6424624687401198</v>
      </c>
      <c r="Y10" t="n">
        <v>0.5980166252939484</v>
      </c>
      <c r="Z10" t="n">
        <v>0.6748022651468265</v>
      </c>
      <c r="AA10" t="n">
        <v>0.7097250099855801</v>
      </c>
      <c r="AB10" t="n">
        <v>0.6566787154892725</v>
      </c>
      <c r="AC10" t="n">
        <v>0.6539199995231399</v>
      </c>
      <c r="AD10" t="n">
        <v>0.6808684549672446</v>
      </c>
      <c r="AE10" t="n">
        <v>0.6803013972197203</v>
      </c>
      <c r="AF10" t="n">
        <v>0.7009969767514892</v>
      </c>
      <c r="AG10" t="n">
        <v>0.7125447602615758</v>
      </c>
      <c r="AH10" t="n">
        <v>0.698997754510472</v>
      </c>
      <c r="AI10" t="n">
        <v>0.7529782112368448</v>
      </c>
      <c r="AJ10" t="n">
        <v>0.7645814133502357</v>
      </c>
      <c r="AK10" t="n">
        <v>0.7498672017537209</v>
      </c>
      <c r="AL10" t="n">
        <v>0.7236319134914365</v>
      </c>
      <c r="AM10" t="n">
        <v>0.7310951822016865</v>
      </c>
      <c r="AN10" t="n">
        <v>0.7049294497687854</v>
      </c>
      <c r="AO10" t="n">
        <v>0.7063873822505695</v>
      </c>
      <c r="AP10" t="n">
        <v>0.7112806097736147</v>
      </c>
      <c r="AQ10" t="n">
        <v>0.7227970327561918</v>
      </c>
      <c r="AR10" t="n">
        <v>0.665013720325085</v>
      </c>
      <c r="AS10" t="n">
        <v>0.7612999822568274</v>
      </c>
      <c r="AT10" t="n">
        <v>0.6964405459073177</v>
      </c>
      <c r="AU10" t="n">
        <v>0.6979280589644548</v>
      </c>
      <c r="AV10" t="n">
        <v>0.7108420083044694</v>
      </c>
      <c r="AW10" t="n">
        <v>0.6910628581456167</v>
      </c>
      <c r="AX10" t="n">
        <v>0.7436683160068662</v>
      </c>
      <c r="AY10" t="n">
        <v>0.7930577466410068</v>
      </c>
      <c r="AZ10" t="n">
        <v>0.7968931755462774</v>
      </c>
      <c r="BA10" t="n">
        <v>0.7809820267191766</v>
      </c>
      <c r="BB10" t="n">
        <v>0.8055303861820177</v>
      </c>
      <c r="BC10" t="n">
        <v>0.8358767229801661</v>
      </c>
      <c r="BD10" t="n">
        <v>0.8360651485817925</v>
      </c>
      <c r="BE10" t="n">
        <v>0.8036423026892752</v>
      </c>
      <c r="BF10" t="n">
        <v>0.7390298028381576</v>
      </c>
    </row>
    <row r="11">
      <c r="A11" s="13" t="n"/>
      <c r="B11" s="13" t="inlineStr">
        <is>
          <t>REST</t>
        </is>
      </c>
      <c r="C11" t="n">
        <v>0.1559608814509237</v>
      </c>
      <c r="D11" t="n">
        <v>0.185852529405069</v>
      </c>
      <c r="E11" t="n">
        <v>0.1744030142159034</v>
      </c>
      <c r="F11" t="n">
        <v>0.189535891063216</v>
      </c>
      <c r="G11" t="n">
        <v>0.1990761468992784</v>
      </c>
      <c r="H11" t="n">
        <v>0.2037983240605172</v>
      </c>
      <c r="I11" t="n">
        <v>0.1587218217379928</v>
      </c>
      <c r="J11" t="n">
        <v>0.2580927807899585</v>
      </c>
      <c r="K11" t="n">
        <v>0.2887275992890777</v>
      </c>
      <c r="L11" t="n">
        <v>0.2652890812601638</v>
      </c>
      <c r="M11" t="n">
        <v>0.2368429194293772</v>
      </c>
      <c r="N11" t="n">
        <v>0.2460712249137224</v>
      </c>
      <c r="O11" t="n">
        <v>0.2791098414870232</v>
      </c>
      <c r="P11" t="n">
        <v>0.329473602187412</v>
      </c>
      <c r="Q11" t="n">
        <v>0.3216157921855281</v>
      </c>
      <c r="R11" t="n">
        <v>0.3360757154250129</v>
      </c>
      <c r="S11" t="n">
        <v>0.3197273700154807</v>
      </c>
      <c r="T11" t="n">
        <v>0.3259992218489352</v>
      </c>
      <c r="U11" t="n">
        <v>0.3404419336571861</v>
      </c>
      <c r="V11" t="n">
        <v>0.2541021536531503</v>
      </c>
      <c r="W11" t="n">
        <v>0.247519597513143</v>
      </c>
      <c r="X11" t="n">
        <v>0.2098012081409145</v>
      </c>
      <c r="Y11" t="n">
        <v>0.2011090520849835</v>
      </c>
      <c r="Z11" t="n">
        <v>0.1890804527338328</v>
      </c>
      <c r="AA11" t="n">
        <v>0.1874254065106125</v>
      </c>
      <c r="AB11" t="n">
        <v>0.1613776076645436</v>
      </c>
      <c r="AC11" t="n">
        <v>0.1527389826451565</v>
      </c>
      <c r="AD11" t="n">
        <v>0.1585091664187971</v>
      </c>
      <c r="AE11" t="n">
        <v>0.1610300227953616</v>
      </c>
      <c r="AF11" t="n">
        <v>0.1648211028969759</v>
      </c>
      <c r="AG11" t="n">
        <v>0.1816448740126313</v>
      </c>
      <c r="AH11" t="n">
        <v>0.1965349261197774</v>
      </c>
      <c r="AI11" t="n">
        <v>0.1809893122454103</v>
      </c>
      <c r="AJ11" t="n">
        <v>0.1817811984735637</v>
      </c>
      <c r="AK11" t="n">
        <v>0.2025265637231799</v>
      </c>
      <c r="AL11" t="n">
        <v>0.2082568818698879</v>
      </c>
      <c r="AM11" t="n">
        <v>0.1954953062348441</v>
      </c>
      <c r="AN11" t="n">
        <v>0.201695308106222</v>
      </c>
      <c r="AO11" t="n">
        <v>0.2651043942828409</v>
      </c>
      <c r="AP11" t="n">
        <v>0.2302869601102273</v>
      </c>
      <c r="AQ11" t="n">
        <v>0.263641763833123</v>
      </c>
      <c r="AR11" t="n">
        <v>0.3094260354097569</v>
      </c>
      <c r="AS11" t="n">
        <v>0.2997924443681999</v>
      </c>
      <c r="AT11" t="n">
        <v>0.2674551541903474</v>
      </c>
      <c r="AU11" t="n">
        <v>0.2709996321115488</v>
      </c>
      <c r="AV11" t="n">
        <v>0.2977163187825135</v>
      </c>
      <c r="AW11" t="n">
        <v>0.2987155469875302</v>
      </c>
      <c r="AX11" t="n">
        <v>0.2657192712633124</v>
      </c>
      <c r="AY11" t="n">
        <v>0.2632031960348102</v>
      </c>
      <c r="AZ11" t="n">
        <v>0.2636934960131344</v>
      </c>
      <c r="BA11" t="n">
        <v>0.2185858167553397</v>
      </c>
      <c r="BB11" t="n">
        <v>0.2365415406756592</v>
      </c>
      <c r="BC11" t="n">
        <v>0.2448122878365452</v>
      </c>
      <c r="BD11" t="n">
        <v>0.231618966117633</v>
      </c>
      <c r="BE11" t="n">
        <v>0.2543640723610302</v>
      </c>
      <c r="BF11" t="n">
        <v>0.2930843720119706</v>
      </c>
    </row>
    <row r="12">
      <c r="A12" s="13" t="inlineStr">
        <is>
          <t>100030</t>
        </is>
      </c>
      <c r="B12" s="13" t="inlineStr">
        <is>
          <t>010000</t>
        </is>
      </c>
      <c r="C12" t="n">
        <v>0.04221030477918286</v>
      </c>
      <c r="D12" t="n">
        <v>0.05054197542070577</v>
      </c>
      <c r="E12" t="n">
        <v>0.06225285348761153</v>
      </c>
      <c r="F12" t="n">
        <v>0.07582354582789479</v>
      </c>
      <c r="G12" t="n">
        <v>0.07849645456570925</v>
      </c>
      <c r="H12" t="n">
        <v>0.06345786080053094</v>
      </c>
      <c r="I12" t="n">
        <v>0.03471950511711162</v>
      </c>
      <c r="J12" t="n">
        <v>0.03728871176560562</v>
      </c>
      <c r="K12" t="n">
        <v>0.04275047139128466</v>
      </c>
      <c r="L12" t="n">
        <v>0.05712520532161355</v>
      </c>
      <c r="M12" t="n">
        <v>0.07022867122015339</v>
      </c>
      <c r="N12" t="n">
        <v>0.05755797451219941</v>
      </c>
      <c r="O12" t="n">
        <v>0.06130104462073028</v>
      </c>
      <c r="P12" t="n">
        <v>0.07005478058242336</v>
      </c>
      <c r="Q12" t="n">
        <v>0.06624883460046496</v>
      </c>
      <c r="R12" t="n">
        <v>0.06520935646093712</v>
      </c>
      <c r="S12" t="n">
        <v>0.06391107924771945</v>
      </c>
      <c r="T12" t="n">
        <v>0.1987635163565913</v>
      </c>
      <c r="U12" t="n">
        <v>0.2014660534273611</v>
      </c>
      <c r="V12" t="n">
        <v>0.1908058213339617</v>
      </c>
      <c r="W12" t="n">
        <v>0.1103270762425415</v>
      </c>
      <c r="X12" t="n">
        <v>0.08554105070525711</v>
      </c>
      <c r="Y12" t="n">
        <v>0.08142630134116789</v>
      </c>
      <c r="Z12" t="n">
        <v>0.04860450769136158</v>
      </c>
      <c r="AA12" t="n">
        <v>0.04853464452354572</v>
      </c>
      <c r="AB12" t="n">
        <v>0.03738737629506423</v>
      </c>
      <c r="AC12" t="n">
        <v>0.05342601909490679</v>
      </c>
      <c r="AD12" t="n">
        <v>0.1049752048804691</v>
      </c>
      <c r="AE12" t="n">
        <v>0.1426995279048842</v>
      </c>
      <c r="AF12" t="n">
        <v>0.07233517786221998</v>
      </c>
      <c r="AG12" t="n">
        <v>0.09241063864583339</v>
      </c>
      <c r="AH12" t="n">
        <v>0.08142895915325291</v>
      </c>
      <c r="AI12" t="n">
        <v>0.06901071973677557</v>
      </c>
      <c r="AJ12" t="n">
        <v>0.06952958173425411</v>
      </c>
      <c r="AK12" t="n">
        <v>0.06232815396512798</v>
      </c>
      <c r="AL12" t="n">
        <v>0.04902255980860203</v>
      </c>
      <c r="AM12" t="n">
        <v>0.06157031830105268</v>
      </c>
      <c r="AN12" t="n">
        <v>0.07197269523411128</v>
      </c>
      <c r="AO12" t="n">
        <v>0.08654338666944628</v>
      </c>
      <c r="AP12" t="n">
        <v>0.09834273296928155</v>
      </c>
      <c r="AQ12" t="n">
        <v>0.1024070454710385</v>
      </c>
      <c r="AR12" t="n">
        <v>0.0996859173578242</v>
      </c>
      <c r="AS12" t="n">
        <v>0.1400764363282574</v>
      </c>
      <c r="AT12" t="n">
        <v>0.1107984228057396</v>
      </c>
      <c r="AU12" t="n">
        <v>0.107971994725891</v>
      </c>
      <c r="AV12" t="n">
        <v>0.1159953206098097</v>
      </c>
      <c r="AW12" t="n">
        <v>0.09302172250377358</v>
      </c>
      <c r="AX12" t="n">
        <v>0.09246953501981675</v>
      </c>
      <c r="AY12" t="n">
        <v>0.1328756345280385</v>
      </c>
      <c r="AZ12" t="n">
        <v>0.1365469688822848</v>
      </c>
      <c r="BA12" t="n">
        <v>0.1016195097407325</v>
      </c>
      <c r="BB12" t="n">
        <v>0.1077274592332106</v>
      </c>
      <c r="BC12" t="n">
        <v>0.1156883322232587</v>
      </c>
      <c r="BD12" t="n">
        <v>0.122810272569713</v>
      </c>
      <c r="BE12" t="n">
        <v>0.08029091096594246</v>
      </c>
      <c r="BF12" t="n">
        <v>0.06848437596437856</v>
      </c>
    </row>
    <row r="13">
      <c r="A13" s="13" t="n"/>
      <c r="B13" s="13" t="inlineStr">
        <is>
          <t>100010</t>
        </is>
      </c>
      <c r="C13" t="n">
        <v>0.4023737169297755</v>
      </c>
      <c r="D13" t="n">
        <v>0.4585869152315727</v>
      </c>
      <c r="E13" t="n">
        <v>0.4349123886990178</v>
      </c>
      <c r="F13" t="n">
        <v>0.4851929068127525</v>
      </c>
      <c r="G13" t="n">
        <v>0.5349542636705185</v>
      </c>
      <c r="H13" t="n">
        <v>0.4873934974076</v>
      </c>
      <c r="I13" t="n">
        <v>0.3640177571319509</v>
      </c>
      <c r="J13" t="n">
        <v>0.362459807910752</v>
      </c>
      <c r="K13" t="n">
        <v>0.29688804982402</v>
      </c>
      <c r="L13" t="n">
        <v>0.3057344626236447</v>
      </c>
      <c r="M13" t="n">
        <v>0.3153527067229481</v>
      </c>
      <c r="N13" t="n">
        <v>0.3173129308330183</v>
      </c>
      <c r="O13" t="n">
        <v>0.3488702114547081</v>
      </c>
      <c r="P13" t="n">
        <v>0.349288380121792</v>
      </c>
      <c r="Q13" t="n">
        <v>0.3357615292190165</v>
      </c>
      <c r="R13" t="n">
        <v>0.352628226614574</v>
      </c>
      <c r="S13" t="n">
        <v>0.3790749418350385</v>
      </c>
      <c r="T13" t="n">
        <v>0.3638344643470667</v>
      </c>
      <c r="U13" t="n">
        <v>0.3984413097877983</v>
      </c>
      <c r="V13" t="n">
        <v>0.3941453697708537</v>
      </c>
      <c r="W13" t="n">
        <v>0.3804912330910426</v>
      </c>
      <c r="X13" t="n">
        <v>0.4060545936589472</v>
      </c>
      <c r="Y13" t="n">
        <v>0.3861120300631483</v>
      </c>
      <c r="Z13" t="n">
        <v>0.4417165642243951</v>
      </c>
      <c r="AA13" t="n">
        <v>0.4939292869933768</v>
      </c>
      <c r="AB13" t="n">
        <v>0.5385533038238677</v>
      </c>
      <c r="AC13" t="n">
        <v>0.6502028276619791</v>
      </c>
      <c r="AD13" t="n">
        <v>0.5236101996215062</v>
      </c>
      <c r="AE13" t="n">
        <v>0.5472039073978486</v>
      </c>
      <c r="AF13" t="n">
        <v>0.6907030321302923</v>
      </c>
      <c r="AG13" t="n">
        <v>0.6055085158938508</v>
      </c>
      <c r="AH13" t="n">
        <v>0.7492510955125748</v>
      </c>
      <c r="AI13" t="n">
        <v>0.7392140191416688</v>
      </c>
      <c r="AJ13" t="n">
        <v>0.7356868738636191</v>
      </c>
      <c r="AK13" t="n">
        <v>0.7091923782484654</v>
      </c>
      <c r="AL13" t="n">
        <v>0.7146677391858953</v>
      </c>
      <c r="AM13" t="n">
        <v>0.8271599130877103</v>
      </c>
      <c r="AN13" t="n">
        <v>0.8100656512200876</v>
      </c>
      <c r="AO13" t="n">
        <v>0.788321068910004</v>
      </c>
      <c r="AP13" t="n">
        <v>0.8236771496660596</v>
      </c>
      <c r="AQ13" t="n">
        <v>0.7970998830364838</v>
      </c>
      <c r="AR13" t="n">
        <v>0.8395413134359759</v>
      </c>
      <c r="AS13" t="n">
        <v>0.7050502228932479</v>
      </c>
      <c r="AT13" t="n">
        <v>0.7021161303046981</v>
      </c>
      <c r="AU13" t="n">
        <v>0.7211567502491504</v>
      </c>
      <c r="AV13" t="n">
        <v>0.7871883715722595</v>
      </c>
      <c r="AW13" t="n">
        <v>0.7734595724503806</v>
      </c>
      <c r="AX13" t="n">
        <v>0.6932906409915471</v>
      </c>
      <c r="AY13" t="n">
        <v>0.719282558281014</v>
      </c>
      <c r="AZ13" t="n">
        <v>0.6881623076365039</v>
      </c>
      <c r="BA13" t="n">
        <v>0.7786097559666352</v>
      </c>
      <c r="BB13" t="n">
        <v>0.7813734063060814</v>
      </c>
      <c r="BC13" t="n">
        <v>0.7963099678907701</v>
      </c>
      <c r="BD13" t="n">
        <v>0.7981598245274173</v>
      </c>
      <c r="BE13" t="n">
        <v>0.8227303946337432</v>
      </c>
      <c r="BF13" t="n">
        <v>0.8314719523019389</v>
      </c>
    </row>
    <row r="14">
      <c r="A14" s="13" t="n"/>
      <c r="B14" s="13" t="inlineStr">
        <is>
          <t>100030</t>
        </is>
      </c>
      <c r="C14" t="n">
        <v>0.2758611955991565</v>
      </c>
      <c r="D14" t="n">
        <v>0.2558063058156544</v>
      </c>
      <c r="E14" t="n">
        <v>0.2572967632671342</v>
      </c>
      <c r="F14" t="n">
        <v>0.3307687732306865</v>
      </c>
      <c r="G14" t="n">
        <v>0.442799445507338</v>
      </c>
      <c r="H14" t="n">
        <v>0.4526558023620508</v>
      </c>
      <c r="I14" t="n">
        <v>0.3591362718700217</v>
      </c>
      <c r="J14" t="n">
        <v>0.3243956254520341</v>
      </c>
      <c r="K14" t="n">
        <v>0.2582216759777596</v>
      </c>
      <c r="L14" t="n">
        <v>0.2976506967824076</v>
      </c>
      <c r="M14" t="n">
        <v>0.286898137609519</v>
      </c>
      <c r="N14" t="n">
        <v>0.2592095276083253</v>
      </c>
      <c r="O14" t="n">
        <v>0.26611467959091</v>
      </c>
      <c r="P14" t="n">
        <v>0.2994658933273978</v>
      </c>
      <c r="Q14" t="n">
        <v>0.318459069059804</v>
      </c>
      <c r="R14" t="n">
        <v>0.2830369471164041</v>
      </c>
      <c r="S14" t="n">
        <v>0.2957947651816997</v>
      </c>
      <c r="T14" t="n">
        <v>0.3294102651313653</v>
      </c>
      <c r="U14" t="n">
        <v>0.3339250366640509</v>
      </c>
      <c r="V14" t="n">
        <v>0.3410294389622447</v>
      </c>
      <c r="W14" t="n">
        <v>0.3485861814463308</v>
      </c>
      <c r="X14" t="n">
        <v>0.3689863775102753</v>
      </c>
      <c r="Y14" t="n">
        <v>0.4365174922365893</v>
      </c>
      <c r="Z14" t="n">
        <v>0.3666755946489269</v>
      </c>
      <c r="AA14" t="n">
        <v>0.3967336648846605</v>
      </c>
      <c r="AB14" t="n">
        <v>0.4109954421285744</v>
      </c>
      <c r="AC14" t="n">
        <v>0.4198143274837469</v>
      </c>
      <c r="AD14" t="n">
        <v>0.5474679918981251</v>
      </c>
      <c r="AE14" t="n">
        <v>0.6389376815481702</v>
      </c>
      <c r="AF14" t="n">
        <v>0.6293218557038538</v>
      </c>
      <c r="AG14" t="n">
        <v>0.6132237135125955</v>
      </c>
      <c r="AH14" t="n">
        <v>0.5695010799225203</v>
      </c>
      <c r="AI14" t="n">
        <v>0.608474186950177</v>
      </c>
      <c r="AJ14" t="n">
        <v>0.6081717415210709</v>
      </c>
      <c r="AK14" t="n">
        <v>0.6117012259846992</v>
      </c>
      <c r="AL14" t="n">
        <v>0.6302404290265144</v>
      </c>
      <c r="AM14" t="n">
        <v>0.6101913300734081</v>
      </c>
      <c r="AN14" t="n">
        <v>0.6304841445311157</v>
      </c>
      <c r="AO14" t="n">
        <v>0.6702902950276773</v>
      </c>
      <c r="AP14" t="n">
        <v>0.6671056233841375</v>
      </c>
      <c r="AQ14" t="n">
        <v>0.6894958183457665</v>
      </c>
      <c r="AR14" t="n">
        <v>0.6759217524728771</v>
      </c>
      <c r="AS14" t="n">
        <v>0.5944639250972024</v>
      </c>
      <c r="AT14" t="n">
        <v>0.6605297905121822</v>
      </c>
      <c r="AU14" t="n">
        <v>0.6535982656062136</v>
      </c>
      <c r="AV14" t="n">
        <v>0.613322742912191</v>
      </c>
      <c r="AW14" t="n">
        <v>0.6398492485673629</v>
      </c>
      <c r="AX14" t="n">
        <v>0.6354950104984994</v>
      </c>
      <c r="AY14" t="n">
        <v>0.5811026321278165</v>
      </c>
      <c r="AZ14" t="n">
        <v>0.5692514552686554</v>
      </c>
      <c r="BA14" t="n">
        <v>0.6136331929031902</v>
      </c>
      <c r="BB14" t="n">
        <v>0.6583385473092557</v>
      </c>
      <c r="BC14" t="n">
        <v>0.6410600561711952</v>
      </c>
      <c r="BD14" t="n">
        <v>0.6169221845147588</v>
      </c>
      <c r="BE14" t="n">
        <v>0.6228112155157481</v>
      </c>
      <c r="BF14" t="n">
        <v>0.6485007179573627</v>
      </c>
    </row>
    <row r="15">
      <c r="A15" s="13" t="n"/>
      <c r="B15" s="13" t="inlineStr">
        <is>
          <t>100040x100050</t>
        </is>
      </c>
      <c r="C15" t="n">
        <v>0.4979192404253313</v>
      </c>
      <c r="D15" t="n">
        <v>0.5434364429272834</v>
      </c>
      <c r="E15" t="n">
        <v>0.5353681057135348</v>
      </c>
      <c r="F15" t="n">
        <v>0.5598621462995478</v>
      </c>
      <c r="G15" t="n">
        <v>0.5837909804577935</v>
      </c>
      <c r="H15" t="n">
        <v>0.5506242672395555</v>
      </c>
      <c r="I15" t="n">
        <v>0.5357492714498258</v>
      </c>
      <c r="J15" t="n">
        <v>0.6173104979122747</v>
      </c>
      <c r="K15" t="n">
        <v>0.6289552188403117</v>
      </c>
      <c r="L15" t="n">
        <v>0.6290508627206483</v>
      </c>
      <c r="M15" t="n">
        <v>0.7147969495204383</v>
      </c>
      <c r="N15" t="n">
        <v>0.7039886675733305</v>
      </c>
      <c r="O15" t="n">
        <v>0.6366382962605575</v>
      </c>
      <c r="P15" t="n">
        <v>0.5780667488858542</v>
      </c>
      <c r="Q15" t="n">
        <v>0.5726110858385286</v>
      </c>
      <c r="R15" t="n">
        <v>0.5614031278150483</v>
      </c>
      <c r="S15" t="n">
        <v>0.5768206927313217</v>
      </c>
      <c r="T15" t="n">
        <v>0.7913611799869955</v>
      </c>
      <c r="U15" t="n">
        <v>0.7672827998375699</v>
      </c>
      <c r="V15" t="n">
        <v>0.7028844708783685</v>
      </c>
      <c r="W15" t="n">
        <v>0.6658797442862427</v>
      </c>
      <c r="X15" t="n">
        <v>0.6085981906899208</v>
      </c>
      <c r="Y15" t="n">
        <v>0.6263468214914721</v>
      </c>
      <c r="Z15" t="n">
        <v>0.6226229041725775</v>
      </c>
      <c r="AA15" t="n">
        <v>0.6731917264214992</v>
      </c>
      <c r="AB15" t="n">
        <v>0.6474621775047376</v>
      </c>
      <c r="AC15" t="n">
        <v>0.5821289936695263</v>
      </c>
      <c r="AD15" t="n">
        <v>0.5511209789485537</v>
      </c>
      <c r="AE15" t="n">
        <v>0.5658117269540491</v>
      </c>
      <c r="AF15" t="n">
        <v>0.6310096264382038</v>
      </c>
      <c r="AG15" t="n">
        <v>0.6526409158680321</v>
      </c>
      <c r="AH15" t="n">
        <v>0.6625728032597838</v>
      </c>
      <c r="AI15" t="n">
        <v>0.628227080717438</v>
      </c>
      <c r="AJ15" t="n">
        <v>0.6534658885533682</v>
      </c>
      <c r="AK15" t="n">
        <v>0.635211709180462</v>
      </c>
      <c r="AL15" t="n">
        <v>0.6323414345345576</v>
      </c>
      <c r="AM15" t="n">
        <v>0.6358306741058035</v>
      </c>
      <c r="AN15" t="n">
        <v>0.6457802642981295</v>
      </c>
      <c r="AO15" t="n">
        <v>0.6558369007413678</v>
      </c>
      <c r="AP15" t="n">
        <v>0.6915053554673649</v>
      </c>
      <c r="AQ15" t="n">
        <v>0.7799928044326803</v>
      </c>
      <c r="AR15" t="n">
        <v>0.7661747190474543</v>
      </c>
      <c r="AS15" t="n">
        <v>0.7503392221352</v>
      </c>
      <c r="AT15" t="n">
        <v>0.6993851071451245</v>
      </c>
      <c r="AU15" t="n">
        <v>0.7512360037031043</v>
      </c>
      <c r="AV15" t="n">
        <v>0.7574642396982543</v>
      </c>
      <c r="AW15" t="n">
        <v>0.7420655708862268</v>
      </c>
      <c r="AX15" t="n">
        <v>0.764733310241313</v>
      </c>
      <c r="AY15" t="n">
        <v>0.7928395068626792</v>
      </c>
      <c r="AZ15" t="n">
        <v>0.7778159037405347</v>
      </c>
      <c r="BA15" t="n">
        <v>0.8151805256465154</v>
      </c>
      <c r="BB15" t="n">
        <v>0.8099733372785773</v>
      </c>
      <c r="BC15" t="n">
        <v>0.8132456659433153</v>
      </c>
      <c r="BD15" t="n">
        <v>0.8172323483751623</v>
      </c>
      <c r="BE15" t="n">
        <v>0.8871425703583889</v>
      </c>
      <c r="BF15" t="n">
        <v>0.8757326350254554</v>
      </c>
    </row>
    <row r="16">
      <c r="A16" s="13" t="n"/>
      <c r="B16" s="13" t="inlineStr">
        <is>
          <t>REST</t>
        </is>
      </c>
      <c r="C16" t="n">
        <v>0.2065230826046492</v>
      </c>
      <c r="D16" t="n">
        <v>0.2621251906444682</v>
      </c>
      <c r="E16" t="n">
        <v>0.2185451755378079</v>
      </c>
      <c r="F16" t="n">
        <v>0.2210518508930445</v>
      </c>
      <c r="G16" t="n">
        <v>0.28131421323965</v>
      </c>
      <c r="H16" t="n">
        <v>0.2347494579332876</v>
      </c>
      <c r="I16" t="n">
        <v>0.1999620469594871</v>
      </c>
      <c r="J16" t="n">
        <v>0.2166921400404791</v>
      </c>
      <c r="K16" t="n">
        <v>0.2111508706773573</v>
      </c>
      <c r="L16" t="n">
        <v>0.2026983304452587</v>
      </c>
      <c r="M16" t="n">
        <v>0.2003891027148972</v>
      </c>
      <c r="N16" t="n">
        <v>0.205316562321159</v>
      </c>
      <c r="O16" t="n">
        <v>0.2250163211977068</v>
      </c>
      <c r="P16" t="n">
        <v>0.1647184511944053</v>
      </c>
      <c r="Q16" t="n">
        <v>0.1876326631149588</v>
      </c>
      <c r="R16" t="n">
        <v>0.1929898973806999</v>
      </c>
      <c r="S16" t="n">
        <v>0.1740332273295891</v>
      </c>
      <c r="T16" t="n">
        <v>0.1810069355037461</v>
      </c>
      <c r="U16" t="n">
        <v>0.176560208725881</v>
      </c>
      <c r="V16" t="n">
        <v>0.1738393460028507</v>
      </c>
      <c r="W16" t="n">
        <v>0.1517491382642565</v>
      </c>
      <c r="X16" t="n">
        <v>0.1834684462104694</v>
      </c>
      <c r="Y16" t="n">
        <v>0.1776871999583377</v>
      </c>
      <c r="Z16" t="n">
        <v>0.1757358197515716</v>
      </c>
      <c r="AA16" t="n">
        <v>0.2085978404738807</v>
      </c>
      <c r="AB16" t="n">
        <v>0.1833400320326186</v>
      </c>
      <c r="AC16" t="n">
        <v>0.2232648965478692</v>
      </c>
      <c r="AD16" t="n">
        <v>0.2098450272859665</v>
      </c>
      <c r="AE16" t="n">
        <v>0.2031871050228375</v>
      </c>
      <c r="AF16" t="n">
        <v>0.180522954893679</v>
      </c>
      <c r="AG16" t="n">
        <v>0.1761557056754653</v>
      </c>
      <c r="AH16" t="n">
        <v>0.1434749321025435</v>
      </c>
      <c r="AI16" t="n">
        <v>0.1602147615467945</v>
      </c>
      <c r="AJ16" t="n">
        <v>0.2003793079769858</v>
      </c>
      <c r="AK16" t="n">
        <v>0.1922076106623666</v>
      </c>
      <c r="AL16" t="n">
        <v>0.2111225539383439</v>
      </c>
      <c r="AM16" t="n">
        <v>0.213170707131353</v>
      </c>
      <c r="AN16" t="n">
        <v>0.2593259072669169</v>
      </c>
      <c r="AO16" t="n">
        <v>0.2203077477778741</v>
      </c>
      <c r="AP16" t="n">
        <v>0.2530131670678056</v>
      </c>
      <c r="AQ16" t="n">
        <v>0.2574174792753262</v>
      </c>
      <c r="AR16" t="n">
        <v>0.2908088854445087</v>
      </c>
      <c r="AS16" t="n">
        <v>0.2933214586714625</v>
      </c>
      <c r="AT16" t="n">
        <v>0.3156950242730169</v>
      </c>
      <c r="AU16" t="n">
        <v>0.2965998048923434</v>
      </c>
      <c r="AV16" t="n">
        <v>0.304232678134356</v>
      </c>
      <c r="AW16" t="n">
        <v>0.2877773122539965</v>
      </c>
      <c r="AX16" t="n">
        <v>0.2767088068068811</v>
      </c>
      <c r="AY16" t="n">
        <v>0.2988533517779594</v>
      </c>
      <c r="AZ16" t="n">
        <v>0.3059573322438544</v>
      </c>
      <c r="BA16" t="n">
        <v>0.2952888003170173</v>
      </c>
      <c r="BB16" t="n">
        <v>0.3170864448032543</v>
      </c>
      <c r="BC16" t="n">
        <v>0.340384824773207</v>
      </c>
      <c r="BD16" t="n">
        <v>0.3474625493285333</v>
      </c>
      <c r="BE16" t="n">
        <v>0.3336519497283039</v>
      </c>
      <c r="BF16" t="n">
        <v>0.3340884412985772</v>
      </c>
    </row>
    <row r="17">
      <c r="A17" s="13" t="inlineStr">
        <is>
          <t>100040x100050</t>
        </is>
      </c>
      <c r="B17" s="13" t="inlineStr">
        <is>
          <t>010000</t>
        </is>
      </c>
      <c r="C17" t="n">
        <v>0.8931762141467315</v>
      </c>
      <c r="D17" t="n">
        <v>0.7599976452289673</v>
      </c>
      <c r="E17" t="n">
        <v>0.7146749030475866</v>
      </c>
      <c r="F17" t="n">
        <v>0.752290587222026</v>
      </c>
      <c r="G17" t="n">
        <v>0.6908419976164869</v>
      </c>
      <c r="H17" t="n">
        <v>0.6345144552266382</v>
      </c>
      <c r="I17" t="n">
        <v>0.6756406305197669</v>
      </c>
      <c r="J17" t="n">
        <v>0.8122518459961748</v>
      </c>
      <c r="K17" t="n">
        <v>0.6883004833676415</v>
      </c>
      <c r="L17" t="n">
        <v>0.6560957602052904</v>
      </c>
      <c r="M17" t="n">
        <v>0.7512498826153197</v>
      </c>
      <c r="N17" t="n">
        <v>0.6385560501393852</v>
      </c>
      <c r="O17" t="n">
        <v>0.6420312137962877</v>
      </c>
      <c r="P17" t="n">
        <v>0.6024166666245074</v>
      </c>
      <c r="Q17" t="n">
        <v>0.5980120640692665</v>
      </c>
      <c r="R17" t="n">
        <v>0.5880004713141896</v>
      </c>
      <c r="S17" t="n">
        <v>0.6062533161118467</v>
      </c>
      <c r="T17" t="n">
        <v>0.7944895006474666</v>
      </c>
      <c r="U17" t="n">
        <v>0.6425968574655612</v>
      </c>
      <c r="V17" t="n">
        <v>0.543198935002708</v>
      </c>
      <c r="W17" t="n">
        <v>0.541968317220462</v>
      </c>
      <c r="X17" t="n">
        <v>0.4712593714569278</v>
      </c>
      <c r="Y17" t="n">
        <v>0.4085848314765396</v>
      </c>
      <c r="Z17" t="n">
        <v>0.4332946439558839</v>
      </c>
      <c r="AA17" t="n">
        <v>0.4451544211921077</v>
      </c>
      <c r="AB17" t="n">
        <v>0.4301589955418108</v>
      </c>
      <c r="AC17" t="n">
        <v>0.4957430089275016</v>
      </c>
      <c r="AD17" t="n">
        <v>0.5149230940295688</v>
      </c>
      <c r="AE17" t="n">
        <v>0.4579497055541009</v>
      </c>
      <c r="AF17" t="n">
        <v>0.4512814655454327</v>
      </c>
      <c r="AG17" t="n">
        <v>0.5582765616500101</v>
      </c>
      <c r="AH17" t="n">
        <v>0.5661990762830905</v>
      </c>
      <c r="AI17" t="n">
        <v>0.5074401774322829</v>
      </c>
      <c r="AJ17" t="n">
        <v>0.5040264156856121</v>
      </c>
      <c r="AK17" t="n">
        <v>0.5368556278191383</v>
      </c>
      <c r="AL17" t="n">
        <v>0.5495472239044146</v>
      </c>
      <c r="AM17" t="n">
        <v>0.5465977229135656</v>
      </c>
      <c r="AN17" t="n">
        <v>0.4930881388722497</v>
      </c>
      <c r="AO17" t="n">
        <v>0.6759401834531741</v>
      </c>
      <c r="AP17" t="n">
        <v>0.6598445588303274</v>
      </c>
      <c r="AQ17" t="n">
        <v>0.6494087104153248</v>
      </c>
      <c r="AR17" t="n">
        <v>0.775123133838878</v>
      </c>
      <c r="AS17" t="n">
        <v>0.6023894379482392</v>
      </c>
      <c r="AT17" t="n">
        <v>0.5768486617023278</v>
      </c>
      <c r="AU17" t="n">
        <v>0.5518483332057356</v>
      </c>
      <c r="AV17" t="n">
        <v>0.4999894412550484</v>
      </c>
      <c r="AW17" t="n">
        <v>0.5745150775546611</v>
      </c>
      <c r="AX17" t="n">
        <v>0.6018953128135711</v>
      </c>
      <c r="AY17" t="n">
        <v>0.6011414824167746</v>
      </c>
      <c r="AZ17" t="n">
        <v>0.6225953296932581</v>
      </c>
      <c r="BA17" t="n">
        <v>0.6050822040900384</v>
      </c>
      <c r="BB17" t="n">
        <v>0.619664598632838</v>
      </c>
      <c r="BC17" t="n">
        <v>0.6137181485242478</v>
      </c>
      <c r="BD17" t="n">
        <v>0.5765761701965126</v>
      </c>
      <c r="BE17" t="n">
        <v>0.5279013206360078</v>
      </c>
      <c r="BF17" t="n">
        <v>0.5152282037972239</v>
      </c>
    </row>
    <row r="18">
      <c r="A18" s="13" t="n"/>
      <c r="B18" s="13" t="inlineStr">
        <is>
          <t>100010</t>
        </is>
      </c>
      <c r="C18" t="n">
        <v>0.1880708864365831</v>
      </c>
      <c r="D18" t="n">
        <v>0.2047437784720094</v>
      </c>
      <c r="E18" t="n">
        <v>0.1800608586180756</v>
      </c>
      <c r="F18" t="n">
        <v>0.2079073325252123</v>
      </c>
      <c r="G18" t="n">
        <v>0.2154951830409355</v>
      </c>
      <c r="H18" t="n">
        <v>0.1886283964453669</v>
      </c>
      <c r="I18" t="n">
        <v>0.1823517774418086</v>
      </c>
      <c r="J18" t="n">
        <v>0.2113659584341339</v>
      </c>
      <c r="K18" t="n">
        <v>0.1730427232031631</v>
      </c>
      <c r="L18" t="n">
        <v>0.1967644825595094</v>
      </c>
      <c r="M18" t="n">
        <v>0.1847608183772883</v>
      </c>
      <c r="N18" t="n">
        <v>0.1694936259346565</v>
      </c>
      <c r="O18" t="n">
        <v>0.1859298981792566</v>
      </c>
      <c r="P18" t="n">
        <v>0.1652115588943771</v>
      </c>
      <c r="Q18" t="n">
        <v>0.1600963634292379</v>
      </c>
      <c r="R18" t="n">
        <v>0.1721450282492909</v>
      </c>
      <c r="S18" t="n">
        <v>0.1985719891472199</v>
      </c>
      <c r="T18" t="n">
        <v>0.2012070716813401</v>
      </c>
      <c r="U18" t="n">
        <v>0.1997444884951587</v>
      </c>
      <c r="V18" t="n">
        <v>0.2084148114010272</v>
      </c>
      <c r="W18" t="n">
        <v>0.2608315181346799</v>
      </c>
      <c r="X18" t="n">
        <v>0.289295681477052</v>
      </c>
      <c r="Y18" t="n">
        <v>0.2990233484223836</v>
      </c>
      <c r="Z18" t="n">
        <v>0.3248880340880542</v>
      </c>
      <c r="AA18" t="n">
        <v>0.3587537469635277</v>
      </c>
      <c r="AB18" t="n">
        <v>0.3683325193188771</v>
      </c>
      <c r="AC18" t="n">
        <v>0.453660345945682</v>
      </c>
      <c r="AD18" t="n">
        <v>0.4931504703640378</v>
      </c>
      <c r="AE18" t="n">
        <v>0.4527329431372299</v>
      </c>
      <c r="AF18" t="n">
        <v>0.4950083975193242</v>
      </c>
      <c r="AG18" t="n">
        <v>0.5616033802579365</v>
      </c>
      <c r="AH18" t="n">
        <v>0.6000101888977777</v>
      </c>
      <c r="AI18" t="n">
        <v>0.6949270497536907</v>
      </c>
      <c r="AJ18" t="n">
        <v>0.6053843798498112</v>
      </c>
      <c r="AK18" t="n">
        <v>0.5668028294720576</v>
      </c>
      <c r="AL18" t="n">
        <v>0.604595472469728</v>
      </c>
      <c r="AM18" t="n">
        <v>0.6441718824626709</v>
      </c>
      <c r="AN18" t="n">
        <v>0.6581922656270089</v>
      </c>
      <c r="AO18" t="n">
        <v>0.6299538766184224</v>
      </c>
      <c r="AP18" t="n">
        <v>0.6769710405764087</v>
      </c>
      <c r="AQ18" t="n">
        <v>0.6892355818904551</v>
      </c>
      <c r="AR18" t="n">
        <v>0.6751199951591735</v>
      </c>
      <c r="AS18" t="n">
        <v>0.6621817316113197</v>
      </c>
      <c r="AT18" t="n">
        <v>0.6754093279966812</v>
      </c>
      <c r="AU18" t="n">
        <v>0.7197426914807673</v>
      </c>
      <c r="AV18" t="n">
        <v>0.705322890856983</v>
      </c>
      <c r="AW18" t="n">
        <v>0.7221412693955841</v>
      </c>
      <c r="AX18" t="n">
        <v>0.7228608070324635</v>
      </c>
      <c r="AY18" t="n">
        <v>0.7667144618930517</v>
      </c>
      <c r="AZ18" t="n">
        <v>0.7437054988418461</v>
      </c>
      <c r="BA18" t="n">
        <v>0.7449249493668102</v>
      </c>
      <c r="BB18" t="n">
        <v>0.7667550707943427</v>
      </c>
      <c r="BC18" t="n">
        <v>0.7460744177932421</v>
      </c>
      <c r="BD18" t="n">
        <v>0.752701513926529</v>
      </c>
      <c r="BE18" t="n">
        <v>0.7558569245531638</v>
      </c>
      <c r="BF18" t="n">
        <v>0.7618895428621504</v>
      </c>
    </row>
    <row r="19">
      <c r="A19" s="13" t="n"/>
      <c r="B19" s="13" t="inlineStr">
        <is>
          <t>100030</t>
        </is>
      </c>
      <c r="C19" t="n">
        <v>0.3955096710882581</v>
      </c>
      <c r="D19" t="n">
        <v>0.3714449474900687</v>
      </c>
      <c r="E19" t="n">
        <v>0.3365822826974043</v>
      </c>
      <c r="F19" t="n">
        <v>0.3785133880729836</v>
      </c>
      <c r="G19" t="n">
        <v>0.4356633916296748</v>
      </c>
      <c r="H19" t="n">
        <v>0.4050873590195943</v>
      </c>
      <c r="I19" t="n">
        <v>0.3483986296335237</v>
      </c>
      <c r="J19" t="n">
        <v>0.3873033618775609</v>
      </c>
      <c r="K19" t="n">
        <v>0.2745749768345335</v>
      </c>
      <c r="L19" t="n">
        <v>0.3205948541568591</v>
      </c>
      <c r="M19" t="n">
        <v>0.2618788960493568</v>
      </c>
      <c r="N19" t="n">
        <v>0.2322210573838969</v>
      </c>
      <c r="O19" t="n">
        <v>0.2807786300936718</v>
      </c>
      <c r="P19" t="n">
        <v>0.3048750263324773</v>
      </c>
      <c r="Q19" t="n">
        <v>0.3352651277095522</v>
      </c>
      <c r="R19" t="n">
        <v>0.2849180675970241</v>
      </c>
      <c r="S19" t="n">
        <v>0.2922776870528649</v>
      </c>
      <c r="T19" t="n">
        <v>0.3802069375781137</v>
      </c>
      <c r="U19" t="n">
        <v>0.3421854134553725</v>
      </c>
      <c r="V19" t="n">
        <v>0.3214455790050552</v>
      </c>
      <c r="W19" t="n">
        <v>0.3534985386059702</v>
      </c>
      <c r="X19" t="n">
        <v>0.3479745354874972</v>
      </c>
      <c r="Y19" t="n">
        <v>0.4063631918588814</v>
      </c>
      <c r="Z19" t="n">
        <v>0.3190064481596536</v>
      </c>
      <c r="AA19" t="n">
        <v>0.4189805731186894</v>
      </c>
      <c r="AB19" t="n">
        <v>0.3895934483275565</v>
      </c>
      <c r="AC19" t="n">
        <v>0.3914527942422913</v>
      </c>
      <c r="AD19" t="n">
        <v>0.3340508864124853</v>
      </c>
      <c r="AE19" t="n">
        <v>0.4383117011855699</v>
      </c>
      <c r="AF19" t="n">
        <v>0.5185606510419226</v>
      </c>
      <c r="AG19" t="n">
        <v>0.5238816761535537</v>
      </c>
      <c r="AH19" t="n">
        <v>0.4840617822546984</v>
      </c>
      <c r="AI19" t="n">
        <v>0.4696948684790704</v>
      </c>
      <c r="AJ19" t="n">
        <v>0.4842809167740107</v>
      </c>
      <c r="AK19" t="n">
        <v>0.4980218016053617</v>
      </c>
      <c r="AL19" t="n">
        <v>0.5370397840525216</v>
      </c>
      <c r="AM19" t="n">
        <v>0.5522009751063136</v>
      </c>
      <c r="AN19" t="n">
        <v>0.5949383266148606</v>
      </c>
      <c r="AO19" t="n">
        <v>0.6084945824254099</v>
      </c>
      <c r="AP19" t="n">
        <v>0.5551275084464811</v>
      </c>
      <c r="AQ19" t="n">
        <v>0.5416379110292343</v>
      </c>
      <c r="AR19" t="n">
        <v>0.5766320595554169</v>
      </c>
      <c r="AS19" t="n">
        <v>0.4438241853768325</v>
      </c>
      <c r="AT19" t="n">
        <v>0.6160166451838359</v>
      </c>
      <c r="AU19" t="n">
        <v>0.6511734248299964</v>
      </c>
      <c r="AV19" t="n">
        <v>0.5089193828079811</v>
      </c>
      <c r="AW19" t="n">
        <v>0.5235459391992662</v>
      </c>
      <c r="AX19" t="n">
        <v>0.5642570496399556</v>
      </c>
      <c r="AY19" t="n">
        <v>0.5808783922875317</v>
      </c>
      <c r="AZ19" t="n">
        <v>0.5589613748347706</v>
      </c>
      <c r="BA19" t="n">
        <v>0.7230546678188383</v>
      </c>
      <c r="BB19" t="n">
        <v>0.7969297949527457</v>
      </c>
      <c r="BC19" t="n">
        <v>0.9730044343516587</v>
      </c>
      <c r="BD19" t="n">
        <v>0.642648972810234</v>
      </c>
      <c r="BE19" t="n">
        <v>0.693648725637513</v>
      </c>
      <c r="BF19" t="n">
        <v>0.8391320933280187</v>
      </c>
    </row>
    <row r="20">
      <c r="A20" s="13" t="n"/>
      <c r="B20" s="13" t="inlineStr">
        <is>
          <t>100040x100050</t>
        </is>
      </c>
      <c r="C20" t="n">
        <v>0.5829220163336331</v>
      </c>
      <c r="D20" t="n">
        <v>0.6910119121226036</v>
      </c>
      <c r="E20" t="n">
        <v>0.6919966736097696</v>
      </c>
      <c r="F20" t="n">
        <v>0.6199127769139593</v>
      </c>
      <c r="G20" t="n">
        <v>0.5893773598251776</v>
      </c>
      <c r="H20" t="n">
        <v>0.6233926458154982</v>
      </c>
      <c r="I20" t="n">
        <v>0.5907615271767775</v>
      </c>
      <c r="J20" t="n">
        <v>0.5933070206783624</v>
      </c>
      <c r="K20" t="n">
        <v>0.5818666922601908</v>
      </c>
      <c r="L20" t="n">
        <v>0.617813251579498</v>
      </c>
      <c r="M20" t="n">
        <v>0.661901100944338</v>
      </c>
      <c r="N20" t="n">
        <v>0.6607609842063108</v>
      </c>
      <c r="O20" t="n">
        <v>0.7028883930869705</v>
      </c>
      <c r="P20" t="n">
        <v>0.6759226156765631</v>
      </c>
      <c r="Q20" t="n">
        <v>0.7212416158024941</v>
      </c>
      <c r="R20" t="n">
        <v>0.7209569081018183</v>
      </c>
      <c r="S20" t="n">
        <v>0.7338293102816265</v>
      </c>
      <c r="T20" t="n">
        <v>0.7694040465285578</v>
      </c>
      <c r="U20" t="n">
        <v>0.7323329961883038</v>
      </c>
      <c r="V20" t="n">
        <v>0.675638310367661</v>
      </c>
      <c r="W20" t="n">
        <v>0.7307649902824506</v>
      </c>
      <c r="X20" t="n">
        <v>0.667785399252136</v>
      </c>
      <c r="Y20" t="n">
        <v>0.6588177638937794</v>
      </c>
      <c r="Z20" t="n">
        <v>0.6887949149339363</v>
      </c>
      <c r="AA20" t="n">
        <v>0.7104241624260214</v>
      </c>
      <c r="AB20" t="n">
        <v>0.7153692876962858</v>
      </c>
      <c r="AC20" t="n">
        <v>0.6957617847849648</v>
      </c>
      <c r="AD20" t="n">
        <v>0.698981564588954</v>
      </c>
      <c r="AE20" t="n">
        <v>0.7168010671656143</v>
      </c>
      <c r="AF20" t="n">
        <v>0.7673476375529447</v>
      </c>
      <c r="AG20" t="n">
        <v>0.8062058587428406</v>
      </c>
      <c r="AH20" t="n">
        <v>0.8016046764872976</v>
      </c>
      <c r="AI20" t="n">
        <v>0.7742328486875244</v>
      </c>
      <c r="AJ20" t="n">
        <v>0.8111892321121764</v>
      </c>
      <c r="AK20" t="n">
        <v>0.8144259926455466</v>
      </c>
      <c r="AL20" t="n">
        <v>0.8392499642384355</v>
      </c>
      <c r="AM20" t="n">
        <v>0.8696137262310861</v>
      </c>
      <c r="AN20" t="n">
        <v>0.8532913238063909</v>
      </c>
      <c r="AO20" t="n">
        <v>0.803067176034249</v>
      </c>
      <c r="AP20" t="n">
        <v>0.82161339653035</v>
      </c>
      <c r="AQ20" t="n">
        <v>0.8472207635967627</v>
      </c>
      <c r="AR20" t="n">
        <v>0.8435977335915784</v>
      </c>
      <c r="AS20" t="n">
        <v>0.8312317248977582</v>
      </c>
      <c r="AT20" t="n">
        <v>0.8122584207056117</v>
      </c>
      <c r="AU20" t="n">
        <v>0.8093887858595041</v>
      </c>
      <c r="AV20" t="n">
        <v>0.8390817842982954</v>
      </c>
      <c r="AW20" t="n">
        <v>0.8498733957068946</v>
      </c>
      <c r="AX20" t="n">
        <v>0.8840825646742024</v>
      </c>
      <c r="AY20" t="n">
        <v>0.8887472870965573</v>
      </c>
      <c r="AZ20" t="n">
        <v>0.8571147029374985</v>
      </c>
      <c r="BA20" t="n">
        <v>0.8585341647095287</v>
      </c>
      <c r="BB20" t="n">
        <v>0.872561817124981</v>
      </c>
      <c r="BC20" t="n">
        <v>0.8675151087768432</v>
      </c>
      <c r="BD20" t="n">
        <v>0.8990151544553456</v>
      </c>
      <c r="BE20" t="n">
        <v>0.9234444150795764</v>
      </c>
      <c r="BF20" t="n">
        <v>0.9174250072535189</v>
      </c>
    </row>
    <row r="21">
      <c r="A21" s="13" t="n"/>
      <c r="B21" s="13" t="inlineStr">
        <is>
          <t>REST</t>
        </is>
      </c>
      <c r="C21" t="n">
        <v>0.2548294149572031</v>
      </c>
      <c r="D21" t="n">
        <v>0.2832326975263497</v>
      </c>
      <c r="E21" t="n">
        <v>0.2760452900258844</v>
      </c>
      <c r="F21" t="n">
        <v>0.2641186500793327</v>
      </c>
      <c r="G21" t="n">
        <v>0.2592675271860955</v>
      </c>
      <c r="H21" t="n">
        <v>0.2518334450908969</v>
      </c>
      <c r="I21" t="n">
        <v>0.2371140007821224</v>
      </c>
      <c r="J21" t="n">
        <v>0.3014754070527925</v>
      </c>
      <c r="K21" t="n">
        <v>0.2740824274711635</v>
      </c>
      <c r="L21" t="n">
        <v>0.2831017925781863</v>
      </c>
      <c r="M21" t="n">
        <v>0.2786006326057091</v>
      </c>
      <c r="N21" t="n">
        <v>0.2729904421639188</v>
      </c>
      <c r="O21" t="n">
        <v>0.3111434094963657</v>
      </c>
      <c r="P21" t="n">
        <v>0.3244031854720416</v>
      </c>
      <c r="Q21" t="n">
        <v>0.320522322986511</v>
      </c>
      <c r="R21" t="n">
        <v>0.33960438685135</v>
      </c>
      <c r="S21" t="n">
        <v>0.3059973715284661</v>
      </c>
      <c r="T21" t="n">
        <v>0.3233539667403296</v>
      </c>
      <c r="U21" t="n">
        <v>0.3326951541001815</v>
      </c>
      <c r="V21" t="n">
        <v>0.2938507459908995</v>
      </c>
      <c r="W21" t="n">
        <v>0.2941716644562276</v>
      </c>
      <c r="X21" t="n">
        <v>0.2702186385862742</v>
      </c>
      <c r="Y21" t="n">
        <v>0.2564014482118774</v>
      </c>
      <c r="Z21" t="n">
        <v>0.2498373813552045</v>
      </c>
      <c r="AA21" t="n">
        <v>0.2476311037478891</v>
      </c>
      <c r="AB21" t="n">
        <v>0.2417431575413602</v>
      </c>
      <c r="AC21" t="n">
        <v>0.2542893647050377</v>
      </c>
      <c r="AD21" t="n">
        <v>0.2598463630461879</v>
      </c>
      <c r="AE21" t="n">
        <v>0.2601264102284083</v>
      </c>
      <c r="AF21" t="n">
        <v>0.2673895407900462</v>
      </c>
      <c r="AG21" t="n">
        <v>0.2640593947454857</v>
      </c>
      <c r="AH21" t="n">
        <v>0.2686151918588813</v>
      </c>
      <c r="AI21" t="n">
        <v>0.2496425828436488</v>
      </c>
      <c r="AJ21" t="n">
        <v>0.2684713543616581</v>
      </c>
      <c r="AK21" t="n">
        <v>0.2830484441511194</v>
      </c>
      <c r="AL21" t="n">
        <v>0.3052582921195911</v>
      </c>
      <c r="AM21" t="n">
        <v>0.3317282621551287</v>
      </c>
      <c r="AN21" t="n">
        <v>0.3290067393717117</v>
      </c>
      <c r="AO21" t="n">
        <v>0.3030620850075818</v>
      </c>
      <c r="AP21" t="n">
        <v>0.3235851227229734</v>
      </c>
      <c r="AQ21" t="n">
        <v>0.3275716180689311</v>
      </c>
      <c r="AR21" t="n">
        <v>0.3271305258454227</v>
      </c>
      <c r="AS21" t="n">
        <v>0.2860196785167281</v>
      </c>
      <c r="AT21" t="n">
        <v>0.3154282448601465</v>
      </c>
      <c r="AU21" t="n">
        <v>0.3122299675125038</v>
      </c>
      <c r="AV21" t="n">
        <v>0.3288847117646498</v>
      </c>
      <c r="AW21" t="n">
        <v>0.3108282397816166</v>
      </c>
      <c r="AX21" t="n">
        <v>0.2934658978426448</v>
      </c>
      <c r="AY21" t="n">
        <v>0.293069395137762</v>
      </c>
      <c r="AZ21" t="n">
        <v>0.3106679996693009</v>
      </c>
      <c r="BA21" t="n">
        <v>0.2927270333955537</v>
      </c>
      <c r="BB21" t="n">
        <v>0.2888632405251062</v>
      </c>
      <c r="BC21" t="n">
        <v>0.3197360231767475</v>
      </c>
      <c r="BD21" t="n">
        <v>0.3133676361548844</v>
      </c>
      <c r="BE21" t="n">
        <v>0.3267927280075134</v>
      </c>
      <c r="BF21" t="n">
        <v>0.3624863653328803</v>
      </c>
    </row>
    <row r="22">
      <c r="A22" s="13" t="inlineStr">
        <is>
          <t>REST</t>
        </is>
      </c>
      <c r="B22" s="13" t="inlineStr">
        <is>
          <t>010000</t>
        </is>
      </c>
      <c r="C22" t="n">
        <v>0.9644391506638156</v>
      </c>
      <c r="D22" t="n">
        <v>0.9567368405764964</v>
      </c>
      <c r="E22" t="n">
        <v>0.9425833814233028</v>
      </c>
      <c r="F22" t="n">
        <v>0.9474303567080977</v>
      </c>
      <c r="G22" t="n">
        <v>0.969489496024571</v>
      </c>
      <c r="H22" t="n">
        <v>0.9323201645390168</v>
      </c>
      <c r="I22" t="n">
        <v>0.8776801842877225</v>
      </c>
      <c r="J22" t="n">
        <v>0.9164233231645031</v>
      </c>
      <c r="K22" t="n">
        <v>0.8584140549933388</v>
      </c>
      <c r="L22" t="n">
        <v>0.8669342201208353</v>
      </c>
      <c r="M22" t="n">
        <v>0.9398578239309003</v>
      </c>
      <c r="N22" t="n">
        <v>0.8913329311887219</v>
      </c>
      <c r="O22" t="n">
        <v>0.8865391476693808</v>
      </c>
      <c r="P22" t="n">
        <v>0.8526555954105017</v>
      </c>
      <c r="Q22" t="n">
        <v>0.8329827611550557</v>
      </c>
      <c r="R22" t="n">
        <v>0.8913988186022689</v>
      </c>
      <c r="S22" t="n">
        <v>0.8253787838330312</v>
      </c>
      <c r="T22" t="n">
        <v>0.9130545519880623</v>
      </c>
      <c r="U22" t="n">
        <v>0.9693796922826028</v>
      </c>
      <c r="V22" t="n">
        <v>0.9112596804255731</v>
      </c>
      <c r="W22" t="n">
        <v>0.8325566267367873</v>
      </c>
      <c r="X22" t="n">
        <v>0.8512991276128201</v>
      </c>
      <c r="Y22" t="n">
        <v>0.8610282643439096</v>
      </c>
      <c r="Z22" t="n">
        <v>0.7895597793431286</v>
      </c>
      <c r="AA22" t="n">
        <v>0.808064169227468</v>
      </c>
      <c r="AB22" t="n">
        <v>0.7694421637621351</v>
      </c>
      <c r="AC22" t="n">
        <v>0.8040883456600514</v>
      </c>
      <c r="AD22" t="n">
        <v>0.9038395416117561</v>
      </c>
      <c r="AE22" t="n">
        <v>0.8592995480814208</v>
      </c>
      <c r="AF22" t="n">
        <v>0.8704387373485323</v>
      </c>
      <c r="AG22" t="n">
        <v>0.8975441024776436</v>
      </c>
      <c r="AH22" t="n">
        <v>0.867643572923242</v>
      </c>
      <c r="AI22" t="n">
        <v>0.8086920784347843</v>
      </c>
      <c r="AJ22" t="n">
        <v>0.831496044300325</v>
      </c>
      <c r="AK22" t="n">
        <v>0.8444634730464692</v>
      </c>
      <c r="AL22" t="n">
        <v>0.7787727881908579</v>
      </c>
      <c r="AM22" t="n">
        <v>0.7725732556222069</v>
      </c>
      <c r="AN22" t="n">
        <v>0.7476103761740673</v>
      </c>
      <c r="AO22" t="n">
        <v>0.7587939248804974</v>
      </c>
      <c r="AP22" t="n">
        <v>0.7477726656728362</v>
      </c>
      <c r="AQ22" t="n">
        <v>0.7433525179777828</v>
      </c>
      <c r="AR22" t="n">
        <v>0.7323752249599892</v>
      </c>
      <c r="AS22" t="n">
        <v>0.7850242492125801</v>
      </c>
      <c r="AT22" t="n">
        <v>0.7829329998918774</v>
      </c>
      <c r="AU22" t="n">
        <v>0.6995559364737599</v>
      </c>
      <c r="AV22" t="n">
        <v>0.6516389925150807</v>
      </c>
      <c r="AW22" t="n">
        <v>0.7111680172182725</v>
      </c>
      <c r="AX22" t="n">
        <v>0.6917936223047174</v>
      </c>
      <c r="AY22" t="n">
        <v>0.7600701853517413</v>
      </c>
      <c r="AZ22" t="n">
        <v>0.743453638599336</v>
      </c>
      <c r="BA22" t="n">
        <v>0.6913744471243579</v>
      </c>
      <c r="BB22" t="n">
        <v>0.6846386446207749</v>
      </c>
      <c r="BC22" t="n">
        <v>0.6538119317281839</v>
      </c>
      <c r="BD22" t="n">
        <v>0.7105018114840486</v>
      </c>
      <c r="BE22" t="n">
        <v>0.7086363143158174</v>
      </c>
      <c r="BF22" t="n">
        <v>0.6518817161794163</v>
      </c>
    </row>
    <row r="23">
      <c r="A23" s="13" t="n"/>
      <c r="B23" s="13" t="inlineStr">
        <is>
          <t>100010</t>
        </is>
      </c>
      <c r="C23" t="n">
        <v>0.3313721023351736</v>
      </c>
      <c r="D23" t="n">
        <v>0.3627214053023219</v>
      </c>
      <c r="E23" t="n">
        <v>0.3473063983741574</v>
      </c>
      <c r="F23" t="n">
        <v>0.3245250904452111</v>
      </c>
      <c r="G23" t="n">
        <v>0.3744499903362482</v>
      </c>
      <c r="H23" t="n">
        <v>0.4531638925251348</v>
      </c>
      <c r="I23" t="n">
        <v>0.3526673154053926</v>
      </c>
      <c r="J23" t="n">
        <v>0.3413518429478938</v>
      </c>
      <c r="K23" t="n">
        <v>0.3100536401273862</v>
      </c>
      <c r="L23" t="n">
        <v>0.3328129744017344</v>
      </c>
      <c r="M23" t="n">
        <v>0.3305701412260232</v>
      </c>
      <c r="N23" t="n">
        <v>0.3519932055955987</v>
      </c>
      <c r="O23" t="n">
        <v>0.4466366989828592</v>
      </c>
      <c r="P23" t="n">
        <v>0.4293202699486144</v>
      </c>
      <c r="Q23" t="n">
        <v>0.4529166895581435</v>
      </c>
      <c r="R23" t="n">
        <v>0.472496919363828</v>
      </c>
      <c r="S23" t="n">
        <v>0.5370602025521929</v>
      </c>
      <c r="T23" t="n">
        <v>0.5282554609989547</v>
      </c>
      <c r="U23" t="n">
        <v>0.5187220590094802</v>
      </c>
      <c r="V23" t="n">
        <v>0.4858586931823088</v>
      </c>
      <c r="W23" t="n">
        <v>0.5175230465755472</v>
      </c>
      <c r="X23" t="n">
        <v>0.5482562875907787</v>
      </c>
      <c r="Y23" t="n">
        <v>0.5152181139032892</v>
      </c>
      <c r="Z23" t="n">
        <v>0.5054103178784615</v>
      </c>
      <c r="AA23" t="n">
        <v>0.5603568244060821</v>
      </c>
      <c r="AB23" t="n">
        <v>0.5279428963353244</v>
      </c>
      <c r="AC23" t="n">
        <v>0.5801044747829955</v>
      </c>
      <c r="AD23" t="n">
        <v>0.5425815585475566</v>
      </c>
      <c r="AE23" t="n">
        <v>0.5584280285772451</v>
      </c>
      <c r="AF23" t="n">
        <v>0.5489498865211527</v>
      </c>
      <c r="AG23" t="n">
        <v>0.5689403614615981</v>
      </c>
      <c r="AH23" t="n">
        <v>0.5928523754778732</v>
      </c>
      <c r="AI23" t="n">
        <v>0.6406399723769072</v>
      </c>
      <c r="AJ23" t="n">
        <v>0.5867546089318475</v>
      </c>
      <c r="AK23" t="n">
        <v>0.5906224256188567</v>
      </c>
      <c r="AL23" t="n">
        <v>0.5977100122694575</v>
      </c>
      <c r="AM23" t="n">
        <v>0.6140448627973673</v>
      </c>
      <c r="AN23" t="n">
        <v>0.5998913463471751</v>
      </c>
      <c r="AO23" t="n">
        <v>0.6504806391845185</v>
      </c>
      <c r="AP23" t="n">
        <v>0.6956558792694055</v>
      </c>
      <c r="AQ23" t="n">
        <v>0.723346297217322</v>
      </c>
      <c r="AR23" t="n">
        <v>0.7286845773900753</v>
      </c>
      <c r="AS23" t="n">
        <v>0.7104141091686833</v>
      </c>
      <c r="AT23" t="n">
        <v>0.7452048594869561</v>
      </c>
      <c r="AU23" t="n">
        <v>0.7864936307965531</v>
      </c>
      <c r="AV23" t="n">
        <v>0.7850086498333587</v>
      </c>
      <c r="AW23" t="n">
        <v>0.7846104401448123</v>
      </c>
      <c r="AX23" t="n">
        <v>0.7705982864132425</v>
      </c>
      <c r="AY23" t="n">
        <v>0.7879867312056477</v>
      </c>
      <c r="AZ23" t="n">
        <v>0.7758578432677546</v>
      </c>
      <c r="BA23" t="n">
        <v>0.8346771175998211</v>
      </c>
      <c r="BB23" t="n">
        <v>0.8563040677228463</v>
      </c>
      <c r="BC23" t="n">
        <v>0.7709048763543537</v>
      </c>
      <c r="BD23" t="n">
        <v>0.7889316088909332</v>
      </c>
      <c r="BE23" t="n">
        <v>0.8106392763806936</v>
      </c>
      <c r="BF23" t="n">
        <v>0.8157097287328748</v>
      </c>
    </row>
    <row r="24">
      <c r="A24" s="13" t="n"/>
      <c r="B24" s="13" t="inlineStr">
        <is>
          <t>100030</t>
        </is>
      </c>
      <c r="C24" t="n">
        <v>0.2254635880943466</v>
      </c>
      <c r="D24" t="n">
        <v>0.2267223053976113</v>
      </c>
      <c r="E24" t="n">
        <v>0.2345751008638608</v>
      </c>
      <c r="F24" t="n">
        <v>0.2274591757026597</v>
      </c>
      <c r="G24" t="n">
        <v>0.2757391981034016</v>
      </c>
      <c r="H24" t="n">
        <v>0.343506643757199</v>
      </c>
      <c r="I24" t="n">
        <v>0.3650520281323564</v>
      </c>
      <c r="J24" t="n">
        <v>0.3663247469837315</v>
      </c>
      <c r="K24" t="n">
        <v>0.3384999546963614</v>
      </c>
      <c r="L24" t="n">
        <v>0.3994458121105041</v>
      </c>
      <c r="M24" t="n">
        <v>0.3272319003078101</v>
      </c>
      <c r="N24" t="n">
        <v>0.3092681759114242</v>
      </c>
      <c r="O24" t="n">
        <v>0.3372650437997624</v>
      </c>
      <c r="P24" t="n">
        <v>0.3641383657842537</v>
      </c>
      <c r="Q24" t="n">
        <v>0.3992487497709687</v>
      </c>
      <c r="R24" t="n">
        <v>0.3242048436973857</v>
      </c>
      <c r="S24" t="n">
        <v>0.3407686097000766</v>
      </c>
      <c r="T24" t="n">
        <v>0.3945067407879708</v>
      </c>
      <c r="U24" t="n">
        <v>0.3885858756432923</v>
      </c>
      <c r="V24" t="n">
        <v>0.3454975232409896</v>
      </c>
      <c r="W24" t="n">
        <v>0.3613322746994557</v>
      </c>
      <c r="X24" t="n">
        <v>0.3522734033502075</v>
      </c>
      <c r="Y24" t="n">
        <v>0.3977365549370819</v>
      </c>
      <c r="Z24" t="n">
        <v>0.3469441325001099</v>
      </c>
      <c r="AA24" t="n">
        <v>0.3813082372028601</v>
      </c>
      <c r="AB24" t="n">
        <v>0.4243757565262358</v>
      </c>
      <c r="AC24" t="n">
        <v>0.4499229191059643</v>
      </c>
      <c r="AD24" t="n">
        <v>0.4862910937813817</v>
      </c>
      <c r="AE24" t="n">
        <v>0.5198454340626807</v>
      </c>
      <c r="AF24" t="n">
        <v>0.5559878291143249</v>
      </c>
      <c r="AG24" t="n">
        <v>0.5194017437941049</v>
      </c>
      <c r="AH24" t="n">
        <v>0.4974543618266549</v>
      </c>
      <c r="AI24" t="n">
        <v>0.5434068430521662</v>
      </c>
      <c r="AJ24" t="n">
        <v>0.5447886332469301</v>
      </c>
      <c r="AK24" t="n">
        <v>0.5616923636027514</v>
      </c>
      <c r="AL24" t="n">
        <v>0.6051234029830407</v>
      </c>
      <c r="AM24" t="n">
        <v>0.6081627986844056</v>
      </c>
      <c r="AN24" t="n">
        <v>0.5800053681246042</v>
      </c>
      <c r="AO24" t="n">
        <v>0.6433501580169929</v>
      </c>
      <c r="AP24" t="n">
        <v>0.6067305980460587</v>
      </c>
      <c r="AQ24" t="n">
        <v>0.6302219637985802</v>
      </c>
      <c r="AR24" t="n">
        <v>0.6914042077827844</v>
      </c>
      <c r="AS24" t="n">
        <v>0.6106800639069965</v>
      </c>
      <c r="AT24" t="n">
        <v>0.7038310045430106</v>
      </c>
      <c r="AU24" t="n">
        <v>0.7271865540651155</v>
      </c>
      <c r="AV24" t="n">
        <v>0.6904364573371627</v>
      </c>
      <c r="AW24" t="n">
        <v>0.6934138015752486</v>
      </c>
      <c r="AX24" t="n">
        <v>0.6466271229678507</v>
      </c>
      <c r="AY24" t="n">
        <v>0.6899367501358606</v>
      </c>
      <c r="AZ24" t="n">
        <v>0.7267064990559828</v>
      </c>
      <c r="BA24" t="n">
        <v>0.6598101560813726</v>
      </c>
      <c r="BB24" t="n">
        <v>0.6763319547204618</v>
      </c>
      <c r="BC24" t="n">
        <v>0.6745531644863406</v>
      </c>
      <c r="BD24" t="n">
        <v>0.6914857828126556</v>
      </c>
      <c r="BE24" t="n">
        <v>0.6996442055050649</v>
      </c>
      <c r="BF24" t="n">
        <v>0.6452065944458762</v>
      </c>
    </row>
    <row r="25">
      <c r="A25" s="13" t="n"/>
      <c r="B25" s="13" t="inlineStr">
        <is>
          <t>100040x100050</t>
        </is>
      </c>
      <c r="C25" t="n">
        <v>0.6277540973175241</v>
      </c>
      <c r="D25" t="n">
        <v>0.6574947664201055</v>
      </c>
      <c r="E25" t="n">
        <v>0.6504245796941582</v>
      </c>
      <c r="F25" t="n">
        <v>0.6277337887099531</v>
      </c>
      <c r="G25" t="n">
        <v>0.6160988355450778</v>
      </c>
      <c r="H25" t="n">
        <v>0.5957855324885167</v>
      </c>
      <c r="I25" t="n">
        <v>0.6108649577553805</v>
      </c>
      <c r="J25" t="n">
        <v>0.6574859520514245</v>
      </c>
      <c r="K25" t="n">
        <v>0.653016854118768</v>
      </c>
      <c r="L25" t="n">
        <v>0.6752478638937024</v>
      </c>
      <c r="M25" t="n">
        <v>0.6696851211921319</v>
      </c>
      <c r="N25" t="n">
        <v>0.6368078407335348</v>
      </c>
      <c r="O25" t="n">
        <v>0.6563065488209379</v>
      </c>
      <c r="P25" t="n">
        <v>0.6646125510289681</v>
      </c>
      <c r="Q25" t="n">
        <v>0.7026066972240465</v>
      </c>
      <c r="R25" t="n">
        <v>0.6964722902908284</v>
      </c>
      <c r="S25" t="n">
        <v>0.6961394633428857</v>
      </c>
      <c r="T25" t="n">
        <v>0.7003087739574123</v>
      </c>
      <c r="U25" t="n">
        <v>0.7037411484462153</v>
      </c>
      <c r="V25" t="n">
        <v>0.6667065981579328</v>
      </c>
      <c r="W25" t="n">
        <v>0.6600713403516356</v>
      </c>
      <c r="X25" t="n">
        <v>0.639744033816786</v>
      </c>
      <c r="Y25" t="n">
        <v>0.6373426375272357</v>
      </c>
      <c r="Z25" t="n">
        <v>0.6490551951977549</v>
      </c>
      <c r="AA25" t="n">
        <v>0.6690693318010055</v>
      </c>
      <c r="AB25" t="n">
        <v>0.6587522608273327</v>
      </c>
      <c r="AC25" t="n">
        <v>0.6649699572870574</v>
      </c>
      <c r="AD25" t="n">
        <v>0.6403997564970563</v>
      </c>
      <c r="AE25" t="n">
        <v>0.6639043157730471</v>
      </c>
      <c r="AF25" t="n">
        <v>0.660287640083505</v>
      </c>
      <c r="AG25" t="n">
        <v>0.7030590096626027</v>
      </c>
      <c r="AH25" t="n">
        <v>0.6929095640983666</v>
      </c>
      <c r="AI25" t="n">
        <v>0.6979226751121524</v>
      </c>
      <c r="AJ25" t="n">
        <v>0.6910425870001083</v>
      </c>
      <c r="AK25" t="n">
        <v>0.6830007113018685</v>
      </c>
      <c r="AL25" t="n">
        <v>0.7124749114086788</v>
      </c>
      <c r="AM25" t="n">
        <v>0.6843728766893589</v>
      </c>
      <c r="AN25" t="n">
        <v>0.6870505135561237</v>
      </c>
      <c r="AO25" t="n">
        <v>0.6915401967043714</v>
      </c>
      <c r="AP25" t="n">
        <v>0.7305400169063953</v>
      </c>
      <c r="AQ25" t="n">
        <v>0.7499541702542888</v>
      </c>
      <c r="AR25" t="n">
        <v>0.7647270062730683</v>
      </c>
      <c r="AS25" t="n">
        <v>0.7336625826966926</v>
      </c>
      <c r="AT25" t="n">
        <v>0.733111977319565</v>
      </c>
      <c r="AU25" t="n">
        <v>0.7471648905139305</v>
      </c>
      <c r="AV25" t="n">
        <v>0.7625763034912469</v>
      </c>
      <c r="AW25" t="n">
        <v>0.7558727043246789</v>
      </c>
      <c r="AX25" t="n">
        <v>0.7690591351690526</v>
      </c>
      <c r="AY25" t="n">
        <v>0.760664339340274</v>
      </c>
      <c r="AZ25" t="n">
        <v>0.7544905657321098</v>
      </c>
      <c r="BA25" t="n">
        <v>0.7643679213523258</v>
      </c>
      <c r="BB25" t="n">
        <v>0.7761084007289815</v>
      </c>
      <c r="BC25" t="n">
        <v>0.8034445369949289</v>
      </c>
      <c r="BD25" t="n">
        <v>0.8055113301388747</v>
      </c>
      <c r="BE25" t="n">
        <v>0.8189687157463674</v>
      </c>
      <c r="BF25" t="n">
        <v>0.8170727600104853</v>
      </c>
    </row>
    <row r="26">
      <c r="A26" s="13" t="n"/>
      <c r="B26" s="13" t="inlineStr">
        <is>
          <t>REST</t>
        </is>
      </c>
      <c r="C26" t="n">
        <v>0.3436095144194204</v>
      </c>
      <c r="D26" t="n">
        <v>0.3554113402660616</v>
      </c>
      <c r="E26" t="n">
        <v>0.3603782585309945</v>
      </c>
      <c r="F26" t="n">
        <v>0.3564760037079611</v>
      </c>
      <c r="G26" t="n">
        <v>0.3476278211722391</v>
      </c>
      <c r="H26" t="n">
        <v>0.3431837622804986</v>
      </c>
      <c r="I26" t="n">
        <v>0.3441206934342703</v>
      </c>
      <c r="J26" t="n">
        <v>0.4191349898011911</v>
      </c>
      <c r="K26" t="n">
        <v>0.36427399832122</v>
      </c>
      <c r="L26" t="n">
        <v>0.3667548311790704</v>
      </c>
      <c r="M26" t="n">
        <v>0.3467762247077516</v>
      </c>
      <c r="N26" t="n">
        <v>0.3160050636256509</v>
      </c>
      <c r="O26" t="n">
        <v>0.3445834333146519</v>
      </c>
      <c r="P26" t="n">
        <v>0.3939206981791497</v>
      </c>
      <c r="Q26" t="n">
        <v>0.4066054092701004</v>
      </c>
      <c r="R26" t="n">
        <v>0.4112112811193166</v>
      </c>
      <c r="S26" t="n">
        <v>0.3785777582612124</v>
      </c>
      <c r="T26" t="n">
        <v>0.3898199228980438</v>
      </c>
      <c r="U26" t="n">
        <v>0.3724011858387053</v>
      </c>
      <c r="V26" t="n">
        <v>0.2934073771297225</v>
      </c>
      <c r="W26" t="n">
        <v>0.2667381103477361</v>
      </c>
      <c r="X26" t="n">
        <v>0.2709443138940157</v>
      </c>
      <c r="Y26" t="n">
        <v>0.2759437923608231</v>
      </c>
      <c r="Z26" t="n">
        <v>0.267518166625429</v>
      </c>
      <c r="AA26" t="n">
        <v>0.2660588540862403</v>
      </c>
      <c r="AB26" t="n">
        <v>0.2523330291470932</v>
      </c>
      <c r="AC26" t="n">
        <v>0.2368468299481503</v>
      </c>
      <c r="AD26" t="n">
        <v>0.238901481077664</v>
      </c>
      <c r="AE26" t="n">
        <v>0.2458586005210482</v>
      </c>
      <c r="AF26" t="n">
        <v>0.2387377191407741</v>
      </c>
      <c r="AG26" t="n">
        <v>0.2349944802723071</v>
      </c>
      <c r="AH26" t="n">
        <v>0.2289458499899001</v>
      </c>
      <c r="AI26" t="n">
        <v>0.2179048950568913</v>
      </c>
      <c r="AJ26" t="n">
        <v>0.2437151703581488</v>
      </c>
      <c r="AK26" t="n">
        <v>0.2348412433775998</v>
      </c>
      <c r="AL26" t="n">
        <v>0.2292783801497709</v>
      </c>
      <c r="AM26" t="n">
        <v>0.2200140173415255</v>
      </c>
      <c r="AN26" t="n">
        <v>0.2273053090148404</v>
      </c>
      <c r="AO26" t="n">
        <v>0.2448132566619716</v>
      </c>
      <c r="AP26" t="n">
        <v>0.2606383392179216</v>
      </c>
      <c r="AQ26" t="n">
        <v>0.2589047105926328</v>
      </c>
      <c r="AR26" t="n">
        <v>0.2695085897564916</v>
      </c>
      <c r="AS26" t="n">
        <v>0.235713406623915</v>
      </c>
      <c r="AT26" t="n">
        <v>0.2454656825136435</v>
      </c>
      <c r="AU26" t="n">
        <v>0.2640989701305633</v>
      </c>
      <c r="AV26" t="n">
        <v>0.2634727065105881</v>
      </c>
      <c r="AW26" t="n">
        <v>0.2632882773909579</v>
      </c>
      <c r="AX26" t="n">
        <v>0.2549943081581204</v>
      </c>
      <c r="AY26" t="n">
        <v>0.2571638168817288</v>
      </c>
      <c r="AZ26" t="n">
        <v>0.2561178635065306</v>
      </c>
      <c r="BA26" t="n">
        <v>0.2598727164458554</v>
      </c>
      <c r="BB26" t="n">
        <v>0.2731094136955544</v>
      </c>
      <c r="BC26" t="n">
        <v>0.281780261816908</v>
      </c>
      <c r="BD26" t="n">
        <v>0.2720979896707708</v>
      </c>
      <c r="BE26" t="n">
        <v>0.2911615321272977</v>
      </c>
      <c r="BF26" t="n">
        <v>0.3301769191456425</v>
      </c>
    </row>
  </sheetData>
  <mergeCells count="5">
    <mergeCell ref="A22:A26"/>
    <mergeCell ref="A17:A21"/>
    <mergeCell ref="A12:A16"/>
    <mergeCell ref="A2:A6"/>
    <mergeCell ref="A7:A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17022.55986214871</v>
      </c>
      <c r="AE2" t="n">
        <v>16915.20257510405</v>
      </c>
      <c r="AF2" t="n">
        <v>16440.06196895031</v>
      </c>
      <c r="AG2" t="n">
        <v>15755.86393259531</v>
      </c>
      <c r="AH2" t="n">
        <v>15364.58623285456</v>
      </c>
      <c r="AI2" t="n">
        <v>14920.75589391073</v>
      </c>
      <c r="AJ2" t="n">
        <v>14989.66841708195</v>
      </c>
      <c r="AK2" t="n">
        <v>14851.171951068</v>
      </c>
      <c r="AL2" t="n">
        <v>14800.16728017038</v>
      </c>
      <c r="AM2" t="n">
        <v>14286.71517252382</v>
      </c>
      <c r="AN2" t="n">
        <v>14224.24206348861</v>
      </c>
      <c r="AO2" t="n">
        <v>13743.20716875747</v>
      </c>
      <c r="AP2" t="n">
        <v>12739.63481117215</v>
      </c>
      <c r="AQ2" t="n">
        <v>12506.6567405952</v>
      </c>
      <c r="AR2" t="n">
        <v>12491.5040833229</v>
      </c>
      <c r="AS2" t="n">
        <v>11778.07508340876</v>
      </c>
      <c r="AT2" t="n">
        <v>11622.25078610083</v>
      </c>
      <c r="AU2" t="n">
        <v>11296.95162608783</v>
      </c>
      <c r="AV2" t="n">
        <v>10978.78791344013</v>
      </c>
      <c r="AW2" t="n">
        <v>10839.33541687853</v>
      </c>
      <c r="AX2" t="n">
        <v>10889.40845225155</v>
      </c>
      <c r="AY2" t="n">
        <v>10744.17868853501</v>
      </c>
      <c r="AZ2" t="n">
        <v>10666.47939521451</v>
      </c>
      <c r="BA2" t="n">
        <v>10555.72342428288</v>
      </c>
      <c r="BB2" t="n">
        <v>10300.13951924316</v>
      </c>
      <c r="BC2" t="n">
        <v>9913.852891241915</v>
      </c>
      <c r="BD2" t="n">
        <v>9855.654968678384</v>
      </c>
      <c r="BE2" t="n">
        <v>10017.77158666164</v>
      </c>
      <c r="BF2" t="n">
        <v>9825.815406950844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1994</v>
      </c>
      <c r="C1" s="13" t="n">
        <v>1995</v>
      </c>
      <c r="D1" s="13" t="n">
        <v>1996</v>
      </c>
      <c r="E1" s="13" t="n">
        <v>1997</v>
      </c>
      <c r="F1" s="13" t="n">
        <v>1998</v>
      </c>
      <c r="G1" s="13" t="n">
        <v>1999</v>
      </c>
      <c r="H1" s="13" t="n">
        <v>2000</v>
      </c>
      <c r="I1" s="13" t="n">
        <v>2001</v>
      </c>
      <c r="J1" s="13" t="n">
        <v>2002</v>
      </c>
      <c r="K1" s="13" t="n">
        <v>2003</v>
      </c>
      <c r="L1" s="13" t="n">
        <v>2004</v>
      </c>
      <c r="M1" s="13" t="n">
        <v>2005</v>
      </c>
      <c r="N1" s="13" t="n">
        <v>2006</v>
      </c>
      <c r="O1" s="13" t="n">
        <v>2007</v>
      </c>
      <c r="P1" s="13" t="n">
        <v>2008</v>
      </c>
      <c r="Q1" s="13" t="n">
        <v>2009</v>
      </c>
      <c r="R1" s="13" t="n">
        <v>2010</v>
      </c>
      <c r="S1" s="13" t="n">
        <v>2011</v>
      </c>
      <c r="T1" s="13" t="n">
        <v>2012</v>
      </c>
      <c r="U1" s="13" t="n">
        <v>2013</v>
      </c>
      <c r="V1" s="13" t="n">
        <v>2014</v>
      </c>
      <c r="W1" s="13" t="n">
        <v>2015</v>
      </c>
      <c r="X1" s="13" t="n">
        <v>2016</v>
      </c>
      <c r="Y1" s="13" t="n">
        <v>2017</v>
      </c>
      <c r="Z1" s="13" t="n">
        <v>2018</v>
      </c>
      <c r="AA1" s="13" t="n">
        <v>2019</v>
      </c>
      <c r="AB1" s="13" t="n">
        <v>2020</v>
      </c>
      <c r="AC1" s="13" t="n">
        <v>2021</v>
      </c>
      <c r="AD1" s="13" t="n">
        <v>2022</v>
      </c>
    </row>
    <row r="2">
      <c r="A2" s="13" t="inlineStr">
        <is>
          <t>010000</t>
        </is>
      </c>
      <c r="B2" t="n">
        <v>0.7600727783424934</v>
      </c>
      <c r="C2" t="n">
        <v>0.7603333123529035</v>
      </c>
      <c r="D2" t="n">
        <v>0.7616875812899506</v>
      </c>
      <c r="E2" t="n">
        <v>0.7634469038986437</v>
      </c>
      <c r="F2" t="n">
        <v>0.7643220006510915</v>
      </c>
      <c r="G2" t="n">
        <v>0.7649300293503878</v>
      </c>
      <c r="H2" t="n">
        <v>0.7647372495844111</v>
      </c>
      <c r="I2" t="n">
        <v>0.7653119521046974</v>
      </c>
      <c r="J2" t="n">
        <v>0.7653991630626537</v>
      </c>
      <c r="K2" t="n">
        <v>0.7658190505584596</v>
      </c>
      <c r="L2" t="n">
        <v>0.7656715751959844</v>
      </c>
      <c r="M2" t="n">
        <v>0.7643438134289292</v>
      </c>
      <c r="N2" t="n">
        <v>0.7558242381918158</v>
      </c>
      <c r="O2" t="n">
        <v>0.7549182768409379</v>
      </c>
      <c r="P2" t="n">
        <v>0.7549587412017739</v>
      </c>
      <c r="Q2" t="n">
        <v>0.7613727787031156</v>
      </c>
      <c r="R2" t="n">
        <v>0.7616637701563734</v>
      </c>
      <c r="S2" t="n">
        <v>0.7594975445287093</v>
      </c>
      <c r="T2" t="n">
        <v>0.7570119501428585</v>
      </c>
      <c r="U2" t="n">
        <v>0.7547191875429277</v>
      </c>
      <c r="V2" t="n">
        <v>0.7555560365234499</v>
      </c>
      <c r="W2" t="n">
        <v>0.7532378400041874</v>
      </c>
      <c r="X2" t="n">
        <v>0.7519807071081761</v>
      </c>
      <c r="Y2" t="n">
        <v>0.7499520653381173</v>
      </c>
      <c r="Z2" t="n">
        <v>0.7457265030144318</v>
      </c>
      <c r="AA2" t="n">
        <v>0.7395646303949481</v>
      </c>
      <c r="AB2" t="n">
        <v>0.7384604577457247</v>
      </c>
      <c r="AC2" t="n">
        <v>0.7415992534757827</v>
      </c>
      <c r="AD2" t="n">
        <v>0.738727063070851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0.1685772963406286</v>
      </c>
      <c r="C2" t="n">
        <v>0.168121456977319</v>
      </c>
      <c r="D2" t="n">
        <v>0.1732230189750013</v>
      </c>
      <c r="E2" t="n">
        <v>0.1857737592777167</v>
      </c>
      <c r="F2" t="n">
        <v>0.1919510824049549</v>
      </c>
      <c r="G2" t="n">
        <v>0.2095474878295714</v>
      </c>
      <c r="H2" t="n">
        <v>0.259261517800604</v>
      </c>
      <c r="I2" t="n">
        <v>0.2969115756462712</v>
      </c>
      <c r="J2" t="n">
        <v>0.3163541028588402</v>
      </c>
      <c r="K2" t="n">
        <v>0.3513832419615749</v>
      </c>
      <c r="L2" t="n">
        <v>0.3829644452514711</v>
      </c>
      <c r="M2" t="n">
        <v>0.3903069695944589</v>
      </c>
      <c r="N2" t="n">
        <v>0.4227872428021962</v>
      </c>
      <c r="O2" t="n">
        <v>0.4832717232859931</v>
      </c>
      <c r="P2" t="n">
        <v>0.5587663630400095</v>
      </c>
      <c r="Q2" t="n">
        <v>0.6149181362571169</v>
      </c>
      <c r="R2" t="n">
        <v>0.6541179178041507</v>
      </c>
      <c r="S2" t="n">
        <v>0.6782012443441903</v>
      </c>
      <c r="T2" t="n">
        <v>0.6642830622730104</v>
      </c>
      <c r="U2" t="n">
        <v>0.6527582509301093</v>
      </c>
      <c r="V2" t="n">
        <v>0.625469897567815</v>
      </c>
      <c r="W2" t="n">
        <v>0.6429242514520653</v>
      </c>
      <c r="X2" t="n">
        <v>0.6821043234340197</v>
      </c>
      <c r="Y2" t="n">
        <v>0.6512968711010493</v>
      </c>
      <c r="Z2" t="n">
        <v>0.6601528709314014</v>
      </c>
      <c r="AA2" t="n">
        <v>0.665980614612929</v>
      </c>
      <c r="AB2" t="n">
        <v>0.6296119730868324</v>
      </c>
      <c r="AC2" t="n">
        <v>0.6321698966690126</v>
      </c>
      <c r="AD2" t="n">
        <v>0.6364253491713906</v>
      </c>
      <c r="AE2" t="n">
        <v>0.6531575426239662</v>
      </c>
      <c r="AF2" t="n">
        <v>0.6718895095581403</v>
      </c>
      <c r="AG2" t="n">
        <v>0.6329773726313881</v>
      </c>
      <c r="AH2" t="n">
        <v>0.6226430059105815</v>
      </c>
      <c r="AI2" t="n">
        <v>0.6684560263748962</v>
      </c>
      <c r="AJ2" t="n">
        <v>0.6984922028707689</v>
      </c>
      <c r="AK2" t="n">
        <v>0.7148078507851741</v>
      </c>
      <c r="AL2" t="n">
        <v>0.7200684136467234</v>
      </c>
      <c r="AM2" t="n">
        <v>0.7326266900969699</v>
      </c>
      <c r="AN2" t="n">
        <v>0.7568943155661735</v>
      </c>
      <c r="AO2" t="n">
        <v>0.7693412762340966</v>
      </c>
      <c r="AP2" t="n">
        <v>0.8472893611453918</v>
      </c>
      <c r="AQ2" t="n">
        <v>0.9488041127466368</v>
      </c>
      <c r="AR2" t="n">
        <v>0.8922315347112696</v>
      </c>
      <c r="AS2" t="n">
        <v>0.9146053733357328</v>
      </c>
      <c r="AT2" t="n">
        <v>0.9839876039128328</v>
      </c>
      <c r="AU2" t="n">
        <v>1.019323080637918</v>
      </c>
      <c r="AV2" t="n">
        <v>1.036970520975299</v>
      </c>
      <c r="AW2" t="n">
        <v>1.014987378704242</v>
      </c>
      <c r="AX2" t="n">
        <v>0.9978639621290782</v>
      </c>
      <c r="AY2" t="n">
        <v>0.9605943093842482</v>
      </c>
      <c r="AZ2" t="n">
        <v>0.969412553322498</v>
      </c>
      <c r="BA2" t="n">
        <v>0.9965595756260412</v>
      </c>
      <c r="BB2" t="n">
        <v>1.009220220664491</v>
      </c>
      <c r="BC2" t="n">
        <v>1</v>
      </c>
      <c r="BD2" t="n">
        <v>1.076655342091547</v>
      </c>
      <c r="BE2" t="n">
        <v>1.311487570962833</v>
      </c>
    </row>
    <row r="3">
      <c r="A3" s="13" t="inlineStr">
        <is>
          <t>100010</t>
        </is>
      </c>
      <c r="B3" t="n">
        <v>0.2821810132044769</v>
      </c>
      <c r="C3" t="n">
        <v>0.2856098146732584</v>
      </c>
      <c r="D3" t="n">
        <v>0.3121775124520219</v>
      </c>
      <c r="E3" t="n">
        <v>0.3326229676011333</v>
      </c>
      <c r="F3" t="n">
        <v>0.3199052041091602</v>
      </c>
      <c r="G3" t="n">
        <v>0.3581993942726219</v>
      </c>
      <c r="H3" t="n">
        <v>0.4990518402281729</v>
      </c>
      <c r="I3" t="n">
        <v>0.4862361428447317</v>
      </c>
      <c r="J3" t="n">
        <v>0.5167859583725836</v>
      </c>
      <c r="K3" t="n">
        <v>0.5972896309178126</v>
      </c>
      <c r="L3" t="n">
        <v>0.62540108531362</v>
      </c>
      <c r="M3" t="n">
        <v>0.6681162285134152</v>
      </c>
      <c r="N3" t="n">
        <v>0.6572553232084833</v>
      </c>
      <c r="O3" t="n">
        <v>0.7242527682476096</v>
      </c>
      <c r="P3" t="n">
        <v>0.8377140489195528</v>
      </c>
      <c r="Q3" t="n">
        <v>0.9218922222299312</v>
      </c>
      <c r="R3" t="n">
        <v>0.889251229198132</v>
      </c>
      <c r="S3" t="n">
        <v>0.9693833643657206</v>
      </c>
      <c r="T3" t="n">
        <v>0.9580215748000008</v>
      </c>
      <c r="U3" t="n">
        <v>0.8665323408767943</v>
      </c>
      <c r="V3" t="n">
        <v>0.8164993346320757</v>
      </c>
      <c r="W3" t="n">
        <v>0.8320491876730761</v>
      </c>
      <c r="X3" t="n">
        <v>0.9511231234144304</v>
      </c>
      <c r="Y3" t="n">
        <v>0.8802762363051442</v>
      </c>
      <c r="Z3" t="n">
        <v>0.8429055498671044</v>
      </c>
      <c r="AA3" t="n">
        <v>0.8679013795302103</v>
      </c>
      <c r="AB3" t="n">
        <v>0.7302691774864477</v>
      </c>
      <c r="AC3" t="n">
        <v>0.7429759400920882</v>
      </c>
      <c r="AD3" t="n">
        <v>0.7725055495563935</v>
      </c>
      <c r="AE3" t="n">
        <v>0.8006254660610963</v>
      </c>
      <c r="AF3" t="n">
        <v>0.8212633006863918</v>
      </c>
      <c r="AG3" t="n">
        <v>0.6729926538821291</v>
      </c>
      <c r="AH3" t="n">
        <v>0.6345134108396479</v>
      </c>
      <c r="AI3" t="n">
        <v>0.7387059977489655</v>
      </c>
      <c r="AJ3" t="n">
        <v>0.8238246680904464</v>
      </c>
      <c r="AK3" t="n">
        <v>0.7148344677720252</v>
      </c>
      <c r="AL3" t="n">
        <v>0.6544039290314723</v>
      </c>
      <c r="AM3" t="n">
        <v>0.7071167593571082</v>
      </c>
      <c r="AN3" t="n">
        <v>0.7339868277302178</v>
      </c>
      <c r="AO3" t="n">
        <v>0.7670152515032171</v>
      </c>
      <c r="AP3" t="n">
        <v>0.7284454654026961</v>
      </c>
      <c r="AQ3" t="n">
        <v>0.7928855435508095</v>
      </c>
      <c r="AR3" t="n">
        <v>0.7714899006548398</v>
      </c>
      <c r="AS3" t="n">
        <v>0.7934086638939982</v>
      </c>
      <c r="AT3" t="n">
        <v>0.8681185480726988</v>
      </c>
      <c r="AU3" t="n">
        <v>0.9651280023670392</v>
      </c>
      <c r="AV3" t="n">
        <v>0.9662556613955138</v>
      </c>
      <c r="AW3" t="n">
        <v>0.910825408584846</v>
      </c>
      <c r="AX3" t="n">
        <v>0.8582944151337619</v>
      </c>
      <c r="AY3" t="n">
        <v>0.8887893479807166</v>
      </c>
      <c r="AZ3" t="n">
        <v>0.9519669036976184</v>
      </c>
      <c r="BA3" t="n">
        <v>0.863289853618287</v>
      </c>
      <c r="BB3" t="n">
        <v>0.97589116242661</v>
      </c>
      <c r="BC3" t="n">
        <v>1</v>
      </c>
      <c r="BD3" t="n">
        <v>0.9130695180298984</v>
      </c>
      <c r="BE3" t="n">
        <v>1.05824982117072</v>
      </c>
    </row>
    <row r="4">
      <c r="A4" s="13" t="inlineStr">
        <is>
          <t>100030</t>
        </is>
      </c>
      <c r="B4" t="n">
        <v>0.155890828294297</v>
      </c>
      <c r="C4" t="n">
        <v>0.1528335503538744</v>
      </c>
      <c r="D4" t="n">
        <v>0.1600296870838407</v>
      </c>
      <c r="E4" t="n">
        <v>0.169635878185229</v>
      </c>
      <c r="F4" t="n">
        <v>0.175330918019353</v>
      </c>
      <c r="G4" t="n">
        <v>0.2063838849519211</v>
      </c>
      <c r="H4" t="n">
        <v>0.283061960899774</v>
      </c>
      <c r="I4" t="n">
        <v>0.32374862219334</v>
      </c>
      <c r="J4" t="n">
        <v>0.3528155623818111</v>
      </c>
      <c r="K4" t="n">
        <v>0.3866176280133837</v>
      </c>
      <c r="L4" t="n">
        <v>0.4302649264078482</v>
      </c>
      <c r="M4" t="n">
        <v>0.4604267269472593</v>
      </c>
      <c r="N4" t="n">
        <v>0.4828175856193963</v>
      </c>
      <c r="O4" t="n">
        <v>0.5416955414253273</v>
      </c>
      <c r="P4" t="n">
        <v>0.6050176082236186</v>
      </c>
      <c r="Q4" t="n">
        <v>0.6848258582327449</v>
      </c>
      <c r="R4" t="n">
        <v>0.7216778805822762</v>
      </c>
      <c r="S4" t="n">
        <v>0.7357634737272541</v>
      </c>
      <c r="T4" t="n">
        <v>0.7522518125872</v>
      </c>
      <c r="U4" t="n">
        <v>0.7491866110111194</v>
      </c>
      <c r="V4" t="n">
        <v>0.7454422504980183</v>
      </c>
      <c r="W4" t="n">
        <v>0.8246035815962286</v>
      </c>
      <c r="X4" t="n">
        <v>0.8853820522673349</v>
      </c>
      <c r="Y4" t="n">
        <v>0.8628358298057921</v>
      </c>
      <c r="Z4" t="n">
        <v>0.8525745963276322</v>
      </c>
      <c r="AA4" t="n">
        <v>0.8508327600348263</v>
      </c>
      <c r="AB4" t="n">
        <v>0.8206714861327955</v>
      </c>
      <c r="AC4" t="n">
        <v>0.8178738168491216</v>
      </c>
      <c r="AD4" t="n">
        <v>0.8058259544607563</v>
      </c>
      <c r="AE4" t="n">
        <v>0.8088933551655157</v>
      </c>
      <c r="AF4" t="n">
        <v>0.8130613671295129</v>
      </c>
      <c r="AG4" t="n">
        <v>0.8176992577202821</v>
      </c>
      <c r="AH4" t="n">
        <v>0.8011276575430065</v>
      </c>
      <c r="AI4" t="n">
        <v>0.8181965540321173</v>
      </c>
      <c r="AJ4" t="n">
        <v>0.8548081972184312</v>
      </c>
      <c r="AK4" t="n">
        <v>0.8553726927705494</v>
      </c>
      <c r="AL4" t="n">
        <v>0.8379045717473697</v>
      </c>
      <c r="AM4" t="n">
        <v>0.815014085440987</v>
      </c>
      <c r="AN4" t="n">
        <v>0.8108918314080554</v>
      </c>
      <c r="AO4" t="n">
        <v>0.8092567077399265</v>
      </c>
      <c r="AP4" t="n">
        <v>0.8627370273361644</v>
      </c>
      <c r="AQ4" t="n">
        <v>0.9433563194166896</v>
      </c>
      <c r="AR4" t="n">
        <v>0.8241466079262481</v>
      </c>
      <c r="AS4" t="n">
        <v>0.9136136636353044</v>
      </c>
      <c r="AT4" t="n">
        <v>0.9686872457609222</v>
      </c>
      <c r="AU4" t="n">
        <v>0.9732045163103424</v>
      </c>
      <c r="AV4" t="n">
        <v>1.037383262156316</v>
      </c>
      <c r="AW4" t="n">
        <v>1.057790227689608</v>
      </c>
      <c r="AX4" t="n">
        <v>0.9276377774806952</v>
      </c>
      <c r="AY4" t="n">
        <v>0.8992027188378846</v>
      </c>
      <c r="AZ4" t="n">
        <v>1.013999905429902</v>
      </c>
      <c r="BA4" t="n">
        <v>1.002126226998553</v>
      </c>
      <c r="BB4" t="n">
        <v>0.986209594439369</v>
      </c>
      <c r="BC4" t="n">
        <v>1</v>
      </c>
      <c r="BD4" t="n">
        <v>1.071351044236024</v>
      </c>
      <c r="BE4" t="n">
        <v>1.373450578170667</v>
      </c>
    </row>
    <row r="5">
      <c r="A5" s="13" t="inlineStr">
        <is>
          <t>100040x100050</t>
        </is>
      </c>
      <c r="B5" t="n">
        <v>0.2531173544076442</v>
      </c>
      <c r="C5" t="n">
        <v>0.2458994007018111</v>
      </c>
      <c r="D5" t="n">
        <v>0.2600179461752967</v>
      </c>
      <c r="E5" t="n">
        <v>0.2773522778725452</v>
      </c>
      <c r="F5" t="n">
        <v>0.2773439572764706</v>
      </c>
      <c r="G5" t="n">
        <v>0.2976409468448608</v>
      </c>
      <c r="H5" t="n">
        <v>0.3544531750188461</v>
      </c>
      <c r="I5" t="n">
        <v>0.4230871510747765</v>
      </c>
      <c r="J5" t="n">
        <v>0.4398081431204861</v>
      </c>
      <c r="K5" t="n">
        <v>0.4636185343977894</v>
      </c>
      <c r="L5" t="n">
        <v>0.5020939755417916</v>
      </c>
      <c r="M5" t="n">
        <v>0.5169078915245383</v>
      </c>
      <c r="N5" t="n">
        <v>0.5128691567032221</v>
      </c>
      <c r="O5" t="n">
        <v>0.5600841668124292</v>
      </c>
      <c r="P5" t="n">
        <v>0.629638570221087</v>
      </c>
      <c r="Q5" t="n">
        <v>0.6973399983696665</v>
      </c>
      <c r="R5" t="n">
        <v>0.7888793886432036</v>
      </c>
      <c r="S5" t="n">
        <v>0.8350394285850842</v>
      </c>
      <c r="T5" t="n">
        <v>0.8133064965308968</v>
      </c>
      <c r="U5" t="n">
        <v>0.7500659305240605</v>
      </c>
      <c r="V5" t="n">
        <v>0.7033346368890591</v>
      </c>
      <c r="W5" t="n">
        <v>0.7264996893512229</v>
      </c>
      <c r="X5" t="n">
        <v>0.797635605363986</v>
      </c>
      <c r="Y5" t="n">
        <v>0.7530511019642988</v>
      </c>
      <c r="Z5" t="n">
        <v>0.7606270449420671</v>
      </c>
      <c r="AA5" t="n">
        <v>0.7693941048821202</v>
      </c>
      <c r="AB5" t="n">
        <v>0.723063160275455</v>
      </c>
      <c r="AC5" t="n">
        <v>0.7502933281134457</v>
      </c>
      <c r="AD5" t="n">
        <v>0.7595292764473871</v>
      </c>
      <c r="AE5" t="n">
        <v>0.7589071290498093</v>
      </c>
      <c r="AF5" t="n">
        <v>0.7688918472512598</v>
      </c>
      <c r="AG5" t="n">
        <v>0.7608876585399207</v>
      </c>
      <c r="AH5" t="n">
        <v>0.7351260627161664</v>
      </c>
      <c r="AI5" t="n">
        <v>0.7565677641915002</v>
      </c>
      <c r="AJ5" t="n">
        <v>0.78495421570021</v>
      </c>
      <c r="AK5" t="n">
        <v>0.7450308200826472</v>
      </c>
      <c r="AL5" t="n">
        <v>0.7377330607134257</v>
      </c>
      <c r="AM5" t="n">
        <v>0.752020946272583</v>
      </c>
      <c r="AN5" t="n">
        <v>0.7790135560961963</v>
      </c>
      <c r="AO5" t="n">
        <v>0.7877096920286877</v>
      </c>
      <c r="AP5" t="n">
        <v>0.8717651124645714</v>
      </c>
      <c r="AQ5" t="n">
        <v>0.9751536251284956</v>
      </c>
      <c r="AR5" t="n">
        <v>0.9262717779071724</v>
      </c>
      <c r="AS5" t="n">
        <v>0.9708886174893492</v>
      </c>
      <c r="AT5" t="n">
        <v>1.046333600281001</v>
      </c>
      <c r="AU5" t="n">
        <v>1.088312085274922</v>
      </c>
      <c r="AV5" t="n">
        <v>1.066058299799497</v>
      </c>
      <c r="AW5" t="n">
        <v>1.004913520646184</v>
      </c>
      <c r="AX5" t="n">
        <v>0.9753919689673092</v>
      </c>
      <c r="AY5" t="n">
        <v>0.961264594806775</v>
      </c>
      <c r="AZ5" t="n">
        <v>0.9746047606482752</v>
      </c>
      <c r="BA5" t="n">
        <v>0.9771589193653696</v>
      </c>
      <c r="BB5" t="n">
        <v>0.9870443714562592</v>
      </c>
      <c r="BC5" t="n">
        <v>1</v>
      </c>
      <c r="BD5" t="n">
        <v>1.099505375715993</v>
      </c>
      <c r="BE5" t="n">
        <v>1.339391515721524</v>
      </c>
    </row>
    <row r="6">
      <c r="A6" s="13" t="inlineStr">
        <is>
          <t>REST</t>
        </is>
      </c>
      <c r="B6" t="n">
        <v>0.1253688227539166</v>
      </c>
      <c r="C6" t="n">
        <v>0.1311879133589561</v>
      </c>
      <c r="D6" t="n">
        <v>0.1385966951662679</v>
      </c>
      <c r="E6" t="n">
        <v>0.1491458635425236</v>
      </c>
      <c r="F6" t="n">
        <v>0.1588843744450934</v>
      </c>
      <c r="G6" t="n">
        <v>0.167641014233541</v>
      </c>
      <c r="H6" t="n">
        <v>0.1850567693994175</v>
      </c>
      <c r="I6" t="n">
        <v>0.2346361130052403</v>
      </c>
      <c r="J6" t="n">
        <v>0.2552088515483969</v>
      </c>
      <c r="K6" t="n">
        <v>0.2753004467861245</v>
      </c>
      <c r="L6" t="n">
        <v>0.2972618462707956</v>
      </c>
      <c r="M6" t="n">
        <v>0.3163487478922877</v>
      </c>
      <c r="N6" t="n">
        <v>0.3471540382074416</v>
      </c>
      <c r="O6" t="n">
        <v>0.3971742199664389</v>
      </c>
      <c r="P6" t="n">
        <v>0.453962164675001</v>
      </c>
      <c r="Q6" t="n">
        <v>0.5037979891327964</v>
      </c>
      <c r="R6" t="n">
        <v>0.5392369986963335</v>
      </c>
      <c r="S6" t="n">
        <v>0.5611150253752911</v>
      </c>
      <c r="T6" t="n">
        <v>0.5874488919112936</v>
      </c>
      <c r="U6" t="n">
        <v>0.5709563999480972</v>
      </c>
      <c r="V6" t="n">
        <v>0.5762342850840663</v>
      </c>
      <c r="W6" t="n">
        <v>0.5881902725267038</v>
      </c>
      <c r="X6" t="n">
        <v>0.6263860788629393</v>
      </c>
      <c r="Y6" t="n">
        <v>0.643919900734862</v>
      </c>
      <c r="Z6" t="n">
        <v>0.6585093313550714</v>
      </c>
      <c r="AA6" t="n">
        <v>0.6631378752033935</v>
      </c>
      <c r="AB6" t="n">
        <v>0.6624339397464657</v>
      </c>
      <c r="AC6" t="n">
        <v>0.6753763518832006</v>
      </c>
      <c r="AD6" t="n">
        <v>0.6928405274234669</v>
      </c>
      <c r="AE6" t="n">
        <v>0.7005757079349272</v>
      </c>
      <c r="AF6" t="n">
        <v>0.7173842178786682</v>
      </c>
      <c r="AG6" t="n">
        <v>0.7246182273814881</v>
      </c>
      <c r="AH6" t="n">
        <v>0.7294993309074658</v>
      </c>
      <c r="AI6" t="n">
        <v>0.7559500850450949</v>
      </c>
      <c r="AJ6" t="n">
        <v>0.7742344491139962</v>
      </c>
      <c r="AK6" t="n">
        <v>0.7816716565707923</v>
      </c>
      <c r="AL6" t="n">
        <v>0.7890401194015508</v>
      </c>
      <c r="AM6" t="n">
        <v>0.7998814305382304</v>
      </c>
      <c r="AN6" t="n">
        <v>0.8210343231953814</v>
      </c>
      <c r="AO6" t="n">
        <v>0.842839069674776</v>
      </c>
      <c r="AP6" t="n">
        <v>0.8682330315015997</v>
      </c>
      <c r="AQ6" t="n">
        <v>0.9083246125963076</v>
      </c>
      <c r="AR6" t="n">
        <v>0.9004040033724291</v>
      </c>
      <c r="AS6" t="n">
        <v>0.9260141698722988</v>
      </c>
      <c r="AT6" t="n">
        <v>0.9555407433315524</v>
      </c>
      <c r="AU6" t="n">
        <v>0.9734845808561676</v>
      </c>
      <c r="AV6" t="n">
        <v>0.9735679478837936</v>
      </c>
      <c r="AW6" t="n">
        <v>0.9732210474929992</v>
      </c>
      <c r="AX6" t="n">
        <v>0.963875187521664</v>
      </c>
      <c r="AY6" t="n">
        <v>0.955311751468768</v>
      </c>
      <c r="AZ6" t="n">
        <v>0.9770399829654968</v>
      </c>
      <c r="BA6" t="n">
        <v>0.9960281536229068</v>
      </c>
      <c r="BB6" t="n">
        <v>1.004673153943712</v>
      </c>
      <c r="BC6" t="n">
        <v>1</v>
      </c>
      <c r="BD6" t="n">
        <v>1.049831087830718</v>
      </c>
      <c r="BE6" t="n">
        <v>1.167127481005962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  <c r="BG1" s="13" t="n">
        <v>2023</v>
      </c>
      <c r="BH1" s="13" t="n">
        <v>2024</v>
      </c>
      <c r="BI1" s="13" t="n">
        <v>2025</v>
      </c>
    </row>
    <row r="2">
      <c r="A2" s="13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2806.736312638548</v>
      </c>
      <c r="AC2" t="n">
        <v>1102.727678978395</v>
      </c>
      <c r="AD2" t="n">
        <v>688.4379463047071</v>
      </c>
      <c r="AE2" t="n">
        <v>848.9464182080914</v>
      </c>
      <c r="AF2" t="n">
        <v>817.1085216669842</v>
      </c>
      <c r="AG2" t="n">
        <v>603.7801803179569</v>
      </c>
      <c r="AH2" t="n">
        <v>348.8216509032069</v>
      </c>
      <c r="AI2" t="n">
        <v>822.2922804874538</v>
      </c>
      <c r="AJ2" t="n">
        <v>1002.332289636963</v>
      </c>
      <c r="AK2" t="n">
        <v>387.7232014897817</v>
      </c>
      <c r="AL2" t="n">
        <v>190.006398110366</v>
      </c>
      <c r="AM2" t="n">
        <v>-559.449944865916</v>
      </c>
      <c r="AN2" t="n">
        <v>-683.9358150557388</v>
      </c>
      <c r="AO2" t="n">
        <v>-1540.572528738598</v>
      </c>
      <c r="AP2" t="n">
        <v>-782.3143549578356</v>
      </c>
      <c r="AQ2" t="n">
        <v>491.1201372110961</v>
      </c>
      <c r="AR2" t="n">
        <v>1786.458894514473</v>
      </c>
      <c r="AS2" t="n">
        <v>368.4904276931416</v>
      </c>
      <c r="AT2" t="n">
        <v>-1311.747142814663</v>
      </c>
      <c r="AU2" t="n">
        <v>-1472.824907412347</v>
      </c>
      <c r="AV2" t="n">
        <v>-2603.199749077027</v>
      </c>
      <c r="AW2" t="n">
        <v>-2801.508098362914</v>
      </c>
      <c r="AX2" t="n">
        <v>-2637.671591042626</v>
      </c>
      <c r="AY2" t="n">
        <v>-2770.138842751368</v>
      </c>
      <c r="AZ2" t="n">
        <v>-2913.135402383862</v>
      </c>
      <c r="BA2" t="n">
        <v>-2923.273458244015</v>
      </c>
      <c r="BB2" t="n">
        <v>-3320.309418219577</v>
      </c>
      <c r="BC2" t="n">
        <v>-3349.382648994882</v>
      </c>
      <c r="BD2" t="n">
        <v>-3490.563999855744</v>
      </c>
      <c r="BE2" t="n">
        <v>-3221.685418007357</v>
      </c>
      <c r="BF2" t="n">
        <v>-1796.060342482295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1967</v>
      </c>
      <c r="C1" s="13" t="n">
        <v>1968</v>
      </c>
      <c r="D1" s="13" t="n">
        <v>1969</v>
      </c>
      <c r="E1" s="13" t="n">
        <v>1970</v>
      </c>
      <c r="F1" s="13" t="n">
        <v>1971</v>
      </c>
      <c r="G1" s="13" t="n">
        <v>1972</v>
      </c>
      <c r="H1" s="13" t="n">
        <v>1973</v>
      </c>
      <c r="I1" s="13" t="n">
        <v>1974</v>
      </c>
      <c r="J1" s="13" t="n">
        <v>1975</v>
      </c>
      <c r="K1" s="13" t="n">
        <v>1976</v>
      </c>
      <c r="L1" s="13" t="n">
        <v>1977</v>
      </c>
      <c r="M1" s="13" t="n">
        <v>1978</v>
      </c>
      <c r="N1" s="13" t="n">
        <v>1979</v>
      </c>
      <c r="O1" s="13" t="n">
        <v>1980</v>
      </c>
      <c r="P1" s="13" t="n">
        <v>1981</v>
      </c>
      <c r="Q1" s="13" t="n">
        <v>1982</v>
      </c>
      <c r="R1" s="13" t="n">
        <v>1983</v>
      </c>
      <c r="S1" s="13" t="n">
        <v>1984</v>
      </c>
      <c r="T1" s="13" t="n">
        <v>1985</v>
      </c>
      <c r="U1" s="13" t="n">
        <v>1986</v>
      </c>
      <c r="V1" s="13" t="n">
        <v>1987</v>
      </c>
      <c r="W1" s="13" t="n">
        <v>1988</v>
      </c>
      <c r="X1" s="13" t="n">
        <v>1989</v>
      </c>
      <c r="Y1" s="13" t="n">
        <v>1990</v>
      </c>
      <c r="Z1" s="13" t="n">
        <v>1991</v>
      </c>
      <c r="AA1" s="13" t="n">
        <v>1992</v>
      </c>
      <c r="AB1" s="13" t="n">
        <v>1993</v>
      </c>
      <c r="AC1" s="13" t="n">
        <v>1994</v>
      </c>
      <c r="AD1" s="13" t="n">
        <v>1995</v>
      </c>
      <c r="AE1" s="13" t="n">
        <v>1996</v>
      </c>
      <c r="AF1" s="13" t="n">
        <v>1997</v>
      </c>
      <c r="AG1" s="13" t="n">
        <v>1998</v>
      </c>
      <c r="AH1" s="13" t="n">
        <v>1999</v>
      </c>
      <c r="AI1" s="13" t="n">
        <v>2000</v>
      </c>
      <c r="AJ1" s="13" t="n">
        <v>2001</v>
      </c>
      <c r="AK1" s="13" t="n">
        <v>2002</v>
      </c>
      <c r="AL1" s="13" t="n">
        <v>2003</v>
      </c>
      <c r="AM1" s="13" t="n">
        <v>2004</v>
      </c>
      <c r="AN1" s="13" t="n">
        <v>2005</v>
      </c>
      <c r="AO1" s="13" t="n">
        <v>2006</v>
      </c>
      <c r="AP1" s="13" t="n">
        <v>2007</v>
      </c>
      <c r="AQ1" s="13" t="n">
        <v>2008</v>
      </c>
      <c r="AR1" s="13" t="n">
        <v>2009</v>
      </c>
      <c r="AS1" s="13" t="n">
        <v>2010</v>
      </c>
      <c r="AT1" s="13" t="n">
        <v>2011</v>
      </c>
      <c r="AU1" s="13" t="n">
        <v>2012</v>
      </c>
      <c r="AV1" s="13" t="n">
        <v>2013</v>
      </c>
      <c r="AW1" s="13" t="n">
        <v>2014</v>
      </c>
      <c r="AX1" s="13" t="n">
        <v>2015</v>
      </c>
      <c r="AY1" s="13" t="n">
        <v>2016</v>
      </c>
      <c r="AZ1" s="13" t="n">
        <v>2017</v>
      </c>
      <c r="BA1" s="13" t="n">
        <v>2018</v>
      </c>
      <c r="BB1" s="13" t="n">
        <v>2019</v>
      </c>
      <c r="BC1" s="13" t="n">
        <v>2020</v>
      </c>
      <c r="BD1" s="13" t="n">
        <v>2021</v>
      </c>
      <c r="BE1" s="13" t="n">
        <v>2022</v>
      </c>
    </row>
    <row r="2">
      <c r="A2" s="13" t="inlineStr">
        <is>
          <t>010000</t>
        </is>
      </c>
      <c r="B2" t="n">
        <v>-0.01237634854739724</v>
      </c>
      <c r="C2" t="n">
        <v>-0.01676522191175515</v>
      </c>
      <c r="D2" t="n">
        <v>-0.0225344319581205</v>
      </c>
      <c r="E2" t="n">
        <v>-0.003362935204730731</v>
      </c>
      <c r="F2" t="n">
        <v>-0.006270807687435648</v>
      </c>
      <c r="G2" t="n">
        <v>-0.006553690601479653</v>
      </c>
      <c r="H2" t="n">
        <v>-0.05016087834590431</v>
      </c>
      <c r="I2" t="n">
        <v>-0.05410047840097668</v>
      </c>
      <c r="J2" t="n">
        <v>-0.06616575482004178</v>
      </c>
      <c r="K2" t="n">
        <v>-0.05830454452603252</v>
      </c>
      <c r="L2" t="n">
        <v>-0.05021539871611189</v>
      </c>
      <c r="M2" t="n">
        <v>-0.05074618525792782</v>
      </c>
      <c r="N2" t="n">
        <v>-0.05323004586501631</v>
      </c>
      <c r="O2" t="n">
        <v>-0.04314427887468019</v>
      </c>
      <c r="P2" t="n">
        <v>-0.03859202014209624</v>
      </c>
      <c r="Q2" t="n">
        <v>-0.0405893763614696</v>
      </c>
      <c r="R2" t="n">
        <v>-0.04954759905351232</v>
      </c>
      <c r="S2" t="n">
        <v>-0.05591334949890402</v>
      </c>
      <c r="T2" t="n">
        <v>-0.05729976632651741</v>
      </c>
      <c r="U2" t="n">
        <v>-0.04290494656173859</v>
      </c>
      <c r="V2" t="n">
        <v>-0.05106828036356945</v>
      </c>
      <c r="W2" t="n">
        <v>-0.03344114463492835</v>
      </c>
      <c r="X2" t="n">
        <v>-0.01725578097787442</v>
      </c>
      <c r="Y2" t="n">
        <v>-0.02962782416014603</v>
      </c>
      <c r="Z2" t="n">
        <v>-0.02057591413180798</v>
      </c>
      <c r="AA2" t="n">
        <v>-0.03005295157462089</v>
      </c>
      <c r="AB2" t="n">
        <v>-0.0602612190160175</v>
      </c>
      <c r="AC2" t="n">
        <v>-0.0614753664577652</v>
      </c>
      <c r="AD2" t="n">
        <v>-0.06618511344601442</v>
      </c>
      <c r="AE2" t="n">
        <v>-0.06520418371129548</v>
      </c>
      <c r="AF2" t="n">
        <v>-0.0546992459637685</v>
      </c>
      <c r="AG2" t="n">
        <v>-0.06374963118107489</v>
      </c>
      <c r="AH2" t="n">
        <v>-0.06391965505005727</v>
      </c>
      <c r="AI2" t="n">
        <v>-0.05981241037356023</v>
      </c>
      <c r="AJ2" t="n">
        <v>-0.06017928067352624</v>
      </c>
      <c r="AK2" t="n">
        <v>-0.02263715695396113</v>
      </c>
      <c r="AL2" t="n">
        <v>-0.01508006836761089</v>
      </c>
      <c r="AM2" t="n">
        <v>-0.01379316000379135</v>
      </c>
      <c r="AN2" t="n">
        <v>0.03383560277295392</v>
      </c>
      <c r="AO2" t="n">
        <v>0.03217811813128515</v>
      </c>
      <c r="AP2" t="n">
        <v>0.03976589936341497</v>
      </c>
      <c r="AQ2" t="n">
        <v>0.03311214341133166</v>
      </c>
      <c r="AR2" t="n">
        <v>0.03643067428675549</v>
      </c>
      <c r="AS2" t="n">
        <v>0.03649052331917931</v>
      </c>
      <c r="AT2" t="n">
        <v>0.04017788297313743</v>
      </c>
      <c r="AU2" t="n">
        <v>0.03996296494602223</v>
      </c>
      <c r="AV2" t="n">
        <v>0.03747226874921513</v>
      </c>
      <c r="AW2" t="n">
        <v>0.03539683455782834</v>
      </c>
      <c r="AX2" t="n">
        <v>0.03391505636010023</v>
      </c>
      <c r="AY2" t="n">
        <v>0.03384317848897288</v>
      </c>
      <c r="AZ2" t="n">
        <v>0.02840644665204551</v>
      </c>
      <c r="BA2" t="n">
        <v>0.02901503218887506</v>
      </c>
      <c r="BB2" t="n">
        <v>0.02737990844318172</v>
      </c>
      <c r="BC2" t="n">
        <v>0.02643183710459922</v>
      </c>
      <c r="BD2" t="n">
        <v>0.02830632432501426</v>
      </c>
      <c r="BE2" t="n">
        <v>0.02489703529303612</v>
      </c>
    </row>
    <row r="3">
      <c r="A3" s="13" t="inlineStr">
        <is>
          <t>100010</t>
        </is>
      </c>
      <c r="B3" t="n">
        <v>-0.001989068150186075</v>
      </c>
      <c r="C3" t="n">
        <v>-0.0279070512236828</v>
      </c>
      <c r="D3" t="n">
        <v>-0.02619056720406001</v>
      </c>
      <c r="E3" t="n">
        <v>-0.02666445349629968</v>
      </c>
      <c r="F3" t="n">
        <v>-0.04281054256090464</v>
      </c>
      <c r="G3" t="n">
        <v>-0.04712159868017431</v>
      </c>
      <c r="H3" t="n">
        <v>-0.004410053166651605</v>
      </c>
      <c r="I3" t="n">
        <v>-0.009180993596487006</v>
      </c>
      <c r="J3" t="n">
        <v>-0.0425232332072516</v>
      </c>
      <c r="K3" t="n">
        <v>-0.01253792396752045</v>
      </c>
      <c r="L3" t="n">
        <v>0.001582980513162512</v>
      </c>
      <c r="M3" t="n">
        <v>0.001971124644785401</v>
      </c>
      <c r="N3" t="n">
        <v>0.001720542870745371</v>
      </c>
      <c r="O3" t="n">
        <v>0.0009044986673207246</v>
      </c>
      <c r="P3" t="n">
        <v>0.0007253334751291954</v>
      </c>
      <c r="Q3" t="n">
        <v>0.0007389346736318492</v>
      </c>
      <c r="R3" t="n">
        <v>0.0008916632991369655</v>
      </c>
      <c r="S3" t="n">
        <v>0.0009972090657269696</v>
      </c>
      <c r="T3" t="n">
        <v>0.0006694624977359771</v>
      </c>
      <c r="U3" t="n">
        <v>0.00214998438892619</v>
      </c>
      <c r="V3" t="n">
        <v>0.0003779201786545476</v>
      </c>
      <c r="W3" t="n">
        <v>-0.01114763143492372</v>
      </c>
      <c r="X3" t="n">
        <v>-0.001279371107976941</v>
      </c>
      <c r="Y3" t="n">
        <v>0.000969785753577251</v>
      </c>
      <c r="Z3" t="n">
        <v>-0.002684321539986887</v>
      </c>
      <c r="AA3" t="n">
        <v>-0.001628952548694743</v>
      </c>
      <c r="AB3" t="n">
        <v>0.000283302862400013</v>
      </c>
      <c r="AC3" t="n">
        <v>0.0008389544410462406</v>
      </c>
      <c r="AD3" t="n">
        <v>0.001188304349152009</v>
      </c>
      <c r="AE3" t="n">
        <v>0.0006671515575627021</v>
      </c>
      <c r="AF3" t="n">
        <v>-0.0004499164987896359</v>
      </c>
      <c r="AG3" t="n">
        <v>0.002335618954204468</v>
      </c>
      <c r="AH3" t="n">
        <v>0.004086219019001739</v>
      </c>
      <c r="AI3" t="n">
        <v>0.002972612518202406</v>
      </c>
      <c r="AJ3" t="n">
        <v>0.002714518443442114</v>
      </c>
      <c r="AK3" t="n">
        <v>0.002960247537350084</v>
      </c>
      <c r="AL3" t="n">
        <v>0.003686583183282288</v>
      </c>
      <c r="AM3" t="n">
        <v>0.003699342802312021</v>
      </c>
      <c r="AN3" t="n">
        <v>0.006156260466110376</v>
      </c>
      <c r="AO3" t="n">
        <v>0.004897699922323112</v>
      </c>
      <c r="AP3" t="n">
        <v>0.005678111775311203</v>
      </c>
      <c r="AQ3" t="n">
        <v>0.00501197964251632</v>
      </c>
      <c r="AR3" t="n">
        <v>0.004995066036637102</v>
      </c>
      <c r="AS3" t="n">
        <v>0.005101709726737592</v>
      </c>
      <c r="AT3" t="n">
        <v>0.005591934789415673</v>
      </c>
      <c r="AU3" t="n">
        <v>0.009301951775115062</v>
      </c>
      <c r="AV3" t="n">
        <v>0.005215881342799343</v>
      </c>
      <c r="AW3" t="n">
        <v>0.005136301238992844</v>
      </c>
      <c r="AX3" t="n">
        <v>0.004594470864442439</v>
      </c>
      <c r="AY3" t="n">
        <v>0.004668350253931027</v>
      </c>
      <c r="AZ3" t="n">
        <v>0.002985887287195594</v>
      </c>
      <c r="BA3" t="n">
        <v>0.003547764177074373</v>
      </c>
      <c r="BB3" t="n">
        <v>0.0009548058053851558</v>
      </c>
      <c r="BC3" t="n">
        <v>0.00110197457522773</v>
      </c>
      <c r="BD3" t="n">
        <v>0.001670729838646553</v>
      </c>
      <c r="BE3" t="n">
        <v>0.001993475679141858</v>
      </c>
    </row>
    <row r="4">
      <c r="A4" s="13" t="inlineStr">
        <is>
          <t>100030</t>
        </is>
      </c>
      <c r="B4" t="n">
        <v>-0.07377460023202577</v>
      </c>
      <c r="C4" t="n">
        <v>-0.09542555828256796</v>
      </c>
      <c r="D4" t="n">
        <v>-0.1069720097093192</v>
      </c>
      <c r="E4" t="n">
        <v>-0.1602077302440401</v>
      </c>
      <c r="F4" t="n">
        <v>-0.203050048440118</v>
      </c>
      <c r="G4" t="n">
        <v>-0.1250169722612076</v>
      </c>
      <c r="H4" t="n">
        <v>-0.01576090811699591</v>
      </c>
      <c r="I4" t="n">
        <v>-0.001062224005662669</v>
      </c>
      <c r="J4" t="n">
        <v>-0.0005222902122560342</v>
      </c>
      <c r="K4" t="n">
        <v>5.428390700985379e-05</v>
      </c>
      <c r="L4" t="n">
        <v>0.004287186946609439</v>
      </c>
      <c r="M4" t="n">
        <v>-0.007492458389635816</v>
      </c>
      <c r="N4" t="n">
        <v>0.002419608168932846</v>
      </c>
      <c r="O4" t="n">
        <v>0.004809440304421859</v>
      </c>
      <c r="P4" t="n">
        <v>0.01188797576969298</v>
      </c>
      <c r="Q4" t="n">
        <v>0.008497839311234694</v>
      </c>
      <c r="R4" t="n">
        <v>0.004370326731281965</v>
      </c>
      <c r="S4" t="n">
        <v>0.0005723850228180046</v>
      </c>
      <c r="T4" t="n">
        <v>-0.007660715507467706</v>
      </c>
      <c r="U4" t="n">
        <v>-0.01610933018093475</v>
      </c>
      <c r="V4" t="n">
        <v>-0.02062176243595771</v>
      </c>
      <c r="W4" t="n">
        <v>0.0004209751609935603</v>
      </c>
      <c r="X4" t="n">
        <v>0.01533404001643954</v>
      </c>
      <c r="Y4" t="n">
        <v>0.01226550630925603</v>
      </c>
      <c r="Z4" t="n">
        <v>0.01253002661819126</v>
      </c>
      <c r="AA4" t="n">
        <v>0.01245498486480576</v>
      </c>
      <c r="AB4" t="n">
        <v>0.00592710403992786</v>
      </c>
      <c r="AC4" t="n">
        <v>0.006448507478413243</v>
      </c>
      <c r="AD4" t="n">
        <v>0.00655649416626757</v>
      </c>
      <c r="AE4" t="n">
        <v>0.005720375293477882</v>
      </c>
      <c r="AF4" t="n">
        <v>0.01017918305195999</v>
      </c>
      <c r="AG4" t="n">
        <v>0.008411029232457205</v>
      </c>
      <c r="AH4" t="n">
        <v>0.009704814534940702</v>
      </c>
      <c r="AI4" t="n">
        <v>0.01092762408666759</v>
      </c>
      <c r="AJ4" t="n">
        <v>0.01053529848462407</v>
      </c>
      <c r="AK4" t="n">
        <v>0.009816227036696611</v>
      </c>
      <c r="AL4" t="n">
        <v>0.00989809716443299</v>
      </c>
      <c r="AM4" t="n">
        <v>0.01028657870409278</v>
      </c>
      <c r="AN4" t="n">
        <v>0.01263139764603233</v>
      </c>
      <c r="AO4" t="n">
        <v>0.01101375362971578</v>
      </c>
      <c r="AP4" t="n">
        <v>0.0116489999880713</v>
      </c>
      <c r="AQ4" t="n">
        <v>0.01132662751145897</v>
      </c>
      <c r="AR4" t="n">
        <v>0.01299447037587344</v>
      </c>
      <c r="AS4" t="n">
        <v>0.008820541181364539</v>
      </c>
      <c r="AT4" t="n">
        <v>0.01231474011106344</v>
      </c>
      <c r="AU4" t="n">
        <v>0.01696941501765803</v>
      </c>
      <c r="AV4" t="n">
        <v>0.01216526017766181</v>
      </c>
      <c r="AW4" t="n">
        <v>0.009052646982076692</v>
      </c>
      <c r="AX4" t="n">
        <v>0.00870056505594</v>
      </c>
      <c r="AY4" t="n">
        <v>0.008925485483950292</v>
      </c>
      <c r="AZ4" t="n">
        <v>0.005980645220168702</v>
      </c>
      <c r="BA4" t="n">
        <v>0.007293005184222096</v>
      </c>
      <c r="BB4" t="n">
        <v>0.003315465278688095</v>
      </c>
      <c r="BC4" t="n">
        <v>0.004201671648438717</v>
      </c>
      <c r="BD4" t="n">
        <v>0.004996239185896343</v>
      </c>
      <c r="BE4" t="n">
        <v>0.004909026764516671</v>
      </c>
    </row>
    <row r="5">
      <c r="A5" s="13" t="inlineStr">
        <is>
          <t>100040x100050</t>
        </is>
      </c>
      <c r="B5" t="n">
        <v>0.009291939197896436</v>
      </c>
      <c r="C5" t="n">
        <v>0.01111027094026978</v>
      </c>
      <c r="D5" t="n">
        <v>0.008991201138818596</v>
      </c>
      <c r="E5" t="n">
        <v>0.008035292980286346</v>
      </c>
      <c r="F5" t="n">
        <v>0.008822319664183731</v>
      </c>
      <c r="G5" t="n">
        <v>0.02911987148646119</v>
      </c>
      <c r="H5" t="n">
        <v>0.001192894672225771</v>
      </c>
      <c r="I5" t="n">
        <v>0.002852629251346502</v>
      </c>
      <c r="J5" t="n">
        <v>0.01233902532023166</v>
      </c>
      <c r="K5" t="n">
        <v>0.006254041945819896</v>
      </c>
      <c r="L5" t="n">
        <v>0.00775232305383726</v>
      </c>
      <c r="M5" t="n">
        <v>0.006595214261728269</v>
      </c>
      <c r="N5" t="n">
        <v>0.001874176097880519</v>
      </c>
      <c r="O5" t="n">
        <v>-0.003142954192636018</v>
      </c>
      <c r="P5" t="n">
        <v>-0.001358784547072232</v>
      </c>
      <c r="Q5" t="n">
        <v>-0.01089777114752037</v>
      </c>
      <c r="R5" t="n">
        <v>-0.00367874927674196</v>
      </c>
      <c r="S5" t="n">
        <v>-0.01679317088734221</v>
      </c>
      <c r="T5" t="n">
        <v>-0.008613806662743523</v>
      </c>
      <c r="U5" t="n">
        <v>0.002968868114426117</v>
      </c>
      <c r="V5" t="n">
        <v>-0.03296705490280513</v>
      </c>
      <c r="W5" t="n">
        <v>-0.02680858678966899</v>
      </c>
      <c r="X5" t="n">
        <v>0.001219815829233225</v>
      </c>
      <c r="Y5" t="n">
        <v>-0.002951697507654205</v>
      </c>
      <c r="Z5" t="n">
        <v>0.003518239136827143</v>
      </c>
      <c r="AA5" t="n">
        <v>-0.01254484823265599</v>
      </c>
      <c r="AB5" t="n">
        <v>-0.02793039094173141</v>
      </c>
      <c r="AC5" t="n">
        <v>-0.01957854286404401</v>
      </c>
      <c r="AD5" t="n">
        <v>-0.01780110821580495</v>
      </c>
      <c r="AE5" t="n">
        <v>-0.01980868686246229</v>
      </c>
      <c r="AF5" t="n">
        <v>-0.01906186025832558</v>
      </c>
      <c r="AG5" t="n">
        <v>-0.01822939787288405</v>
      </c>
      <c r="AH5" t="n">
        <v>-0.005053813112335302</v>
      </c>
      <c r="AI5" t="n">
        <v>-0.00405413586724633</v>
      </c>
      <c r="AJ5" t="n">
        <v>-0.006910825895043114</v>
      </c>
      <c r="AK5" t="n">
        <v>-0.06679755458434133</v>
      </c>
      <c r="AL5" t="n">
        <v>-0.08944512703753096</v>
      </c>
      <c r="AM5" t="n">
        <v>-0.07606371788690242</v>
      </c>
      <c r="AN5" t="n">
        <v>0.03354543981588882</v>
      </c>
      <c r="AO5" t="n">
        <v>0.02149179771606956</v>
      </c>
      <c r="AP5" t="n">
        <v>0.02039207368806488</v>
      </c>
      <c r="AQ5" t="n">
        <v>0.03230561877536765</v>
      </c>
      <c r="AR5" t="n">
        <v>0.02263896504875419</v>
      </c>
      <c r="AS5" t="n">
        <v>0.02812060638754264</v>
      </c>
      <c r="AT5" t="n">
        <v>0.03216194469371293</v>
      </c>
      <c r="AU5" t="n">
        <v>0.04609847770116143</v>
      </c>
      <c r="AV5" t="n">
        <v>0.03196945377565151</v>
      </c>
      <c r="AW5" t="n">
        <v>0.02873541657676913</v>
      </c>
      <c r="AX5" t="n">
        <v>0.02349466415986577</v>
      </c>
      <c r="AY5" t="n">
        <v>0.02064342455428385</v>
      </c>
      <c r="AZ5" t="n">
        <v>0.0173570821083018</v>
      </c>
      <c r="BA5" t="n">
        <v>0.016688063532445</v>
      </c>
      <c r="BB5" t="n">
        <v>0.01051319961214457</v>
      </c>
      <c r="BC5" t="n">
        <v>0.009588418097124921</v>
      </c>
      <c r="BD5" t="n">
        <v>0.01118701826160009</v>
      </c>
      <c r="BE5" t="n">
        <v>0.01023680437220599</v>
      </c>
    </row>
    <row r="6">
      <c r="A6" s="13" t="inlineStr">
        <is>
          <t>REST</t>
        </is>
      </c>
      <c r="B6" t="n">
        <v>0.04022197064302142</v>
      </c>
      <c r="C6" t="n">
        <v>0.04219426516370077</v>
      </c>
      <c r="D6" t="n">
        <v>0.03989903224944989</v>
      </c>
      <c r="E6" t="n">
        <v>0.0398931903012615</v>
      </c>
      <c r="F6" t="n">
        <v>0.03813580822019392</v>
      </c>
      <c r="G6" t="n">
        <v>0.04149570244224227</v>
      </c>
      <c r="H6" t="n">
        <v>0.03233423009191822</v>
      </c>
      <c r="I6" t="n">
        <v>0.03361109978482802</v>
      </c>
      <c r="J6" t="n">
        <v>0.03224714941735844</v>
      </c>
      <c r="K6" t="n">
        <v>0.03872278765888797</v>
      </c>
      <c r="L6" t="n">
        <v>0.0449362631943314</v>
      </c>
      <c r="M6" t="n">
        <v>0.05053676920419917</v>
      </c>
      <c r="N6" t="n">
        <v>0.05407222137969266</v>
      </c>
      <c r="O6" t="n">
        <v>0.05533903989755262</v>
      </c>
      <c r="P6" t="n">
        <v>0.05428493072543811</v>
      </c>
      <c r="Q6" t="n">
        <v>0.05296645222115997</v>
      </c>
      <c r="R6" t="n">
        <v>0.05410711579625417</v>
      </c>
      <c r="S6" t="n">
        <v>0.03762190665597717</v>
      </c>
      <c r="T6" t="n">
        <v>0.0420916537318794</v>
      </c>
      <c r="U6" t="n">
        <v>0.0556309941120678</v>
      </c>
      <c r="V6" t="n">
        <v>0.05931763831325661</v>
      </c>
      <c r="W6" t="n">
        <v>0.06173896488653868</v>
      </c>
      <c r="X6" t="n">
        <v>0.06297213902524197</v>
      </c>
      <c r="Y6" t="n">
        <v>0.06407007485720052</v>
      </c>
      <c r="Z6" t="n">
        <v>0.06491126122913111</v>
      </c>
      <c r="AA6" t="n">
        <v>0.06485942835365932</v>
      </c>
      <c r="AB6" t="n">
        <v>0.06476880989284166</v>
      </c>
      <c r="AC6" t="n">
        <v>0.0618114941797224</v>
      </c>
      <c r="AD6" t="n">
        <v>0.06024125823883061</v>
      </c>
      <c r="AE6" t="n">
        <v>0.06317459988336414</v>
      </c>
      <c r="AF6" t="n">
        <v>0.06616459657243597</v>
      </c>
      <c r="AG6" t="n">
        <v>0.07364798155723551</v>
      </c>
      <c r="AH6" t="n">
        <v>0.07342942256653473</v>
      </c>
      <c r="AI6" t="n">
        <v>0.06839257953269798</v>
      </c>
      <c r="AJ6" t="n">
        <v>0.06892291302768531</v>
      </c>
      <c r="AK6" t="n">
        <v>0.07010881380014707</v>
      </c>
      <c r="AL6" t="n">
        <v>0.07090001213904185</v>
      </c>
      <c r="AM6" t="n">
        <v>0.07264833292887196</v>
      </c>
      <c r="AN6" t="n">
        <v>0.07146322850193332</v>
      </c>
      <c r="AO6" t="n">
        <v>0.06964062137323598</v>
      </c>
      <c r="AP6" t="n">
        <v>0.06736806402624092</v>
      </c>
      <c r="AQ6" t="n">
        <v>0.06546805226861485</v>
      </c>
      <c r="AR6" t="n">
        <v>0.06910380803124866</v>
      </c>
      <c r="AS6" t="n">
        <v>0.07085638274052401</v>
      </c>
      <c r="AT6" t="n">
        <v>0.06908414779238967</v>
      </c>
      <c r="AU6" t="n">
        <v>0.06854978773623367</v>
      </c>
      <c r="AV6" t="n">
        <v>0.06799594280444082</v>
      </c>
      <c r="AW6" t="n">
        <v>0.06631738850327112</v>
      </c>
      <c r="AX6" t="n">
        <v>0.0642914571439622</v>
      </c>
      <c r="AY6" t="n">
        <v>0.06353821378143228</v>
      </c>
      <c r="AZ6" t="n">
        <v>0.06155949735620294</v>
      </c>
      <c r="BA6" t="n">
        <v>0.06152286615195438</v>
      </c>
      <c r="BB6" t="n">
        <v>0.05835718975970501</v>
      </c>
      <c r="BC6" t="n">
        <v>0.05996787511142013</v>
      </c>
      <c r="BD6" t="n">
        <v>0.05901807727215958</v>
      </c>
      <c r="BE6" t="n">
        <v>0.05501432387103219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inlineStr">
        <is>
          <t>TILGANG2</t>
        </is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s="13" t="inlineStr">
        <is>
          <t>010000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0.0018420410132019</v>
      </c>
      <c r="AP2" t="n">
        <v>0.0014387585109091</v>
      </c>
      <c r="AQ2" t="n">
        <v>0.0032360600490196</v>
      </c>
      <c r="AR2" t="n">
        <v>0.0007437130180192</v>
      </c>
      <c r="AS2" t="n">
        <v>0.0009988949554443</v>
      </c>
      <c r="AT2" t="n">
        <v>0.0003699687611831</v>
      </c>
      <c r="AU2" t="n">
        <v>0.0003789841615196</v>
      </c>
      <c r="AV2" t="n">
        <v>0.0001547636341539</v>
      </c>
      <c r="AW2" t="n">
        <v>0.0001056436260995</v>
      </c>
      <c r="AX2" t="n">
        <v>0.0018005051190831</v>
      </c>
      <c r="AY2" t="n">
        <v>0.0027114454375499</v>
      </c>
      <c r="AZ2" t="n">
        <v>0.0020487845327891</v>
      </c>
      <c r="BA2" t="n">
        <v>0.0031910653658213</v>
      </c>
      <c r="BB2" t="n">
        <v>0.002593954263087</v>
      </c>
      <c r="BC2" t="n">
        <v>0.0020474313205009</v>
      </c>
      <c r="BD2" t="n">
        <v>0.0030241495261801</v>
      </c>
      <c r="BE2" t="n">
        <v>0.0028596906160219</v>
      </c>
      <c r="BF2" t="n">
        <v>0.0008375073941519</v>
      </c>
    </row>
    <row r="3">
      <c r="A3" s="13" t="n"/>
      <c r="B3" s="13" t="inlineStr">
        <is>
          <t>100010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4.223151315511635e-05</v>
      </c>
      <c r="AP3" t="n">
        <v>4.07232448281479e-05</v>
      </c>
      <c r="AQ3" t="n">
        <v>5.985873338920149e-05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6.294256490952006e-05</v>
      </c>
      <c r="AY3" t="n">
        <v>0.0002944929812506</v>
      </c>
      <c r="AZ3" t="n">
        <v>0.0007466029565477</v>
      </c>
      <c r="BA3" t="n">
        <v>0.0009613159347017</v>
      </c>
      <c r="BB3" t="n">
        <v>0.0018460481689778</v>
      </c>
      <c r="BC3" t="n">
        <v>0.0004031600500099</v>
      </c>
      <c r="BD3" t="n">
        <v>0.00029103190572</v>
      </c>
      <c r="BE3" t="n">
        <v>0.0002227519507418</v>
      </c>
      <c r="BF3" t="n">
        <v>0.0025047006824435</v>
      </c>
    </row>
    <row r="4">
      <c r="A4" s="13" t="n"/>
      <c r="B4" s="13" t="inlineStr">
        <is>
          <t>100030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0.0002671569782974</v>
      </c>
      <c r="AP4" t="n">
        <v>0.0004822708065405</v>
      </c>
      <c r="AQ4" t="n">
        <v>0.0001295001295001</v>
      </c>
      <c r="AR4" t="n">
        <v>0.0002578981302385</v>
      </c>
      <c r="AS4" t="n">
        <v>9.090082719752748e-05</v>
      </c>
      <c r="AT4" t="n">
        <v>0.0002020247368066</v>
      </c>
      <c r="AU4" t="n">
        <v>3.261472228563974e-05</v>
      </c>
      <c r="AV4" t="n">
        <v>2.470233684106517e-05</v>
      </c>
      <c r="AW4" t="n">
        <v>8.435970980259829e-05</v>
      </c>
      <c r="AX4" t="n">
        <v>0.0013146701724537</v>
      </c>
      <c r="AY4" t="n">
        <v>0.002240310656411</v>
      </c>
      <c r="AZ4" t="n">
        <v>0.0010225994477962</v>
      </c>
      <c r="BA4" t="n">
        <v>0.0013538846073734</v>
      </c>
      <c r="BB4" t="n">
        <v>0.0022875443211712</v>
      </c>
      <c r="BC4" t="n">
        <v>4.981481237059325e-05</v>
      </c>
      <c r="BD4" t="n">
        <v>0.0009572994079858</v>
      </c>
      <c r="BE4" t="n">
        <v>0.0005973898658169999</v>
      </c>
      <c r="BF4" t="n">
        <v>0.0023251707087355</v>
      </c>
    </row>
    <row r="5">
      <c r="A5" s="13" t="n"/>
      <c r="B5" s="13" t="inlineStr">
        <is>
          <t>100040x100050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0.0003089348368162</v>
      </c>
      <c r="AP5" t="n">
        <v>0.0002548680181166</v>
      </c>
      <c r="AQ5" t="n">
        <v>0.0002869404324255</v>
      </c>
      <c r="AR5" t="n">
        <v>0.0005059203147948</v>
      </c>
      <c r="AS5" t="n">
        <v>0.0003079552354329</v>
      </c>
      <c r="AT5" t="n">
        <v>6.670296548974712e-05</v>
      </c>
      <c r="AU5" t="n">
        <v>5.337512391444742e-05</v>
      </c>
      <c r="AV5" t="n">
        <v>2.79586060129521e-05</v>
      </c>
      <c r="AW5" t="n">
        <v>4.696971059135784e-05</v>
      </c>
      <c r="AX5" t="n">
        <v>0.0009780793078535</v>
      </c>
      <c r="AY5" t="n">
        <v>0.0006174516032888</v>
      </c>
      <c r="AZ5" t="n">
        <v>0.0021813029451011</v>
      </c>
      <c r="BA5" t="n">
        <v>0.0029252725822178</v>
      </c>
      <c r="BB5" t="n">
        <v>0.0041608490877906</v>
      </c>
      <c r="BC5" t="n">
        <v>0.0060377072144696</v>
      </c>
      <c r="BD5" t="n">
        <v>0.0030934071675852</v>
      </c>
      <c r="BE5" t="n">
        <v>0.0020748473458786</v>
      </c>
      <c r="BF5" t="n">
        <v>0.0021801669936963</v>
      </c>
    </row>
    <row r="6">
      <c r="A6" s="13" t="n"/>
      <c r="B6" s="13" t="inlineStr">
        <is>
          <t>REST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0.0024121696188661</v>
      </c>
      <c r="AP6" t="n">
        <v>0.002004383946194</v>
      </c>
      <c r="AQ6" t="n">
        <v>0.0025708495901763</v>
      </c>
      <c r="AR6" t="n">
        <v>0.0028225957740665</v>
      </c>
      <c r="AS6" t="n">
        <v>0.001314364654081</v>
      </c>
      <c r="AT6" t="n">
        <v>0.0004573630551561</v>
      </c>
      <c r="AU6" t="n">
        <v>0.0003851609761833</v>
      </c>
      <c r="AV6" t="n">
        <v>0.0002528284116738</v>
      </c>
      <c r="AW6" t="n">
        <v>0.0001938138020825</v>
      </c>
      <c r="AX6" t="n">
        <v>0.0021400948545483</v>
      </c>
      <c r="AY6" t="n">
        <v>0.0037321088032605</v>
      </c>
      <c r="AZ6" t="n">
        <v>0.0027817032678025</v>
      </c>
      <c r="BA6" t="n">
        <v>0.0048692569690956</v>
      </c>
      <c r="BB6" t="n">
        <v>0.003322175266535</v>
      </c>
      <c r="BC6" t="n">
        <v>0.0035406447126411</v>
      </c>
      <c r="BD6" t="n">
        <v>0.0042510508545247</v>
      </c>
      <c r="BE6" t="n">
        <v>0.004507338087309</v>
      </c>
      <c r="BF6" t="n">
        <v>0.002022412481342</v>
      </c>
    </row>
    <row r="7">
      <c r="A7" s="13" t="inlineStr">
        <is>
          <t>100010</t>
        </is>
      </c>
      <c r="B7" s="13" t="inlineStr">
        <is>
          <t>010000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0.0004025694432289</v>
      </c>
      <c r="AP7" t="n">
        <v>0.0003690254775189</v>
      </c>
      <c r="AQ7" t="n">
        <v>0.0007759456838021</v>
      </c>
      <c r="AR7" t="n">
        <v>0.0002768578760741</v>
      </c>
      <c r="AS7" t="n">
        <v>0.0002467235117637</v>
      </c>
      <c r="AT7" t="n">
        <v>0.0001578033769922</v>
      </c>
      <c r="AU7" t="n">
        <v>8.658758334054898e-05</v>
      </c>
      <c r="AV7" t="n">
        <v>5.273983439691999e-05</v>
      </c>
      <c r="AW7" t="n">
        <v>7.040270346381301e-05</v>
      </c>
      <c r="AX7" t="n">
        <v>0.0007979367635114</v>
      </c>
      <c r="AY7" t="n">
        <v>0.0005870387309041</v>
      </c>
      <c r="AZ7" t="n">
        <v>0.0002593114963538</v>
      </c>
      <c r="BA7" t="n">
        <v>0.0006680117788199</v>
      </c>
      <c r="BB7" t="n">
        <v>0.001142873888262</v>
      </c>
      <c r="BC7" t="n">
        <v>0.0003670150089822</v>
      </c>
      <c r="BD7" t="n">
        <v>0.0002947063374141</v>
      </c>
      <c r="BE7" t="n">
        <v>0.0003881140084899</v>
      </c>
      <c r="BF7" t="n">
        <v>0.0003346645545614</v>
      </c>
    </row>
    <row r="8">
      <c r="A8" s="13" t="n"/>
      <c r="B8" s="13" t="inlineStr">
        <is>
          <t>100010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0.0228518402591128</v>
      </c>
      <c r="AP8" t="n">
        <v>0.0234284123277185</v>
      </c>
      <c r="AQ8" t="n">
        <v>0.0255862005930556</v>
      </c>
      <c r="AR8" t="n">
        <v>0.0051220548943405</v>
      </c>
      <c r="AS8" t="n">
        <v>0.0061505269257396</v>
      </c>
      <c r="AT8" t="n">
        <v>0.0012881721262201</v>
      </c>
      <c r="AU8" t="n">
        <v>0.0009501080747935</v>
      </c>
      <c r="AV8" t="n">
        <v>0.0007398111967668</v>
      </c>
      <c r="AW8" t="n">
        <v>0.0004539600435772</v>
      </c>
      <c r="AX8" t="n">
        <v>0.0040648053543567</v>
      </c>
      <c r="AY8" t="n">
        <v>0.0027591023686399</v>
      </c>
      <c r="AZ8" t="n">
        <v>0.0034763920903211</v>
      </c>
      <c r="BA8" t="n">
        <v>0.0034440379981455</v>
      </c>
      <c r="BB8" t="n">
        <v>0.006330416418861</v>
      </c>
      <c r="BC8" t="n">
        <v>0.007418218925236</v>
      </c>
      <c r="BD8" t="n">
        <v>0.0055251711249388</v>
      </c>
      <c r="BE8" t="n">
        <v>0.0033191901430883</v>
      </c>
      <c r="BF8" t="n">
        <v>0.0034185526803972</v>
      </c>
    </row>
    <row r="9">
      <c r="A9" s="13" t="n"/>
      <c r="B9" s="13" t="inlineStr">
        <is>
          <t>100030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0.0002354464653599</v>
      </c>
      <c r="AP9" t="n">
        <v>0.0005117707267144</v>
      </c>
      <c r="AQ9" t="n">
        <v>0.000394039260639</v>
      </c>
      <c r="AR9" t="n">
        <v>0.0001974723538704</v>
      </c>
      <c r="AS9" t="n">
        <v>0.000532260926134</v>
      </c>
      <c r="AT9" t="n">
        <v>0.0002312138728323</v>
      </c>
      <c r="AU9" t="n">
        <v>6.241028521500344e-05</v>
      </c>
      <c r="AV9" t="n">
        <v>7.394262052647147e-05</v>
      </c>
      <c r="AW9" t="n">
        <v>5.364519070865298e-05</v>
      </c>
      <c r="AX9" t="n">
        <v>0.0002327638378101</v>
      </c>
      <c r="AY9" t="n">
        <v>0.0004264846998613</v>
      </c>
      <c r="AZ9" t="n">
        <v>0.0012549300824668</v>
      </c>
      <c r="BA9" t="n">
        <v>0.0030372462300847</v>
      </c>
      <c r="BB9" t="n">
        <v>0.0071914905252795</v>
      </c>
      <c r="BC9" t="n">
        <v>0.0070889135031718</v>
      </c>
      <c r="BD9" t="n">
        <v>0.0056118915271093</v>
      </c>
      <c r="BE9" t="n">
        <v>0.0034328774769746</v>
      </c>
      <c r="BF9" t="n">
        <v>0.0026099511328298</v>
      </c>
    </row>
    <row r="10">
      <c r="A10" s="13" t="n"/>
      <c r="B10" s="13" t="inlineStr">
        <is>
          <t>100040x100050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0.0067394438722966</v>
      </c>
      <c r="AP10" t="n">
        <v>0.0062348321922538</v>
      </c>
      <c r="AQ10" t="n">
        <v>0.0049738464412478</v>
      </c>
      <c r="AR10" t="n">
        <v>0.0052365707299023</v>
      </c>
      <c r="AS10" t="n">
        <v>0.0041025935276566</v>
      </c>
      <c r="AT10" t="n">
        <v>0.0028495276068301</v>
      </c>
      <c r="AU10" t="n">
        <v>0.001902531830821</v>
      </c>
      <c r="AV10" t="n">
        <v>0.0006083916805015</v>
      </c>
      <c r="AW10" t="n">
        <v>0.000323951141795</v>
      </c>
      <c r="AX10" t="n">
        <v>0.0031910565884223</v>
      </c>
      <c r="AY10" t="n">
        <v>0.0034987890615815</v>
      </c>
      <c r="AZ10" t="n">
        <v>0.0033078158964181</v>
      </c>
      <c r="BA10" t="n">
        <v>0.0030965239693892</v>
      </c>
      <c r="BB10" t="n">
        <v>0.0030861333971394</v>
      </c>
      <c r="BC10" t="n">
        <v>0.0029490574936639</v>
      </c>
      <c r="BD10" t="n">
        <v>0.0026634797800619</v>
      </c>
      <c r="BE10" t="n">
        <v>0.0039938213234819</v>
      </c>
      <c r="BF10" t="n">
        <v>0.0023935406316819</v>
      </c>
    </row>
    <row r="11">
      <c r="A11" s="13" t="n"/>
      <c r="B11" s="13" t="inlineStr">
        <is>
          <t>REST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0.0016714817955151</v>
      </c>
      <c r="AP11" t="n">
        <v>0.001703887422857</v>
      </c>
      <c r="AQ11" t="n">
        <v>0.0017978968902828</v>
      </c>
      <c r="AR11" t="n">
        <v>0.0017044989768567</v>
      </c>
      <c r="AS11" t="n">
        <v>0.0015422533172918</v>
      </c>
      <c r="AT11" t="n">
        <v>0.0006542756984766</v>
      </c>
      <c r="AU11" t="n">
        <v>0.0005519941992525</v>
      </c>
      <c r="AV11" t="n">
        <v>0.0007136292563204</v>
      </c>
      <c r="AW11" t="n">
        <v>0.0002519828513272</v>
      </c>
      <c r="AX11" t="n">
        <v>0.0021926366406529</v>
      </c>
      <c r="AY11" t="n">
        <v>0.0023903591852934</v>
      </c>
      <c r="AZ11" t="n">
        <v>0.0021692360345093</v>
      </c>
      <c r="BA11" t="n">
        <v>0.0020640207199577</v>
      </c>
      <c r="BB11" t="n">
        <v>0.0020765518660796</v>
      </c>
      <c r="BC11" t="n">
        <v>0.0016611756199744</v>
      </c>
      <c r="BD11" t="n">
        <v>0.001287777649586</v>
      </c>
      <c r="BE11" t="n">
        <v>0.0015701664018438</v>
      </c>
      <c r="BF11" t="n">
        <v>0.0013601199298817</v>
      </c>
    </row>
    <row r="12">
      <c r="A12" s="13" t="inlineStr">
        <is>
          <t>100030</t>
        </is>
      </c>
      <c r="B12" s="13" t="inlineStr">
        <is>
          <t>010000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0.0007764477515367</v>
      </c>
      <c r="AP12" t="n">
        <v>0.0007308018357742</v>
      </c>
      <c r="AQ12" t="n">
        <v>0.0006142657067741</v>
      </c>
      <c r="AR12" t="n">
        <v>0.0007067284707643</v>
      </c>
      <c r="AS12" t="n">
        <v>0.0020307726083536</v>
      </c>
      <c r="AT12" t="n">
        <v>0.0003018152028629</v>
      </c>
      <c r="AU12" t="n">
        <v>0.0002107348323604</v>
      </c>
      <c r="AV12" t="n">
        <v>0.0001175305159589</v>
      </c>
      <c r="AW12" t="n">
        <v>0.000138298923244</v>
      </c>
      <c r="AX12" t="n">
        <v>0.0021062252866254</v>
      </c>
      <c r="AY12" t="n">
        <v>0.0033038074148153</v>
      </c>
      <c r="AZ12" t="n">
        <v>0.0049367536653067</v>
      </c>
      <c r="BA12" t="n">
        <v>0.0054891656468216</v>
      </c>
      <c r="BB12" t="n">
        <v>0.0049710832412762</v>
      </c>
      <c r="BC12" t="n">
        <v>0.0037472347213652</v>
      </c>
      <c r="BD12" t="n">
        <v>0.0026561651903777</v>
      </c>
      <c r="BE12" t="n">
        <v>0.0171647754514943</v>
      </c>
      <c r="BF12" t="n">
        <v>0.0050669830441445</v>
      </c>
    </row>
    <row r="13">
      <c r="A13" s="13" t="n"/>
      <c r="B13" s="13" t="inlineStr">
        <is>
          <t>100010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0.0068618481244281</v>
      </c>
      <c r="AP13" t="n">
        <v>0.0034195340884804</v>
      </c>
      <c r="AQ13" t="n">
        <v>0.004344284550638</v>
      </c>
      <c r="AR13" t="n">
        <v>0.0016346032943543</v>
      </c>
      <c r="AS13" t="n">
        <v>0.0045478865703584</v>
      </c>
      <c r="AT13" t="n">
        <v>0.0016949152542372</v>
      </c>
      <c r="AU13" t="n">
        <v>0.0006885471654808</v>
      </c>
      <c r="AV13" t="n">
        <v>0.0004196978175713</v>
      </c>
      <c r="AW13" t="n">
        <v>0.0001854943424225</v>
      </c>
      <c r="AX13" t="n">
        <v>0.002939015429831</v>
      </c>
      <c r="AY13" t="n">
        <v>0.0044286022899114</v>
      </c>
      <c r="AZ13" t="n">
        <v>0.0057643809295064</v>
      </c>
      <c r="BA13" t="n">
        <v>0.0042389987888574</v>
      </c>
      <c r="BB13" t="n">
        <v>0.0135232168501675</v>
      </c>
      <c r="BC13" t="n">
        <v>0.0132704217045119</v>
      </c>
      <c r="BD13" t="n">
        <v>0.0113606340819022</v>
      </c>
      <c r="BE13" t="n">
        <v>0.0077090334058114</v>
      </c>
      <c r="BF13" t="n">
        <v>0.0058028717861832</v>
      </c>
    </row>
    <row r="14">
      <c r="A14" s="13" t="n"/>
      <c r="B14" s="13" t="inlineStr">
        <is>
          <t>100030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0.0324206385790233</v>
      </c>
      <c r="AP14" t="n">
        <v>0.0293793822796546</v>
      </c>
      <c r="AQ14" t="n">
        <v>0.0238358313076559</v>
      </c>
      <c r="AR14" t="n">
        <v>0.0212123197289734</v>
      </c>
      <c r="AS14" t="n">
        <v>0.0116244878971471</v>
      </c>
      <c r="AT14" t="n">
        <v>0.0046179706416005</v>
      </c>
      <c r="AU14" t="n">
        <v>0.0019024512764058</v>
      </c>
      <c r="AV14" t="n">
        <v>0.0002011039446345</v>
      </c>
      <c r="AW14" t="n">
        <v>9.472143287694823e-06</v>
      </c>
      <c r="AX14" t="n">
        <v>0.0001061817215056</v>
      </c>
      <c r="AY14" t="n">
        <v>0.0001325492535182</v>
      </c>
      <c r="AZ14" t="n">
        <v>0.0001326626601924</v>
      </c>
      <c r="BA14" t="n">
        <v>0.0001704317745575</v>
      </c>
      <c r="BB14" t="n">
        <v>0.0007050569985995999</v>
      </c>
      <c r="BC14" t="n">
        <v>0.0001318690559385</v>
      </c>
      <c r="BD14" t="n">
        <v>0.0004221316971674</v>
      </c>
      <c r="BE14" t="n">
        <v>0.0003561899369305</v>
      </c>
      <c r="BF14" t="n">
        <v>0.0019014468595203</v>
      </c>
    </row>
    <row r="15">
      <c r="A15" s="13" t="n"/>
      <c r="B15" s="13" t="inlineStr">
        <is>
          <t>100040x100050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0.0120155137938975</v>
      </c>
      <c r="AP15" t="n">
        <v>0.0090130674235701</v>
      </c>
      <c r="AQ15" t="n">
        <v>0.0087207017134568</v>
      </c>
      <c r="AR15" t="n">
        <v>0.009909814510862799</v>
      </c>
      <c r="AS15" t="n">
        <v>0.0104718687525783</v>
      </c>
      <c r="AT15" t="n">
        <v>0.0029942247686124</v>
      </c>
      <c r="AU15" t="n">
        <v>0.0032113582255974</v>
      </c>
      <c r="AV15" t="n">
        <v>0.0007635914076054</v>
      </c>
      <c r="AW15" t="n">
        <v>0.0008811901489719</v>
      </c>
      <c r="AX15" t="n">
        <v>0.0133344598441741</v>
      </c>
      <c r="AY15" t="n">
        <v>0.0187617401476493</v>
      </c>
      <c r="AZ15" t="n">
        <v>0.0188139712347174</v>
      </c>
      <c r="BA15" t="n">
        <v>0.0194974668645412</v>
      </c>
      <c r="BB15" t="n">
        <v>0.0187504021863797</v>
      </c>
      <c r="BC15" t="n">
        <v>0.0216643429921231</v>
      </c>
      <c r="BD15" t="n">
        <v>0.0216500011543407</v>
      </c>
      <c r="BE15" t="n">
        <v>0.0191816868392893</v>
      </c>
      <c r="BF15" t="n">
        <v>0.0144541271034897</v>
      </c>
    </row>
    <row r="16">
      <c r="A16" s="13" t="n"/>
      <c r="B16" s="13" t="inlineStr">
        <is>
          <t>REST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0.001607982772625</v>
      </c>
      <c r="AP16" t="n">
        <v>0.0013763717480458</v>
      </c>
      <c r="AQ16" t="n">
        <v>0.0023560127626037</v>
      </c>
      <c r="AR16" t="n">
        <v>0.0022583584210711</v>
      </c>
      <c r="AS16" t="n">
        <v>0.0017455967716621</v>
      </c>
      <c r="AT16" t="n">
        <v>0.0006733883865876</v>
      </c>
      <c r="AU16" t="n">
        <v>0.000456152759702</v>
      </c>
      <c r="AV16" t="n">
        <v>0.0003743648870638</v>
      </c>
      <c r="AW16" t="n">
        <v>0.0002624587489901</v>
      </c>
      <c r="AX16" t="n">
        <v>0.0017670456102642</v>
      </c>
      <c r="AY16" t="n">
        <v>0.0028190813586794</v>
      </c>
      <c r="AZ16" t="n">
        <v>0.0022874099150973</v>
      </c>
      <c r="BA16" t="n">
        <v>0.0022780708586207</v>
      </c>
      <c r="BB16" t="n">
        <v>0.0021550442234465</v>
      </c>
      <c r="BC16" t="n">
        <v>0.0018979097535937</v>
      </c>
      <c r="BD16" t="n">
        <v>0.0016705721855432</v>
      </c>
      <c r="BE16" t="n">
        <v>0.002692197341831</v>
      </c>
      <c r="BF16" t="n">
        <v>0.0018614698514405</v>
      </c>
    </row>
    <row r="17">
      <c r="A17" s="13" t="inlineStr">
        <is>
          <t>100040x100050</t>
        </is>
      </c>
      <c r="B17" s="13" t="inlineStr">
        <is>
          <t>010000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0.0012283795417636</v>
      </c>
      <c r="AP17" t="n">
        <v>0.0009464492121524</v>
      </c>
      <c r="AQ17" t="n">
        <v>0.0015728382988194</v>
      </c>
      <c r="AR17" t="n">
        <v>0.0007425896337819</v>
      </c>
      <c r="AS17" t="n">
        <v>0.0009767210851148</v>
      </c>
      <c r="AT17" t="n">
        <v>0.0005762471352247</v>
      </c>
      <c r="AU17" t="n">
        <v>0.0002034654696721</v>
      </c>
      <c r="AV17" t="n">
        <v>9.877860533538404e-05</v>
      </c>
      <c r="AW17" t="n">
        <v>9.2316153362665e-05</v>
      </c>
      <c r="AX17" t="n">
        <v>0.0007278688056304</v>
      </c>
      <c r="AY17" t="n">
        <v>0.0008316561007806</v>
      </c>
      <c r="AZ17" t="n">
        <v>0.000800475023676</v>
      </c>
      <c r="BA17" t="n">
        <v>0.0012489974750848</v>
      </c>
      <c r="BB17" t="n">
        <v>0.0024482899609779</v>
      </c>
      <c r="BC17" t="n">
        <v>0.0005734534271498</v>
      </c>
      <c r="BD17" t="n">
        <v>0.000734585646963</v>
      </c>
      <c r="BE17" t="n">
        <v>0.0014841148799662</v>
      </c>
      <c r="BF17" t="n">
        <v>0.0007515324694104</v>
      </c>
    </row>
    <row r="18">
      <c r="A18" s="13" t="n"/>
      <c r="B18" s="13" t="inlineStr">
        <is>
          <t>100010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0.0189033636816066</v>
      </c>
      <c r="AP18" t="n">
        <v>0.0182418066461673</v>
      </c>
      <c r="AQ18" t="n">
        <v>0.0141961954054834</v>
      </c>
      <c r="AR18" t="n">
        <v>0.0034712525446795</v>
      </c>
      <c r="AS18" t="n">
        <v>0.0036085020727407</v>
      </c>
      <c r="AT18" t="n">
        <v>0.0006028406519022</v>
      </c>
      <c r="AU18" t="n">
        <v>0.000412375754995</v>
      </c>
      <c r="AV18" t="n">
        <v>0.00029964937132</v>
      </c>
      <c r="AW18" t="n">
        <v>0.0001833947330319</v>
      </c>
      <c r="AX18" t="n">
        <v>0.0017925762268473</v>
      </c>
      <c r="AY18" t="n">
        <v>0.0012257298103733</v>
      </c>
      <c r="AZ18" t="n">
        <v>0.0011766138562575</v>
      </c>
      <c r="BA18" t="n">
        <v>0.0013027227843403</v>
      </c>
      <c r="BB18" t="n">
        <v>0.0042113130754833</v>
      </c>
      <c r="BC18" t="n">
        <v>0.0043362152418466</v>
      </c>
      <c r="BD18" t="n">
        <v>0.0031674757281553</v>
      </c>
      <c r="BE18" t="n">
        <v>0.002594510389012</v>
      </c>
      <c r="BF18" t="n">
        <v>0.0027003124974722</v>
      </c>
    </row>
    <row r="19">
      <c r="A19" s="13" t="n"/>
      <c r="B19" s="13" t="inlineStr">
        <is>
          <t>100030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0.19065844999368</v>
      </c>
      <c r="AP19" t="n">
        <v>0.1662587867742775</v>
      </c>
      <c r="AQ19" t="n">
        <v>0.1763435422776004</v>
      </c>
      <c r="AR19" t="n">
        <v>0.1184748345615097</v>
      </c>
      <c r="AS19" t="n">
        <v>0.1154885196491032</v>
      </c>
      <c r="AT19" t="n">
        <v>0.0256022817948761</v>
      </c>
      <c r="AU19" t="n">
        <v>0.0141573933303946</v>
      </c>
      <c r="AV19" t="n">
        <v>0.0022835076905939</v>
      </c>
      <c r="AW19" t="n">
        <v>2.095223727989675e-05</v>
      </c>
      <c r="AX19" t="n">
        <v>0.000380886893446</v>
      </c>
      <c r="AY19" t="n">
        <v>0.0004099466368608</v>
      </c>
      <c r="AZ19" t="n">
        <v>0.0003331018822602</v>
      </c>
      <c r="BA19" t="n">
        <v>0.0003354463586867</v>
      </c>
      <c r="BB19" t="n">
        <v>0.0095254393921243</v>
      </c>
      <c r="BC19" t="n">
        <v>7.286376943082818e-05</v>
      </c>
      <c r="BD19" t="n">
        <v>0.0006526178396244</v>
      </c>
      <c r="BE19" t="n">
        <v>0.0005611890042775</v>
      </c>
      <c r="BF19" t="n">
        <v>0.0119796381248473</v>
      </c>
    </row>
    <row r="20">
      <c r="A20" s="13" t="n"/>
      <c r="B20" s="13" t="inlineStr">
        <is>
          <t>100040x100050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0.0076626237565354</v>
      </c>
      <c r="AP20" t="n">
        <v>0.005825655203413</v>
      </c>
      <c r="AQ20" t="n">
        <v>0.0064832092808479</v>
      </c>
      <c r="AR20" t="n">
        <v>0.0063886470061229</v>
      </c>
      <c r="AS20" t="n">
        <v>0.0075211895319316</v>
      </c>
      <c r="AT20" t="n">
        <v>0.0019960524611428</v>
      </c>
      <c r="AU20" t="n">
        <v>0.0014205921870555</v>
      </c>
      <c r="AV20" t="n">
        <v>0.0004405064310349</v>
      </c>
      <c r="AW20" t="n">
        <v>0.0003674710569065</v>
      </c>
      <c r="AX20" t="n">
        <v>0.0059316354718403</v>
      </c>
      <c r="AY20" t="n">
        <v>0.0089452653412264</v>
      </c>
      <c r="AZ20" t="n">
        <v>0.0081063694612471</v>
      </c>
      <c r="BA20" t="n">
        <v>0.0076176436599955</v>
      </c>
      <c r="BB20" t="n">
        <v>0.0071855269626394</v>
      </c>
      <c r="BC20" t="n">
        <v>0.0083499632918982</v>
      </c>
      <c r="BD20" t="n">
        <v>0.0070308603564165</v>
      </c>
      <c r="BE20" t="n">
        <v>0.0072503869482001</v>
      </c>
      <c r="BF20" t="n">
        <v>0.0059902662063929</v>
      </c>
    </row>
    <row r="21">
      <c r="A21" s="13" t="n"/>
      <c r="B21" s="13" t="inlineStr">
        <is>
          <t>REST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0.003053217480581</v>
      </c>
      <c r="AP21" t="n">
        <v>0.0024339458436075</v>
      </c>
      <c r="AQ21" t="n">
        <v>0.0023452680772968</v>
      </c>
      <c r="AR21" t="n">
        <v>0.0023694967984661</v>
      </c>
      <c r="AS21" t="n">
        <v>0.001943582124081</v>
      </c>
      <c r="AT21" t="n">
        <v>0.0008391188407203</v>
      </c>
      <c r="AU21" t="n">
        <v>0.0006746450162415999</v>
      </c>
      <c r="AV21" t="n">
        <v>0.0005268713677065</v>
      </c>
      <c r="AW21" t="n">
        <v>0.0003793109082133</v>
      </c>
      <c r="AX21" t="n">
        <v>0.002814842594167</v>
      </c>
      <c r="AY21" t="n">
        <v>0.0033990496117444</v>
      </c>
      <c r="AZ21" t="n">
        <v>0.0029489391335448</v>
      </c>
      <c r="BA21" t="n">
        <v>0.0029521502369866</v>
      </c>
      <c r="BB21" t="n">
        <v>0.0028013666066479</v>
      </c>
      <c r="BC21" t="n">
        <v>0.0025134016630584</v>
      </c>
      <c r="BD21" t="n">
        <v>0.0024315089366547</v>
      </c>
      <c r="BE21" t="n">
        <v>0.0028360450807491</v>
      </c>
      <c r="BF21" t="n">
        <v>0.0025728097860328</v>
      </c>
    </row>
    <row r="22">
      <c r="A22" s="13" t="inlineStr">
        <is>
          <t>REST</t>
        </is>
      </c>
      <c r="B22" s="13" t="inlineStr">
        <is>
          <t>010000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0.008916336061490501</v>
      </c>
      <c r="AP22" t="n">
        <v>0.0107113626265696</v>
      </c>
      <c r="AQ22" t="n">
        <v>0.0101480878987973</v>
      </c>
      <c r="AR22" t="n">
        <v>0.0113780093065331</v>
      </c>
      <c r="AS22" t="n">
        <v>0.0136493091996899</v>
      </c>
      <c r="AT22" t="n">
        <v>0.0044558575872729</v>
      </c>
      <c r="AU22" t="n">
        <v>0.0014869048919972</v>
      </c>
      <c r="AV22" t="n">
        <v>0.0009295725904135</v>
      </c>
      <c r="AW22" t="n">
        <v>0.0008231532587584999</v>
      </c>
      <c r="AX22" t="n">
        <v>0.00345288861831</v>
      </c>
      <c r="AY22" t="n">
        <v>0.0030717359164021</v>
      </c>
      <c r="AZ22" t="n">
        <v>0.002562911374756</v>
      </c>
      <c r="BA22" t="n">
        <v>0.0031018973862204</v>
      </c>
      <c r="BB22" t="n">
        <v>0.0027134387646909</v>
      </c>
      <c r="BC22" t="n">
        <v>0.0024454386473558</v>
      </c>
      <c r="BD22" t="n">
        <v>0.0032198788396106</v>
      </c>
      <c r="BE22" t="n">
        <v>0.002596326301206</v>
      </c>
      <c r="BF22" t="n">
        <v>0.0013455958715645</v>
      </c>
    </row>
    <row r="23">
      <c r="A23" s="13" t="n"/>
      <c r="B23" s="13" t="inlineStr">
        <is>
          <t>100010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0.0295768862111461</v>
      </c>
      <c r="AP23" t="n">
        <v>0.0251693860771459</v>
      </c>
      <c r="AQ23" t="n">
        <v>0.0237043188575955</v>
      </c>
      <c r="AR23" t="n">
        <v>0.008846255327179</v>
      </c>
      <c r="AS23" t="n">
        <v>0.0112254050754306</v>
      </c>
      <c r="AT23" t="n">
        <v>0.0017320529169725</v>
      </c>
      <c r="AU23" t="n">
        <v>0.0009928575884458001</v>
      </c>
      <c r="AV23" t="n">
        <v>0.0008730910779621</v>
      </c>
      <c r="AW23" t="n">
        <v>0.0006090166549715</v>
      </c>
      <c r="AX23" t="n">
        <v>0.0017186511542772</v>
      </c>
      <c r="AY23" t="n">
        <v>0.0013332457969931</v>
      </c>
      <c r="AZ23" t="n">
        <v>0.0017022345112718</v>
      </c>
      <c r="BA23" t="n">
        <v>0.0013024163006709</v>
      </c>
      <c r="BB23" t="n">
        <v>0.0025516495002114</v>
      </c>
      <c r="BC23" t="n">
        <v>0.0030752851382799</v>
      </c>
      <c r="BD23" t="n">
        <v>0.0021203122726279</v>
      </c>
      <c r="BE23" t="n">
        <v>0.0016036637983707</v>
      </c>
      <c r="BF23" t="n">
        <v>0.003249231421605</v>
      </c>
    </row>
    <row r="24">
      <c r="A24" s="13" t="n"/>
      <c r="B24" s="13" t="inlineStr">
        <is>
          <t>100030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0.0328796201367529</v>
      </c>
      <c r="AP24" t="n">
        <v>0.0422185021373329</v>
      </c>
      <c r="AQ24" t="n">
        <v>0.0298339636283395</v>
      </c>
      <c r="AR24" t="n">
        <v>0.0193184254693056</v>
      </c>
      <c r="AS24" t="n">
        <v>0.0209377464118853</v>
      </c>
      <c r="AT24" t="n">
        <v>0.0053374184087862</v>
      </c>
      <c r="AU24" t="n">
        <v>0.0020429029180833</v>
      </c>
      <c r="AV24" t="n">
        <v>0.0002255141016786</v>
      </c>
      <c r="AW24" t="n">
        <v>1.77470908781821e-05</v>
      </c>
      <c r="AX24" t="n">
        <v>0.0001580590903209</v>
      </c>
      <c r="AY24" t="n">
        <v>0.0002320699715652</v>
      </c>
      <c r="AZ24" t="n">
        <v>0.0001408669721833</v>
      </c>
      <c r="BA24" t="n">
        <v>0.0002249799392887</v>
      </c>
      <c r="BB24" t="n">
        <v>0.0009568842253742</v>
      </c>
      <c r="BC24" t="n">
        <v>0.0002879151141975</v>
      </c>
      <c r="BD24" t="n">
        <v>0.0004024318959472</v>
      </c>
      <c r="BE24" t="n">
        <v>0.0004679388754843</v>
      </c>
      <c r="BF24" t="n">
        <v>0.001975278592065</v>
      </c>
    </row>
    <row r="25">
      <c r="A25" s="13" t="n"/>
      <c r="B25" s="13" t="inlineStr">
        <is>
          <t>100040x100050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0.0059295198769694</v>
      </c>
      <c r="AP25" t="n">
        <v>0.0045183152817179</v>
      </c>
      <c r="AQ25" t="n">
        <v>0.0041303267405489</v>
      </c>
      <c r="AR25" t="n">
        <v>0.0050403952789361</v>
      </c>
      <c r="AS25" t="n">
        <v>0.0055929307548229</v>
      </c>
      <c r="AT25" t="n">
        <v>0.0016721768409916</v>
      </c>
      <c r="AU25" t="n">
        <v>0.0014337592149058</v>
      </c>
      <c r="AV25" t="n">
        <v>0.0007580321937205</v>
      </c>
      <c r="AW25" t="n">
        <v>0.0008618242765165999</v>
      </c>
      <c r="AX25" t="n">
        <v>0.0040455313710836</v>
      </c>
      <c r="AY25" t="n">
        <v>0.0050798652192048</v>
      </c>
      <c r="AZ25" t="n">
        <v>0.0059219277480532</v>
      </c>
      <c r="BA25" t="n">
        <v>0.0053603602513539</v>
      </c>
      <c r="BB25" t="n">
        <v>0.0052800150185846</v>
      </c>
      <c r="BC25" t="n">
        <v>0.0044756146467877</v>
      </c>
      <c r="BD25" t="n">
        <v>0.0044130190731062</v>
      </c>
      <c r="BE25" t="n">
        <v>0.0047811599181137</v>
      </c>
      <c r="BF25" t="n">
        <v>0.0037370588015931</v>
      </c>
    </row>
    <row r="26">
      <c r="A26" s="13" t="n"/>
      <c r="B26" s="13" t="inlineStr">
        <is>
          <t>REST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0.0020958015949279</v>
      </c>
      <c r="AP26" t="n">
        <v>0.0030848427727784</v>
      </c>
      <c r="AQ26" t="n">
        <v>0.0023643150891759</v>
      </c>
      <c r="AR26" t="n">
        <v>0.0021461423359138</v>
      </c>
      <c r="AS26" t="n">
        <v>0.0028913213089147</v>
      </c>
      <c r="AT26" t="n">
        <v>0.0013180000081655</v>
      </c>
      <c r="AU26" t="n">
        <v>0.0009244969102589</v>
      </c>
      <c r="AV26" t="n">
        <v>0.0009037128281988</v>
      </c>
      <c r="AW26" t="n">
        <v>0.0006580930545771</v>
      </c>
      <c r="AX26" t="n">
        <v>0.0018760214888373</v>
      </c>
      <c r="AY26" t="n">
        <v>0.0024992522968261</v>
      </c>
      <c r="AZ26" t="n">
        <v>0.0022874584639833</v>
      </c>
      <c r="BA26" t="n">
        <v>0.0021551760391743</v>
      </c>
      <c r="BB26" t="n">
        <v>0.0021069916101088</v>
      </c>
      <c r="BC26" t="n">
        <v>0.0019728759502329</v>
      </c>
      <c r="BD26" t="n">
        <v>0.0022805191713631</v>
      </c>
      <c r="BE26" t="n">
        <v>0.0022857840011706</v>
      </c>
      <c r="BF26" t="n">
        <v>0.001807294139127</v>
      </c>
    </row>
  </sheetData>
  <mergeCells count="5">
    <mergeCell ref="A22:A26"/>
    <mergeCell ref="A17:A21"/>
    <mergeCell ref="A12:A16"/>
    <mergeCell ref="A2:A6"/>
    <mergeCell ref="A7:A1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B1" s="13" t="n">
        <v>1982</v>
      </c>
      <c r="C1" s="13" t="n">
        <v>1983</v>
      </c>
      <c r="D1" s="13" t="n">
        <v>1984</v>
      </c>
      <c r="E1" s="13" t="n">
        <v>1985</v>
      </c>
      <c r="F1" s="13" t="n">
        <v>1986</v>
      </c>
      <c r="G1" s="13" t="n">
        <v>1987</v>
      </c>
      <c r="H1" s="13" t="n">
        <v>1988</v>
      </c>
      <c r="I1" s="13" t="n">
        <v>1989</v>
      </c>
      <c r="J1" s="13" t="n">
        <v>1990</v>
      </c>
      <c r="K1" s="13" t="n">
        <v>1991</v>
      </c>
      <c r="L1" s="13" t="n">
        <v>1992</v>
      </c>
      <c r="M1" s="13" t="n">
        <v>1993</v>
      </c>
      <c r="N1" s="13" t="n">
        <v>1994</v>
      </c>
      <c r="O1" s="13" t="n">
        <v>1995</v>
      </c>
      <c r="P1" s="13" t="n">
        <v>1996</v>
      </c>
      <c r="Q1" s="13" t="n">
        <v>1997</v>
      </c>
      <c r="R1" s="13" t="n">
        <v>1998</v>
      </c>
      <c r="S1" s="13" t="n">
        <v>1999</v>
      </c>
      <c r="T1" s="13" t="n">
        <v>2000</v>
      </c>
      <c r="U1" s="13" t="n">
        <v>2001</v>
      </c>
      <c r="V1" s="13" t="n">
        <v>2002</v>
      </c>
      <c r="W1" s="13" t="n">
        <v>2003</v>
      </c>
      <c r="X1" s="13" t="n">
        <v>2004</v>
      </c>
      <c r="Y1" s="13" t="n">
        <v>2005</v>
      </c>
      <c r="Z1" s="13" t="n">
        <v>2006</v>
      </c>
      <c r="AA1" s="13" t="n">
        <v>2007</v>
      </c>
      <c r="AB1" s="13" t="n">
        <v>2008</v>
      </c>
      <c r="AC1" s="13" t="n">
        <v>2009</v>
      </c>
      <c r="AD1" s="13" t="n">
        <v>2010</v>
      </c>
      <c r="AE1" s="13" t="n">
        <v>2011</v>
      </c>
      <c r="AF1" s="13" t="n">
        <v>2012</v>
      </c>
      <c r="AG1" s="13" t="n">
        <v>2013</v>
      </c>
      <c r="AH1" s="13" t="n">
        <v>2014</v>
      </c>
      <c r="AI1" s="13" t="n">
        <v>2015</v>
      </c>
      <c r="AJ1" s="13" t="n">
        <v>2016</v>
      </c>
      <c r="AK1" s="13" t="n">
        <v>2017</v>
      </c>
      <c r="AL1" s="13" t="n">
        <v>2018</v>
      </c>
      <c r="AM1" s="13" t="n">
        <v>2019</v>
      </c>
      <c r="AN1" s="13" t="n">
        <v>2020</v>
      </c>
      <c r="AO1" s="13" t="n">
        <v>2021</v>
      </c>
      <c r="AP1" s="13" t="n">
        <v>2022</v>
      </c>
      <c r="AQ1" s="13" t="n">
        <v>2023</v>
      </c>
      <c r="AR1" s="13" t="n">
        <v>2024</v>
      </c>
      <c r="AS1" s="13" t="n">
        <v>2025</v>
      </c>
    </row>
    <row r="2">
      <c r="A2" s="13" t="n">
        <v>0</v>
      </c>
      <c r="B2" t="n">
        <v>45825.5020312678</v>
      </c>
      <c r="C2" t="n">
        <v>51810.6075986525</v>
      </c>
      <c r="D2" t="n">
        <v>57156.98728808499</v>
      </c>
      <c r="E2" t="n">
        <v>67819.58918137463</v>
      </c>
      <c r="F2" t="n">
        <v>66007.4784651527</v>
      </c>
      <c r="G2" t="n">
        <v>65298.18364355561</v>
      </c>
      <c r="H2" t="n">
        <v>65307.7525450274</v>
      </c>
      <c r="I2" t="n">
        <v>66502.46216427033</v>
      </c>
      <c r="J2" t="n">
        <v>61563.37888870088</v>
      </c>
      <c r="K2" t="n">
        <v>64213.92811816488</v>
      </c>
      <c r="L2" t="n">
        <v>62699.54984904675</v>
      </c>
      <c r="M2" t="n">
        <v>61858.59851451081</v>
      </c>
      <c r="N2" t="n">
        <v>63305.492682264</v>
      </c>
      <c r="O2" t="n">
        <v>71828.40884189999</v>
      </c>
      <c r="P2" t="n">
        <v>73542.95183307363</v>
      </c>
      <c r="Q2" t="n">
        <v>83973.52256550605</v>
      </c>
      <c r="R2" t="n">
        <v>91592.73840300649</v>
      </c>
      <c r="S2" t="n">
        <v>99478.8081054535</v>
      </c>
      <c r="T2" t="n">
        <v>105976.1872444096</v>
      </c>
      <c r="U2" t="n">
        <v>117087.7410597755</v>
      </c>
      <c r="V2" t="n">
        <v>118049.7051147478</v>
      </c>
      <c r="W2" t="n">
        <v>119573.4167302717</v>
      </c>
      <c r="X2" t="n">
        <v>132817.6455233621</v>
      </c>
      <c r="Y2" t="n">
        <v>148000</v>
      </c>
      <c r="Z2" t="n">
        <v>185000</v>
      </c>
      <c r="AA2" t="n">
        <v>219990</v>
      </c>
      <c r="AB2" t="n">
        <v>257325</v>
      </c>
      <c r="AC2" t="n">
        <v>210010</v>
      </c>
      <c r="AD2" t="n">
        <v>171596</v>
      </c>
      <c r="AE2" t="n">
        <v>130209</v>
      </c>
      <c r="AF2" t="n">
        <v>130729</v>
      </c>
      <c r="AG2" t="n">
        <v>117152</v>
      </c>
      <c r="AH2" t="n">
        <v>128287</v>
      </c>
      <c r="AI2" t="n">
        <v>139866</v>
      </c>
      <c r="AJ2" t="n">
        <v>130916</v>
      </c>
      <c r="AK2" t="n">
        <v>128897</v>
      </c>
      <c r="AL2" t="n">
        <v>132099</v>
      </c>
      <c r="AM2" t="n">
        <v>131251</v>
      </c>
      <c r="AN2" t="n">
        <v>130383</v>
      </c>
      <c r="AO2" t="n">
        <v>135451</v>
      </c>
      <c r="AP2" t="n">
        <v>147610</v>
      </c>
      <c r="AQ2" t="n">
        <v>159603</v>
      </c>
      <c r="AR2" t="n">
        <v>167583</v>
      </c>
      <c r="AS2" t="n">
        <v>174500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1992</v>
      </c>
      <c r="C1" s="13" t="n">
        <v>1993</v>
      </c>
      <c r="D1" s="13" t="n">
        <v>1994</v>
      </c>
      <c r="E1" s="13" t="n">
        <v>1995</v>
      </c>
      <c r="F1" s="13" t="n">
        <v>1996</v>
      </c>
      <c r="G1" s="13" t="n">
        <v>1997</v>
      </c>
      <c r="H1" s="13" t="n">
        <v>1998</v>
      </c>
      <c r="I1" s="13" t="n">
        <v>1999</v>
      </c>
      <c r="J1" s="13" t="n">
        <v>2000</v>
      </c>
      <c r="K1" s="13" t="n">
        <v>2001</v>
      </c>
      <c r="L1" s="13" t="n">
        <v>2002</v>
      </c>
      <c r="M1" s="13" t="n">
        <v>2003</v>
      </c>
      <c r="N1" s="13" t="n">
        <v>2004</v>
      </c>
      <c r="O1" s="13" t="n">
        <v>2005</v>
      </c>
      <c r="P1" s="13" t="n">
        <v>2006</v>
      </c>
      <c r="Q1" s="13" t="n">
        <v>2007</v>
      </c>
      <c r="R1" s="13" t="n">
        <v>2008</v>
      </c>
      <c r="S1" s="13" t="n">
        <v>2009</v>
      </c>
      <c r="T1" s="13" t="n">
        <v>2010</v>
      </c>
      <c r="U1" s="13" t="n">
        <v>2011</v>
      </c>
      <c r="V1" s="13" t="n">
        <v>2012</v>
      </c>
      <c r="W1" s="13" t="n">
        <v>2013</v>
      </c>
      <c r="X1" s="13" t="n">
        <v>2014</v>
      </c>
      <c r="Y1" s="13" t="n">
        <v>2015</v>
      </c>
      <c r="Z1" s="13" t="n">
        <v>2016</v>
      </c>
      <c r="AA1" s="13" t="n">
        <v>2017</v>
      </c>
      <c r="AB1" s="13" t="n">
        <v>2018</v>
      </c>
      <c r="AC1" s="13" t="n">
        <v>2019</v>
      </c>
      <c r="AD1" s="13" t="n">
        <v>2020</v>
      </c>
      <c r="AE1" s="13" t="n">
        <v>2021</v>
      </c>
      <c r="AF1" s="13" t="n">
        <v>2022</v>
      </c>
    </row>
    <row r="2">
      <c r="A2" s="13" t="inlineStr">
        <is>
          <t>010000</t>
        </is>
      </c>
      <c r="B2" t="n">
        <v>0</v>
      </c>
      <c r="C2" t="n">
        <v>0.5989198074439355</v>
      </c>
      <c r="D2" t="n">
        <v>0.6178042763157893</v>
      </c>
      <c r="E2" t="n">
        <v>0.6236844513590187</v>
      </c>
      <c r="F2" t="n">
        <v>0.614639302387034</v>
      </c>
      <c r="G2" t="n">
        <v>0.6410398230088494</v>
      </c>
      <c r="H2" t="n">
        <v>0.6579215287023258</v>
      </c>
      <c r="I2" t="n">
        <v>0.6640185369083084</v>
      </c>
      <c r="J2" t="n">
        <v>0.6695053317535543</v>
      </c>
      <c r="K2" t="n">
        <v>0.6932042670881075</v>
      </c>
      <c r="L2" t="n">
        <v>0.7169694626981059</v>
      </c>
      <c r="M2" t="n">
        <v>0.7267007471490364</v>
      </c>
      <c r="N2" t="n">
        <v>0.7327559542220846</v>
      </c>
      <c r="O2" t="n">
        <v>0.7700432773417442</v>
      </c>
      <c r="P2" t="n">
        <v>0.7975089406831914</v>
      </c>
      <c r="Q2" t="n">
        <v>0.8184860557768923</v>
      </c>
      <c r="R2" t="n">
        <v>0.854245522851816</v>
      </c>
      <c r="S2" t="n">
        <v>0.8355318551782205</v>
      </c>
      <c r="T2" t="n">
        <v>0.8393105043961128</v>
      </c>
      <c r="U2" t="n">
        <v>0.8508845829823082</v>
      </c>
      <c r="V2" t="n">
        <v>0.8946190849088264</v>
      </c>
      <c r="W2" t="n">
        <v>0.9063189990537271</v>
      </c>
      <c r="X2" t="n">
        <v>0.925925925925926</v>
      </c>
      <c r="Y2" t="n">
        <v>0.9377812781278128</v>
      </c>
      <c r="Z2" t="n">
        <v>0.9672528032619776</v>
      </c>
      <c r="AA2" t="n">
        <v>0.976154117232468</v>
      </c>
      <c r="AB2" t="n">
        <v>0.9410301069917888</v>
      </c>
      <c r="AC2" t="n">
        <v>0.9736591179976162</v>
      </c>
      <c r="AD2" t="n">
        <v>1</v>
      </c>
      <c r="AE2" t="n">
        <v>1.004385070365083</v>
      </c>
      <c r="AF2" t="n">
        <v>1.06857751983892</v>
      </c>
    </row>
    <row r="3">
      <c r="A3" s="13" t="inlineStr">
        <is>
          <t>100010</t>
        </is>
      </c>
      <c r="B3" t="n">
        <v>0</v>
      </c>
      <c r="C3" t="n">
        <v>0.7053225806451611</v>
      </c>
      <c r="D3" t="n">
        <v>0.7201311885053879</v>
      </c>
      <c r="E3" t="n">
        <v>0.7273435066957332</v>
      </c>
      <c r="F3" t="n">
        <v>0.7146569032715245</v>
      </c>
      <c r="G3" t="n">
        <v>0.7362131029517637</v>
      </c>
      <c r="H3" t="n">
        <v>0.7459742351046695</v>
      </c>
      <c r="I3" t="n">
        <v>0.7545830869308098</v>
      </c>
      <c r="J3" t="n">
        <v>0.7622454595487063</v>
      </c>
      <c r="K3" t="n">
        <v>0.7823266219239369</v>
      </c>
      <c r="L3" t="n">
        <v>0.8073715058611356</v>
      </c>
      <c r="M3" t="n">
        <v>0.8192315552830568</v>
      </c>
      <c r="N3" t="n">
        <v>0.8206516389408403</v>
      </c>
      <c r="O3" t="n">
        <v>0.8404161965651245</v>
      </c>
      <c r="P3" t="n">
        <v>0.8573288206196302</v>
      </c>
      <c r="Q3" t="n">
        <v>0.8933686364183416</v>
      </c>
      <c r="R3" t="n">
        <v>0.9266515703455744</v>
      </c>
      <c r="S3" t="n">
        <v>0.915637429348964</v>
      </c>
      <c r="T3" t="n">
        <v>0.8987141444114738</v>
      </c>
      <c r="U3" t="n">
        <v>0.9097875304771856</v>
      </c>
      <c r="V3" t="n">
        <v>0.9231654308361033</v>
      </c>
      <c r="W3" t="n">
        <v>0.9275516403402188</v>
      </c>
      <c r="X3" t="n">
        <v>0.9609290878326412</v>
      </c>
      <c r="Y3" t="n">
        <v>0.9647495361781075</v>
      </c>
      <c r="Z3" t="n">
        <v>0.9754431614896732</v>
      </c>
      <c r="AA3" t="n">
        <v>0.966058228993815</v>
      </c>
      <c r="AB3" t="n">
        <v>0.9673232908458864</v>
      </c>
      <c r="AC3" t="n">
        <v>0.9924202822791426</v>
      </c>
      <c r="AD3" t="n">
        <v>1</v>
      </c>
      <c r="AE3" t="n">
        <v>1.00129515038135</v>
      </c>
      <c r="AF3" t="n">
        <v>1.065538830424937</v>
      </c>
    </row>
    <row r="4">
      <c r="A4" s="13" t="inlineStr">
        <is>
          <t>100030</t>
        </is>
      </c>
      <c r="B4" t="n">
        <v>0</v>
      </c>
      <c r="C4" t="n">
        <v>0.7053225806451611</v>
      </c>
      <c r="D4" t="n">
        <v>0.7201311885053879</v>
      </c>
      <c r="E4" t="n">
        <v>0.7273435066957332</v>
      </c>
      <c r="F4" t="n">
        <v>0.7146569032715245</v>
      </c>
      <c r="G4" t="n">
        <v>0.7362131029517637</v>
      </c>
      <c r="H4" t="n">
        <v>0.7459742351046695</v>
      </c>
      <c r="I4" t="n">
        <v>0.7545830869308098</v>
      </c>
      <c r="J4" t="n">
        <v>0.7622454595487063</v>
      </c>
      <c r="K4" t="n">
        <v>0.7823266219239369</v>
      </c>
      <c r="L4" t="n">
        <v>0.8073715058611356</v>
      </c>
      <c r="M4" t="n">
        <v>0.8192315552830568</v>
      </c>
      <c r="N4" t="n">
        <v>0.8206516389408403</v>
      </c>
      <c r="O4" t="n">
        <v>0.8404161965651245</v>
      </c>
      <c r="P4" t="n">
        <v>0.8573288206196302</v>
      </c>
      <c r="Q4" t="n">
        <v>0.8933686364183416</v>
      </c>
      <c r="R4" t="n">
        <v>0.9266515703455744</v>
      </c>
      <c r="S4" t="n">
        <v>0.915637429348964</v>
      </c>
      <c r="T4" t="n">
        <v>0.8987141444114738</v>
      </c>
      <c r="U4" t="n">
        <v>0.9097875304771856</v>
      </c>
      <c r="V4" t="n">
        <v>0.9231654308361033</v>
      </c>
      <c r="W4" t="n">
        <v>0.9275516403402188</v>
      </c>
      <c r="X4" t="n">
        <v>0.9609290878326412</v>
      </c>
      <c r="Y4" t="n">
        <v>0.9647495361781075</v>
      </c>
      <c r="Z4" t="n">
        <v>0.9754431614896732</v>
      </c>
      <c r="AA4" t="n">
        <v>0.966058228993815</v>
      </c>
      <c r="AB4" t="n">
        <v>0.9673232908458864</v>
      </c>
      <c r="AC4" t="n">
        <v>0.9924202822791426</v>
      </c>
      <c r="AD4" t="n">
        <v>1</v>
      </c>
      <c r="AE4" t="n">
        <v>1.00129515038135</v>
      </c>
      <c r="AF4" t="n">
        <v>1.065538830424937</v>
      </c>
    </row>
    <row r="5">
      <c r="A5" s="13" t="inlineStr">
        <is>
          <t>100040x100050</t>
        </is>
      </c>
      <c r="B5" t="n">
        <v>0</v>
      </c>
      <c r="C5" t="n">
        <v>0.7053225806451611</v>
      </c>
      <c r="D5" t="n">
        <v>0.7201311885053879</v>
      </c>
      <c r="E5" t="n">
        <v>0.7273435066957332</v>
      </c>
      <c r="F5" t="n">
        <v>0.7146569032715245</v>
      </c>
      <c r="G5" t="n">
        <v>0.7362131029517637</v>
      </c>
      <c r="H5" t="n">
        <v>0.7459742351046695</v>
      </c>
      <c r="I5" t="n">
        <v>0.7545830869308098</v>
      </c>
      <c r="J5" t="n">
        <v>0.7622454595487063</v>
      </c>
      <c r="K5" t="n">
        <v>0.7823266219239369</v>
      </c>
      <c r="L5" t="n">
        <v>0.8073715058611356</v>
      </c>
      <c r="M5" t="n">
        <v>0.8192315552830568</v>
      </c>
      <c r="N5" t="n">
        <v>0.8206516389408403</v>
      </c>
      <c r="O5" t="n">
        <v>0.8404161965651245</v>
      </c>
      <c r="P5" t="n">
        <v>0.8573288206196302</v>
      </c>
      <c r="Q5" t="n">
        <v>0.8933686364183416</v>
      </c>
      <c r="R5" t="n">
        <v>0.9266515703455744</v>
      </c>
      <c r="S5" t="n">
        <v>0.915637429348964</v>
      </c>
      <c r="T5" t="n">
        <v>0.8987141444114738</v>
      </c>
      <c r="U5" t="n">
        <v>0.9097875304771856</v>
      </c>
      <c r="V5" t="n">
        <v>0.9231654308361033</v>
      </c>
      <c r="W5" t="n">
        <v>0.9275516403402188</v>
      </c>
      <c r="X5" t="n">
        <v>0.9609290878326412</v>
      </c>
      <c r="Y5" t="n">
        <v>0.9647495361781075</v>
      </c>
      <c r="Z5" t="n">
        <v>0.9754431614896732</v>
      </c>
      <c r="AA5" t="n">
        <v>0.966058228993815</v>
      </c>
      <c r="AB5" t="n">
        <v>0.9673232908458864</v>
      </c>
      <c r="AC5" t="n">
        <v>0.9924202822791426</v>
      </c>
      <c r="AD5" t="n">
        <v>1</v>
      </c>
      <c r="AE5" t="n">
        <v>1.00129515038135</v>
      </c>
      <c r="AF5" t="n">
        <v>1.065538830424937</v>
      </c>
    </row>
    <row r="6">
      <c r="A6" s="13" t="inlineStr">
        <is>
          <t>REST</t>
        </is>
      </c>
      <c r="B6" t="n">
        <v>0</v>
      </c>
      <c r="C6" t="n">
        <v>0.7182495999755854</v>
      </c>
      <c r="D6" t="n">
        <v>0.7281397176140528</v>
      </c>
      <c r="E6" t="n">
        <v>0.730996189363915</v>
      </c>
      <c r="F6" t="n">
        <v>0.7345885395703692</v>
      </c>
      <c r="G6" t="n">
        <v>0.7445091485431162</v>
      </c>
      <c r="H6" t="n">
        <v>0.7477642594876761</v>
      </c>
      <c r="I6" t="n">
        <v>0.7617413121483563</v>
      </c>
      <c r="J6" t="n">
        <v>0.77419427763521</v>
      </c>
      <c r="K6" t="n">
        <v>0.7963037138826199</v>
      </c>
      <c r="L6" t="n">
        <v>0.8118575709773777</v>
      </c>
      <c r="M6" t="n">
        <v>0.8161229806550341</v>
      </c>
      <c r="N6" t="n">
        <v>0.8253766309139056</v>
      </c>
      <c r="O6" t="n">
        <v>0.8388354903455422</v>
      </c>
      <c r="P6" t="n">
        <v>0.8603062637549381</v>
      </c>
      <c r="Q6" t="n">
        <v>0.8924810822957738</v>
      </c>
      <c r="R6" t="n">
        <v>0.926453446750643</v>
      </c>
      <c r="S6" t="n">
        <v>0.8937871001381551</v>
      </c>
      <c r="T6" t="n">
        <v>0.8955084993360559</v>
      </c>
      <c r="U6" t="n">
        <v>0.9117454593916272</v>
      </c>
      <c r="V6" t="n">
        <v>0.9319318020262508</v>
      </c>
      <c r="W6" t="n">
        <v>0.9361297731678622</v>
      </c>
      <c r="X6" t="n">
        <v>0.9360686014595944</v>
      </c>
      <c r="Y6" t="n">
        <v>0.9450448370799188</v>
      </c>
      <c r="Z6" t="n">
        <v>0.9598477738374428</v>
      </c>
      <c r="AA6" t="n">
        <v>0.9692047204153046</v>
      </c>
      <c r="AB6" t="n">
        <v>0.9795107214649512</v>
      </c>
      <c r="AC6" t="n">
        <v>0.9943979266349776</v>
      </c>
      <c r="AD6" t="n">
        <v>1</v>
      </c>
      <c r="AE6" t="n">
        <v>1.018521270535452</v>
      </c>
      <c r="AF6" t="n">
        <v>1.104939152423639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ANVENDELSE</t>
        </is>
      </c>
      <c r="B1" s="13" t="n">
        <v>1966</v>
      </c>
      <c r="C1" s="13" t="n">
        <v>1967</v>
      </c>
      <c r="D1" s="13" t="n">
        <v>1968</v>
      </c>
      <c r="E1" s="13" t="n">
        <v>1969</v>
      </c>
      <c r="F1" s="13" t="n">
        <v>1970</v>
      </c>
      <c r="G1" s="13" t="n">
        <v>1971</v>
      </c>
      <c r="H1" s="13" t="n">
        <v>1972</v>
      </c>
      <c r="I1" s="13" t="n">
        <v>1973</v>
      </c>
      <c r="J1" s="13" t="n">
        <v>1974</v>
      </c>
      <c r="K1" s="13" t="n">
        <v>1975</v>
      </c>
      <c r="L1" s="13" t="n">
        <v>1976</v>
      </c>
      <c r="M1" s="13" t="n">
        <v>1977</v>
      </c>
      <c r="N1" s="13" t="n">
        <v>1978</v>
      </c>
      <c r="O1" s="13" t="n">
        <v>1979</v>
      </c>
      <c r="P1" s="13" t="n">
        <v>1980</v>
      </c>
      <c r="Q1" s="13" t="n">
        <v>1981</v>
      </c>
      <c r="R1" s="13" t="n">
        <v>1982</v>
      </c>
      <c r="S1" s="13" t="n">
        <v>1983</v>
      </c>
      <c r="T1" s="13" t="n">
        <v>1984</v>
      </c>
      <c r="U1" s="13" t="n">
        <v>1985</v>
      </c>
      <c r="V1" s="13" t="n">
        <v>1986</v>
      </c>
      <c r="W1" s="13" t="n">
        <v>1987</v>
      </c>
      <c r="X1" s="13" t="n">
        <v>1988</v>
      </c>
      <c r="Y1" s="13" t="n">
        <v>1989</v>
      </c>
      <c r="Z1" s="13" t="n">
        <v>1990</v>
      </c>
      <c r="AA1" s="13" t="n">
        <v>1991</v>
      </c>
      <c r="AB1" s="13" t="n">
        <v>1992</v>
      </c>
      <c r="AC1" s="13" t="n">
        <v>1993</v>
      </c>
      <c r="AD1" s="13" t="n">
        <v>1994</v>
      </c>
      <c r="AE1" s="13" t="n">
        <v>1995</v>
      </c>
      <c r="AF1" s="13" t="n">
        <v>1996</v>
      </c>
      <c r="AG1" s="13" t="n">
        <v>1997</v>
      </c>
      <c r="AH1" s="13" t="n">
        <v>1998</v>
      </c>
      <c r="AI1" s="13" t="n">
        <v>1999</v>
      </c>
      <c r="AJ1" s="13" t="n">
        <v>2000</v>
      </c>
      <c r="AK1" s="13" t="n">
        <v>2001</v>
      </c>
      <c r="AL1" s="13" t="n">
        <v>2002</v>
      </c>
      <c r="AM1" s="13" t="n">
        <v>2003</v>
      </c>
      <c r="AN1" s="13" t="n">
        <v>2004</v>
      </c>
      <c r="AO1" s="13" t="n">
        <v>2005</v>
      </c>
      <c r="AP1" s="13" t="n">
        <v>2006</v>
      </c>
      <c r="AQ1" s="13" t="n">
        <v>2007</v>
      </c>
      <c r="AR1" s="13" t="n">
        <v>2008</v>
      </c>
      <c r="AS1" s="13" t="n">
        <v>2009</v>
      </c>
      <c r="AT1" s="13" t="n">
        <v>2010</v>
      </c>
      <c r="AU1" s="13" t="n">
        <v>2011</v>
      </c>
      <c r="AV1" s="13" t="n">
        <v>2012</v>
      </c>
      <c r="AW1" s="13" t="n">
        <v>2013</v>
      </c>
      <c r="AX1" s="13" t="n">
        <v>2014</v>
      </c>
      <c r="AY1" s="13" t="n">
        <v>2015</v>
      </c>
      <c r="AZ1" s="13" t="n">
        <v>2016</v>
      </c>
      <c r="BA1" s="13" t="n">
        <v>2017</v>
      </c>
      <c r="BB1" s="13" t="n">
        <v>2018</v>
      </c>
      <c r="BC1" s="13" t="n">
        <v>2019</v>
      </c>
      <c r="BD1" s="13" t="n">
        <v>2020</v>
      </c>
      <c r="BE1" s="13" t="n">
        <v>2021</v>
      </c>
      <c r="BF1" s="13" t="n">
        <v>2022</v>
      </c>
    </row>
    <row r="2">
      <c r="A2" s="13" t="inlineStr">
        <is>
          <t>010000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8517.000000000002</v>
      </c>
      <c r="AD2" t="n">
        <v>9728.000000000004</v>
      </c>
      <c r="AE2" t="n">
        <v>10927</v>
      </c>
      <c r="AF2" t="n">
        <v>11353</v>
      </c>
      <c r="AG2" t="n">
        <v>12656</v>
      </c>
      <c r="AH2" t="n">
        <v>12769</v>
      </c>
      <c r="AI2" t="n">
        <v>12084</v>
      </c>
      <c r="AJ2" t="n">
        <v>13504</v>
      </c>
      <c r="AK2" t="n">
        <v>15186</v>
      </c>
      <c r="AL2" t="n">
        <v>12935</v>
      </c>
      <c r="AM2" t="n">
        <v>12715</v>
      </c>
      <c r="AN2" t="n">
        <v>12932</v>
      </c>
      <c r="AO2" t="n">
        <v>13633</v>
      </c>
      <c r="AP2" t="n">
        <v>16218</v>
      </c>
      <c r="AQ2" t="n">
        <v>18825</v>
      </c>
      <c r="AR2" t="n">
        <v>17701.00000000001</v>
      </c>
      <c r="AS2" t="n">
        <v>10689</v>
      </c>
      <c r="AT2" t="n">
        <v>8644.000000000002</v>
      </c>
      <c r="AU2" t="n">
        <v>8309.000000000002</v>
      </c>
      <c r="AV2" t="n">
        <v>8939.000000000002</v>
      </c>
      <c r="AW2" t="n">
        <v>9511.000000000002</v>
      </c>
      <c r="AX2" t="n">
        <v>8883</v>
      </c>
      <c r="AY2" t="n">
        <v>8888</v>
      </c>
      <c r="AZ2" t="n">
        <v>7847.999999999999</v>
      </c>
      <c r="BA2" t="n">
        <v>8513</v>
      </c>
      <c r="BB2" t="n">
        <v>8038.000000000001</v>
      </c>
      <c r="BC2" t="n">
        <v>8390</v>
      </c>
      <c r="BD2" t="n">
        <v>8046</v>
      </c>
      <c r="BE2" t="n">
        <v>9806</v>
      </c>
      <c r="BF2" t="n">
        <v>8443</v>
      </c>
    </row>
    <row r="3">
      <c r="A3" s="13" t="inlineStr">
        <is>
          <t>100010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1778.252802057417</v>
      </c>
      <c r="AD3" t="n">
        <v>1985.062029427436</v>
      </c>
      <c r="AE3" t="n">
        <v>1727.426923040465</v>
      </c>
      <c r="AF3" t="n">
        <v>2317.135993693523</v>
      </c>
      <c r="AG3" t="n">
        <v>1874.788958422759</v>
      </c>
      <c r="AH3" t="n">
        <v>2139.462432122871</v>
      </c>
      <c r="AI3" t="n">
        <v>1920.43132224615</v>
      </c>
      <c r="AJ3" t="n">
        <v>2437.899757542196</v>
      </c>
      <c r="AK3" t="n">
        <v>2488.717183191892</v>
      </c>
      <c r="AL3" t="n">
        <v>2369.845604456204</v>
      </c>
      <c r="AM3" t="n">
        <v>2780.556819002169</v>
      </c>
      <c r="AN3" t="n">
        <v>2777.075993284514</v>
      </c>
      <c r="AO3" t="n">
        <v>2006.98167458339</v>
      </c>
      <c r="AP3" t="n">
        <v>1973.517864957526</v>
      </c>
      <c r="AQ3" t="n">
        <v>2131.624210061263</v>
      </c>
      <c r="AR3" t="n">
        <v>2660.354188348314</v>
      </c>
      <c r="AS3" t="n">
        <v>2544.142092238516</v>
      </c>
      <c r="AT3" t="n">
        <v>1335.010997954733</v>
      </c>
      <c r="AU3" t="n">
        <v>1453.241973060337</v>
      </c>
      <c r="AV3" t="n">
        <v>2062.040143103858</v>
      </c>
      <c r="AW3" t="n">
        <v>1678.357115278408</v>
      </c>
      <c r="AX3" t="n">
        <v>1616.117696549883</v>
      </c>
      <c r="AY3" t="n">
        <v>1478.5739545222</v>
      </c>
      <c r="AZ3" t="n">
        <v>1519.082740552616</v>
      </c>
      <c r="BA3" t="n">
        <v>1558.906651711799</v>
      </c>
      <c r="BB3" t="n">
        <v>2226.113428299432</v>
      </c>
      <c r="BC3" t="n">
        <v>1974.621326065905</v>
      </c>
      <c r="BD3" t="n">
        <v>1698.309955672348</v>
      </c>
      <c r="BE3" t="n">
        <v>1859.660817322486</v>
      </c>
      <c r="BF3" t="n">
        <v>1979.674615726513</v>
      </c>
    </row>
    <row r="4">
      <c r="A4" s="13" t="inlineStr">
        <is>
          <t>100030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n">
        <v>819.3684667454238</v>
      </c>
      <c r="AD4" t="n">
        <v>773.3040190034815</v>
      </c>
      <c r="AE4" t="n">
        <v>837.4762100665739</v>
      </c>
      <c r="AF4" t="n">
        <v>1081.578896542272</v>
      </c>
      <c r="AG4" t="n">
        <v>886.7767069858629</v>
      </c>
      <c r="AH4" t="n">
        <v>923.4163335649764</v>
      </c>
      <c r="AI4" t="n">
        <v>867.3687720302535</v>
      </c>
      <c r="AJ4" t="n">
        <v>1370.843128711736</v>
      </c>
      <c r="AK4" t="n">
        <v>1249.708252315817</v>
      </c>
      <c r="AL4" t="n">
        <v>1284.4341894531</v>
      </c>
      <c r="AM4" t="n">
        <v>1461.417473830608</v>
      </c>
      <c r="AN4" t="n">
        <v>1544.095259512199</v>
      </c>
      <c r="AO4" t="n">
        <v>1215.647733944203</v>
      </c>
      <c r="AP4" t="n">
        <v>1091.894556764174</v>
      </c>
      <c r="AQ4" t="n">
        <v>1174.417215322558</v>
      </c>
      <c r="AR4" t="n">
        <v>1509.164753350102</v>
      </c>
      <c r="AS4" t="n">
        <v>1423.772946683121</v>
      </c>
      <c r="AT4" t="n">
        <v>817.5870196662796</v>
      </c>
      <c r="AU4" t="n">
        <v>942.2250893087411</v>
      </c>
      <c r="AV4" t="n">
        <v>1444.537514115862</v>
      </c>
      <c r="AW4" t="n">
        <v>959.2105112710651</v>
      </c>
      <c r="AX4" t="n">
        <v>1023.736978797071</v>
      </c>
      <c r="AY4" t="n">
        <v>1149.796905375588</v>
      </c>
      <c r="AZ4" t="n">
        <v>1171.746825173172</v>
      </c>
      <c r="BA4" t="n">
        <v>1176.56071687566</v>
      </c>
      <c r="BB4" t="n">
        <v>1327.486956549545</v>
      </c>
      <c r="BC4" t="n">
        <v>1411.923873227629</v>
      </c>
      <c r="BD4" t="n">
        <v>1013.497919020691</v>
      </c>
      <c r="BE4" t="n">
        <v>1258.07562815394</v>
      </c>
      <c r="BF4" t="n">
        <v>1326.191695462704</v>
      </c>
    </row>
    <row r="5">
      <c r="A5" s="13" t="inlineStr">
        <is>
          <t>100040x100050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2365.247763371727</v>
      </c>
      <c r="AD5" t="n">
        <v>2397.19807553161</v>
      </c>
      <c r="AE5" t="n">
        <v>2423.616424827463</v>
      </c>
      <c r="AF5" t="n">
        <v>3249.554262136933</v>
      </c>
      <c r="AG5" t="n">
        <v>2606.853075599714</v>
      </c>
      <c r="AH5" t="n">
        <v>2791.115504368738</v>
      </c>
      <c r="AI5" t="n">
        <v>2506.219902629443</v>
      </c>
      <c r="AJ5" t="n">
        <v>3399.231983137049</v>
      </c>
      <c r="AK5" t="n">
        <v>3394.031043930404</v>
      </c>
      <c r="AL5" t="n">
        <v>3448.956692214083</v>
      </c>
      <c r="AM5" t="n">
        <v>3542.867792168003</v>
      </c>
      <c r="AN5" t="n">
        <v>3822.087691516766</v>
      </c>
      <c r="AO5" t="n">
        <v>3027.159527734477</v>
      </c>
      <c r="AP5" t="n">
        <v>2964.428019341557</v>
      </c>
      <c r="AQ5" t="n">
        <v>3269.73483537031</v>
      </c>
      <c r="AR5" t="n">
        <v>4149.497461718901</v>
      </c>
      <c r="AS5" t="n">
        <v>3688.487666545234</v>
      </c>
      <c r="AT5" t="n">
        <v>1935.839713683792</v>
      </c>
      <c r="AU5" t="n">
        <v>2301.488550345808</v>
      </c>
      <c r="AV5" t="n">
        <v>2898.482522261369</v>
      </c>
      <c r="AW5" t="n">
        <v>2787.107810285651</v>
      </c>
      <c r="AX5" t="n">
        <v>2657.194588159004</v>
      </c>
      <c r="AY5" t="n">
        <v>2235.496154574492</v>
      </c>
      <c r="AZ5" t="n">
        <v>2499.063851245864</v>
      </c>
      <c r="BA5" t="n">
        <v>2803.226497766273</v>
      </c>
      <c r="BB5" t="n">
        <v>3639.624969122371</v>
      </c>
      <c r="BC5" t="n">
        <v>3081.062601902873</v>
      </c>
      <c r="BD5" t="n">
        <v>2464.414674194015</v>
      </c>
      <c r="BE5" t="n">
        <v>2780.894846070511</v>
      </c>
      <c r="BF5" t="n">
        <v>2955.796697824812</v>
      </c>
    </row>
    <row r="6">
      <c r="A6" s="13" t="inlineStr">
        <is>
          <t>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220178.333556156</v>
      </c>
      <c r="AD6" t="n">
        <v>234877.999184561</v>
      </c>
      <c r="AE6" t="n">
        <v>259916.539599651</v>
      </c>
      <c r="AF6" t="n">
        <v>272174.1345392271</v>
      </c>
      <c r="AG6" t="n">
        <v>301814.9614947101</v>
      </c>
      <c r="AH6" t="n">
        <v>322655.1642964374</v>
      </c>
      <c r="AI6" t="n">
        <v>323133.3210821854</v>
      </c>
      <c r="AJ6" t="n">
        <v>346923.2565505401</v>
      </c>
      <c r="AK6" t="n">
        <v>344435.163642135</v>
      </c>
      <c r="AL6" t="n">
        <v>337674.9934966598</v>
      </c>
      <c r="AM6" t="n">
        <v>343777.8455580479</v>
      </c>
      <c r="AN6" t="n">
        <v>356264.0241878527</v>
      </c>
      <c r="AO6" t="n">
        <v>380831.5261773279</v>
      </c>
      <c r="AP6" t="n">
        <v>433235.2508666256</v>
      </c>
      <c r="AQ6" t="n">
        <v>433375.0122804497</v>
      </c>
      <c r="AR6" t="n">
        <v>421609.9593238724</v>
      </c>
      <c r="AS6" t="n">
        <v>369212.0863559023</v>
      </c>
      <c r="AT6" t="n">
        <v>351103.3119541724</v>
      </c>
      <c r="AU6" t="n">
        <v>354451.9982755263</v>
      </c>
      <c r="AV6" t="n">
        <v>365512.7974594057</v>
      </c>
      <c r="AW6" t="n">
        <v>373114.9355692676</v>
      </c>
      <c r="AX6" t="n">
        <v>393560.8986622997</v>
      </c>
      <c r="AY6" t="n">
        <v>410542.4259009945</v>
      </c>
      <c r="AZ6" t="n">
        <v>445290.4008843231</v>
      </c>
      <c r="BA6" t="n">
        <v>464444.7045275574</v>
      </c>
      <c r="BB6" t="n">
        <v>482229.53526589</v>
      </c>
      <c r="BC6" t="n">
        <v>478827.4263717193</v>
      </c>
      <c r="BD6" t="n">
        <v>501927</v>
      </c>
      <c r="BE6" t="n">
        <v>565242</v>
      </c>
      <c r="BF6" t="n">
        <v>576240.7808641774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Hedeboe</dc:creator>
  <dcterms:created xmlns:dcterms="http://purl.org/dc/terms/" xmlns:xsi="http://www.w3.org/2001/XMLSchema-instance" xsi:type="dcterms:W3CDTF">2020-09-14T10:15:36Z</dcterms:created>
  <dcterms:modified xmlns:dcterms="http://purl.org/dc/terms/" xmlns:xsi="http://www.w3.org/2001/XMLSchema-instance" xsi:type="dcterms:W3CDTF">2026-04-28T12:08:25Z</dcterms:modified>
  <cp:lastModifiedBy>Caroline Hedeboe</cp:lastModifiedBy>
</cp:coreProperties>
</file>