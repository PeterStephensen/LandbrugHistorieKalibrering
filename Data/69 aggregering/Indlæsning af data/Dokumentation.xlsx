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carhed\LF27\LandbrugHistorieKalibrering - Kopi\Data\Indlæsning af data\"/>
    </mc:Choice>
  </mc:AlternateContent>
  <xr:revisionPtr revIDLastSave="0" documentId="13_ncr:2001_{A168B8D0-5465-450A-8A6B-BB6A2AE5DFAF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Figurer" sheetId="1" r:id="rId1"/>
    <sheet name="Ark1" sheetId="2" r:id="rId2"/>
    <sheet name="10120" sheetId="42" r:id="rId3"/>
    <sheet name="Y" sheetId="3" r:id="rId4"/>
    <sheet name="Mtot" sheetId="4" r:id="rId5"/>
    <sheet name="K" sheetId="5" r:id="rId6"/>
    <sheet name="L" sheetId="6" r:id="rId7"/>
    <sheet name="P" sheetId="7" r:id="rId8"/>
    <sheet name="w" sheetId="8" r:id="rId9"/>
    <sheet name="P_K" sheetId="9" r:id="rId10"/>
    <sheet name="KL" sheetId="10" r:id="rId11"/>
    <sheet name="JKL" sheetId="11" r:id="rId12"/>
    <sheet name="P_KL" sheetId="12" r:id="rId13"/>
    <sheet name="P_JKL" sheetId="13" r:id="rId14"/>
    <sheet name="P_O" sheetId="14" r:id="rId15"/>
    <sheet name="mu_Y_Mtot" sheetId="15" r:id="rId16"/>
    <sheet name="mu_Y_KL" sheetId="16" r:id="rId17"/>
    <sheet name="mu_Y_JKL" sheetId="17" r:id="rId18"/>
    <sheet name="mu_JKL_J" sheetId="18" r:id="rId19"/>
    <sheet name="mu_JKL_KL" sheetId="19" r:id="rId20"/>
    <sheet name="mu_KL_K" sheetId="20" r:id="rId21"/>
    <sheet name="mu_KL_L" sheetId="21" r:id="rId22"/>
    <sheet name="markup" sheetId="22" r:id="rId23"/>
    <sheet name="tau_Y" sheetId="23" r:id="rId24"/>
    <sheet name="J" sheetId="24" r:id="rId25"/>
    <sheet name="I" sheetId="25" r:id="rId26"/>
    <sheet name="P_Mtot" sheetId="26" r:id="rId27"/>
    <sheet name="P_J" sheetId="27" r:id="rId28"/>
    <sheet name="P_Jord" sheetId="28" r:id="rId29"/>
    <sheet name="P_I" sheetId="29" r:id="rId30"/>
    <sheet name="tau_MD" sheetId="30" r:id="rId31"/>
    <sheet name="tau_MF" sheetId="31" r:id="rId32"/>
    <sheet name="theta_Y_Mtot" sheetId="32" r:id="rId33"/>
    <sheet name="theta_Y_KL" sheetId="33" r:id="rId34"/>
    <sheet name="theta_Y_JKL" sheetId="34" r:id="rId35"/>
    <sheet name="theta_KL_K" sheetId="35" r:id="rId36"/>
    <sheet name="theta_KL_L" sheetId="36" r:id="rId37"/>
    <sheet name="theta_Mtot_M" sheetId="37" r:id="rId38"/>
    <sheet name="theta_MD" sheetId="38" r:id="rId39"/>
    <sheet name="theta_MF" sheetId="39" r:id="rId40"/>
    <sheet name="theta_JKL_J" sheetId="40" r:id="rId41"/>
    <sheet name="theta_JKL_KL" sheetId="41" r:id="rId4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2" l="1"/>
  <c r="D3" i="42"/>
  <c r="E3" i="42"/>
  <c r="F3" i="42"/>
  <c r="G3" i="42"/>
  <c r="H3" i="42"/>
  <c r="I3" i="42"/>
  <c r="J3" i="42"/>
  <c r="K3" i="42"/>
  <c r="L3" i="42"/>
  <c r="M3" i="42"/>
  <c r="N3" i="42"/>
  <c r="O3" i="42"/>
  <c r="P3" i="42"/>
  <c r="Q3" i="42"/>
  <c r="R3" i="42"/>
  <c r="S3" i="42"/>
  <c r="T3" i="42"/>
  <c r="U3" i="42"/>
  <c r="V3" i="42"/>
  <c r="W3" i="42"/>
  <c r="X3" i="42"/>
  <c r="Y3" i="42"/>
  <c r="Z3" i="42"/>
  <c r="AA3" i="42"/>
  <c r="AB3" i="42"/>
  <c r="AC3" i="42"/>
  <c r="AD3" i="42"/>
  <c r="AE3" i="42"/>
  <c r="C4" i="42"/>
  <c r="D4" i="42"/>
  <c r="E4" i="42"/>
  <c r="F4" i="42"/>
  <c r="G4" i="42"/>
  <c r="H4" i="42"/>
  <c r="I4" i="42"/>
  <c r="J4" i="42"/>
  <c r="K4" i="42"/>
  <c r="L4" i="42"/>
  <c r="M4" i="42"/>
  <c r="N4" i="42"/>
  <c r="O4" i="42"/>
  <c r="P4" i="42"/>
  <c r="Q4" i="42"/>
  <c r="R4" i="42"/>
  <c r="S4" i="42"/>
  <c r="T4" i="42"/>
  <c r="U4" i="42"/>
  <c r="V4" i="42"/>
  <c r="W4" i="42"/>
  <c r="X4" i="42"/>
  <c r="Y4" i="42"/>
  <c r="Z4" i="42"/>
  <c r="AA4" i="42"/>
  <c r="AB4" i="42"/>
  <c r="AC4" i="42"/>
  <c r="AD4" i="42"/>
  <c r="AE4" i="42"/>
  <c r="C5" i="42"/>
  <c r="D5" i="42"/>
  <c r="E5" i="42"/>
  <c r="F5" i="42"/>
  <c r="G5" i="42"/>
  <c r="H5" i="42"/>
  <c r="I5" i="42"/>
  <c r="J5" i="42"/>
  <c r="K5" i="42"/>
  <c r="L5" i="42"/>
  <c r="M5" i="42"/>
  <c r="N5" i="42"/>
  <c r="O5" i="42"/>
  <c r="P5" i="42"/>
  <c r="Q5" i="42"/>
  <c r="R5" i="42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C6" i="42"/>
  <c r="D6" i="42"/>
  <c r="E6" i="42"/>
  <c r="F6" i="42"/>
  <c r="G6" i="42"/>
  <c r="H6" i="42"/>
  <c r="I6" i="42"/>
  <c r="J6" i="42"/>
  <c r="K6" i="42"/>
  <c r="L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C7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C8" i="42"/>
  <c r="D8" i="42"/>
  <c r="E8" i="42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C11" i="42"/>
  <c r="D11" i="42"/>
  <c r="E11" i="42"/>
  <c r="F11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C12" i="42"/>
  <c r="D12" i="42"/>
  <c r="E12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C15" i="42"/>
  <c r="D15" i="42"/>
  <c r="E15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C16" i="42"/>
  <c r="D16" i="42"/>
  <c r="E16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C17" i="42"/>
  <c r="D17" i="42"/>
  <c r="E17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C20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AD20" i="42"/>
  <c r="AE20" i="42"/>
  <c r="C21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C22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B22" i="42"/>
  <c r="B21" i="42"/>
  <c r="B20" i="42"/>
  <c r="B17" i="42"/>
  <c r="B16" i="42"/>
  <c r="B15" i="42"/>
  <c r="B14" i="42"/>
  <c r="B13" i="42"/>
  <c r="B12" i="42"/>
  <c r="B11" i="42"/>
  <c r="B8" i="42"/>
  <c r="B7" i="42"/>
  <c r="B6" i="42"/>
  <c r="B5" i="42"/>
  <c r="B3" i="42"/>
  <c r="B4" i="42"/>
  <c r="AD13" i="2"/>
  <c r="AE13" i="2" s="1"/>
  <c r="AC13" i="2"/>
  <c r="AB13" i="2" s="1"/>
  <c r="AA13" i="2" s="1"/>
  <c r="Z13" i="2" s="1"/>
  <c r="Y13" i="2" s="1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F11" i="2"/>
  <c r="AE11" i="2"/>
  <c r="AD11" i="2"/>
  <c r="AD14" i="2" s="1"/>
  <c r="AD16" i="2" s="1"/>
  <c r="AC11" i="2"/>
  <c r="AC14" i="2" s="1"/>
  <c r="AC16" i="2" s="1"/>
  <c r="AB11" i="2"/>
  <c r="AB14" i="2" s="1"/>
  <c r="AB16" i="2" s="1"/>
  <c r="AA11" i="2"/>
  <c r="AA14" i="2" s="1"/>
  <c r="AA16" i="2" s="1"/>
  <c r="Z11" i="2"/>
  <c r="Z14" i="2" s="1"/>
  <c r="Z16" i="2" s="1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E14" i="2" l="1"/>
  <c r="AE16" i="2" s="1"/>
  <c r="Y14" i="2"/>
  <c r="Y16" i="2" s="1"/>
  <c r="X13" i="2"/>
  <c r="W13" i="2" s="1"/>
  <c r="V13" i="2" l="1"/>
  <c r="W14" i="2"/>
  <c r="W16" i="2" s="1"/>
  <c r="X14" i="2"/>
  <c r="X16" i="2" s="1"/>
  <c r="V14" i="2" l="1"/>
  <c r="V16" i="2" s="1"/>
  <c r="U13" i="2"/>
  <c r="U14" i="2" l="1"/>
  <c r="U16" i="2" s="1"/>
  <c r="T13" i="2"/>
  <c r="T14" i="2" l="1"/>
  <c r="T16" i="2" s="1"/>
  <c r="S13" i="2"/>
  <c r="S14" i="2" l="1"/>
  <c r="S16" i="2" s="1"/>
  <c r="R13" i="2"/>
  <c r="R14" i="2" l="1"/>
  <c r="R16" i="2" s="1"/>
  <c r="Q13" i="2"/>
  <c r="P13" i="2" l="1"/>
  <c r="Q14" i="2"/>
  <c r="Q16" i="2" s="1"/>
  <c r="O13" i="2" l="1"/>
  <c r="P14" i="2"/>
  <c r="P16" i="2" s="1"/>
  <c r="N13" i="2" l="1"/>
  <c r="O14" i="2"/>
  <c r="O16" i="2" s="1"/>
  <c r="M13" i="2" l="1"/>
  <c r="N14" i="2"/>
  <c r="N16" i="2" s="1"/>
  <c r="L13" i="2" l="1"/>
  <c r="M14" i="2"/>
  <c r="M16" i="2" s="1"/>
  <c r="K13" i="2" l="1"/>
  <c r="L14" i="2"/>
  <c r="L16" i="2" s="1"/>
  <c r="J13" i="2" l="1"/>
  <c r="K14" i="2"/>
  <c r="K16" i="2" s="1"/>
  <c r="I13" i="2" l="1"/>
  <c r="J14" i="2"/>
  <c r="J16" i="2" s="1"/>
  <c r="H13" i="2" l="1"/>
  <c r="I14" i="2"/>
  <c r="I16" i="2" s="1"/>
  <c r="G13" i="2" l="1"/>
  <c r="H14" i="2"/>
  <c r="H16" i="2" s="1"/>
  <c r="F13" i="2" l="1"/>
  <c r="G14" i="2"/>
  <c r="G16" i="2" s="1"/>
  <c r="F14" i="2" l="1"/>
  <c r="F16" i="2" s="1"/>
  <c r="E13" i="2"/>
  <c r="E14" i="2" l="1"/>
  <c r="E16" i="2" s="1"/>
  <c r="D13" i="2"/>
  <c r="D14" i="2" l="1"/>
  <c r="D16" i="2" s="1"/>
  <c r="C13" i="2"/>
  <c r="B13" i="2" l="1"/>
  <c r="B14" i="2" s="1"/>
  <c r="B16" i="2" s="1"/>
  <c r="C14" i="2"/>
  <c r="C16" i="2" s="1"/>
</calcChain>
</file>

<file path=xl/sharedStrings.xml><?xml version="1.0" encoding="utf-8"?>
<sst xmlns="http://schemas.openxmlformats.org/spreadsheetml/2006/main" count="289" uniqueCount="41">
  <si>
    <t>Ratioer</t>
  </si>
  <si>
    <t>Kapital-output-ratio (K/Y)</t>
  </si>
  <si>
    <t>Landbrug</t>
  </si>
  <si>
    <t>Føde- drikke og tobaksvareindustri</t>
  </si>
  <si>
    <t>Resten af økonomien</t>
  </si>
  <si>
    <t>Arbejdskraft-output-ratio (L/Y)</t>
  </si>
  <si>
    <t>Materiale-output-ratio (Mtot/Y)</t>
  </si>
  <si>
    <t>Kapital pr arbejdstime (K/L)</t>
  </si>
  <si>
    <t>Produktionsværdi (mio.kr.)</t>
  </si>
  <si>
    <t>ANVENDELSE</t>
  </si>
  <si>
    <t>L</t>
  </si>
  <si>
    <t>KL</t>
  </si>
  <si>
    <t>w</t>
  </si>
  <si>
    <t>P_KL</t>
  </si>
  <si>
    <t>EKL</t>
  </si>
  <si>
    <t>lon lob</t>
  </si>
  <si>
    <t>lon for</t>
  </si>
  <si>
    <t>Pt</t>
  </si>
  <si>
    <t>Xt</t>
  </si>
  <si>
    <t>01000</t>
  </si>
  <si>
    <t>10120</t>
  </si>
  <si>
    <t>Privat</t>
  </si>
  <si>
    <t>REST</t>
  </si>
  <si>
    <t>TILGANG2</t>
  </si>
  <si>
    <t>Mængder</t>
  </si>
  <si>
    <t>Y</t>
  </si>
  <si>
    <t>K</t>
  </si>
  <si>
    <t>Mtot</t>
  </si>
  <si>
    <t>J</t>
  </si>
  <si>
    <t>I</t>
  </si>
  <si>
    <t>Priser</t>
  </si>
  <si>
    <t>p_Y</t>
  </si>
  <si>
    <t>P_K</t>
  </si>
  <si>
    <t>P_Mtot</t>
  </si>
  <si>
    <t>P_J</t>
  </si>
  <si>
    <t>P_I</t>
  </si>
  <si>
    <t>P_Jord</t>
  </si>
  <si>
    <t>Andet</t>
  </si>
  <si>
    <t>Subsidiesats</t>
  </si>
  <si>
    <t>Afgift indenlandsk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</si>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</sst>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</font>
    <font>
      <b/>
      <sz val="11"/>
      <name val="Arial"/>
    </font>
    <font>
      <sz val="11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0" xfId="0" applyFont="1"/>
    <xf numFmtId="0" fontId="1" fillId="0" borderId="0" xfId="0" applyFont="1"/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Figurer!$B$4</c:f>
              <c:strCache>
                <c:ptCount val="1"/>
                <c:pt idx="0">
                  <c:v>Landbrug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Figurer!$C$4:$AF$4</c:f>
              <c:numCache>
                <c:formatCode>General</c:formatCode>
                <c:ptCount val="30"/>
                <c:pt idx="0">
                  <c:v>3.8077252979445113</c:v>
                </c:pt>
                <c:pt idx="1">
                  <c:v>3.7963421735130507</c:v>
                </c:pt>
                <c:pt idx="2">
                  <c:v>3.7117404503879627</c:v>
                </c:pt>
                <c:pt idx="3">
                  <c:v>3.6385806162363425</c:v>
                </c:pt>
                <c:pt idx="4">
                  <c:v>3.5119003532957858</c:v>
                </c:pt>
                <c:pt idx="5">
                  <c:v>3.4295951039895831</c:v>
                </c:pt>
                <c:pt idx="6">
                  <c:v>3.3311872386422294</c:v>
                </c:pt>
                <c:pt idx="7">
                  <c:v>3.2511994824420172</c:v>
                </c:pt>
                <c:pt idx="8">
                  <c:v>3.2921760920621899</c:v>
                </c:pt>
                <c:pt idx="9">
                  <c:v>3.2198581047433135</c:v>
                </c:pt>
                <c:pt idx="10">
                  <c:v>3.1861104113712519</c:v>
                </c:pt>
                <c:pt idx="11">
                  <c:v>3.1220867418539031</c:v>
                </c:pt>
                <c:pt idx="12">
                  <c:v>3.1630655300428514</c:v>
                </c:pt>
                <c:pt idx="13">
                  <c:v>3.1188606601049655</c:v>
                </c:pt>
                <c:pt idx="14">
                  <c:v>3.0233759683776276</c:v>
                </c:pt>
                <c:pt idx="15">
                  <c:v>3.3126754637363596</c:v>
                </c:pt>
                <c:pt idx="16">
                  <c:v>3.2544970855264457</c:v>
                </c:pt>
                <c:pt idx="17">
                  <c:v>3.0266334455879362</c:v>
                </c:pt>
                <c:pt idx="18">
                  <c:v>3.0196825228925812</c:v>
                </c:pt>
                <c:pt idx="19">
                  <c:v>2.8999906133579945</c:v>
                </c:pt>
                <c:pt idx="20">
                  <c:v>2.8986267962474388</c:v>
                </c:pt>
                <c:pt idx="21">
                  <c:v>2.7182299188900867</c:v>
                </c:pt>
                <c:pt idx="22">
                  <c:v>2.7176673002547487</c:v>
                </c:pt>
                <c:pt idx="23">
                  <c:v>2.7445557007124139</c:v>
                </c:pt>
                <c:pt idx="24">
                  <c:v>2.5806348180471406</c:v>
                </c:pt>
                <c:pt idx="25">
                  <c:v>2.562021699342381</c:v>
                </c:pt>
                <c:pt idx="26">
                  <c:v>2.5604579699630925</c:v>
                </c:pt>
                <c:pt idx="27">
                  <c:v>2.4410612352050087</c:v>
                </c:pt>
                <c:pt idx="28">
                  <c:v>2.3521220435781078</c:v>
                </c:pt>
                <c:pt idx="29">
                  <c:v>2.3398087580335942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C-4862-AC87-D0A54182C940}"/>
            </c:ext>
          </c:extLst>
        </c:ser>
        <c:ser>
          <c:idx val="2"/>
          <c:order val="1"/>
          <c:tx>
            <c:strRef>
              <c:f>Figurer!$B$5</c:f>
              <c:strCache>
                <c:ptCount val="1"/>
                <c:pt idx="0">
                  <c:v>Føde- drikke og tobaksvareindustri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Figurer!$C$5:$AF$5</c:f>
              <c:numCache>
                <c:formatCode>General</c:formatCode>
                <c:ptCount val="30"/>
                <c:pt idx="0">
                  <c:v>0.52835922240995392</c:v>
                </c:pt>
                <c:pt idx="1">
                  <c:v>0.52816210206526681</c:v>
                </c:pt>
                <c:pt idx="2">
                  <c:v>0.53503634817518364</c:v>
                </c:pt>
                <c:pt idx="3">
                  <c:v>0.57693307054457932</c:v>
                </c:pt>
                <c:pt idx="4">
                  <c:v>0.57365674354506557</c:v>
                </c:pt>
                <c:pt idx="5">
                  <c:v>0.56357497276038704</c:v>
                </c:pt>
                <c:pt idx="6">
                  <c:v>0.56419762765051884</c:v>
                </c:pt>
                <c:pt idx="7">
                  <c:v>0.57922844741604573</c:v>
                </c:pt>
                <c:pt idx="8">
                  <c:v>0.5810690250018159</c:v>
                </c:pt>
                <c:pt idx="9">
                  <c:v>0.58110291569979811</c:v>
                </c:pt>
                <c:pt idx="10">
                  <c:v>0.59126128151114143</c:v>
                </c:pt>
                <c:pt idx="11">
                  <c:v>0.59842387707996714</c:v>
                </c:pt>
                <c:pt idx="12">
                  <c:v>0.58545631345548454</c:v>
                </c:pt>
                <c:pt idx="13">
                  <c:v>0.59115066280241657</c:v>
                </c:pt>
                <c:pt idx="14">
                  <c:v>0.60357608081847025</c:v>
                </c:pt>
                <c:pt idx="15">
                  <c:v>0.63003686005163806</c:v>
                </c:pt>
                <c:pt idx="16">
                  <c:v>0.67656445900393214</c:v>
                </c:pt>
                <c:pt idx="17">
                  <c:v>0.69034713408358339</c:v>
                </c:pt>
                <c:pt idx="18">
                  <c:v>0.67644002976423356</c:v>
                </c:pt>
                <c:pt idx="19">
                  <c:v>0.69748481257816208</c:v>
                </c:pt>
                <c:pt idx="20">
                  <c:v>0.68608597403629079</c:v>
                </c:pt>
                <c:pt idx="21">
                  <c:v>0.67940310322100139</c:v>
                </c:pt>
                <c:pt idx="22">
                  <c:v>0.66855875570605494</c:v>
                </c:pt>
                <c:pt idx="23">
                  <c:v>0.66079696700934132</c:v>
                </c:pt>
                <c:pt idx="24">
                  <c:v>0.63936832004907074</c:v>
                </c:pt>
                <c:pt idx="25">
                  <c:v>0.65299651597102204</c:v>
                </c:pt>
                <c:pt idx="26">
                  <c:v>0.65241208938962136</c:v>
                </c:pt>
                <c:pt idx="27">
                  <c:v>0.62824603856125039</c:v>
                </c:pt>
                <c:pt idx="28">
                  <c:v>0.61638190297553186</c:v>
                </c:pt>
                <c:pt idx="29">
                  <c:v>0.60815322931160121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C-4862-AC87-D0A54182C940}"/>
            </c:ext>
          </c:extLst>
        </c:ser>
        <c:ser>
          <c:idx val="3"/>
          <c:order val="2"/>
          <c:tx>
            <c:strRef>
              <c:f>Figurer!$B$6</c:f>
              <c:strCache>
                <c:ptCount val="1"/>
                <c:pt idx="0">
                  <c:v>Resten af økonomien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Figurer!$C$6:$AF$6</c:f>
              <c:numCache>
                <c:formatCode>General</c:formatCode>
                <c:ptCount val="30"/>
                <c:pt idx="0">
                  <c:v>2.4616773419189166</c:v>
                </c:pt>
                <c:pt idx="1">
                  <c:v>2.3515401918247241</c:v>
                </c:pt>
                <c:pt idx="2">
                  <c:v>2.2948130522301602</c:v>
                </c:pt>
                <c:pt idx="3">
                  <c:v>2.2584457556664836</c:v>
                </c:pt>
                <c:pt idx="4">
                  <c:v>2.2140410026987531</c:v>
                </c:pt>
                <c:pt idx="5">
                  <c:v>2.1876465226155672</c:v>
                </c:pt>
                <c:pt idx="6">
                  <c:v>2.1233422828056963</c:v>
                </c:pt>
                <c:pt idx="7">
                  <c:v>2.0526324230727151</c:v>
                </c:pt>
                <c:pt idx="8">
                  <c:v>2.0344495352201006</c:v>
                </c:pt>
                <c:pt idx="9">
                  <c:v>2.0392740307993753</c:v>
                </c:pt>
                <c:pt idx="10">
                  <c:v>2.060521418353265</c:v>
                </c:pt>
                <c:pt idx="11">
                  <c:v>2.0392376042501361</c:v>
                </c:pt>
                <c:pt idx="12">
                  <c:v>1.9534888811222839</c:v>
                </c:pt>
                <c:pt idx="13">
                  <c:v>1.8903322826168019</c:v>
                </c:pt>
                <c:pt idx="14">
                  <c:v>1.8657845724507804</c:v>
                </c:pt>
                <c:pt idx="15">
                  <c:v>1.8875529877200221</c:v>
                </c:pt>
                <c:pt idx="16">
                  <c:v>2.0690829646908528</c:v>
                </c:pt>
                <c:pt idx="17">
                  <c:v>2.0736869297009739</c:v>
                </c:pt>
                <c:pt idx="18">
                  <c:v>2.0099219446762269</c:v>
                </c:pt>
                <c:pt idx="19">
                  <c:v>2.0015535618939726</c:v>
                </c:pt>
                <c:pt idx="20">
                  <c:v>2.0063405466726816</c:v>
                </c:pt>
                <c:pt idx="21">
                  <c:v>1.9791656009264467</c:v>
                </c:pt>
                <c:pt idx="22">
                  <c:v>1.9483866035828421</c:v>
                </c:pt>
                <c:pt idx="23">
                  <c:v>1.8942182933831384</c:v>
                </c:pt>
                <c:pt idx="24">
                  <c:v>1.8677731492134451</c:v>
                </c:pt>
                <c:pt idx="25">
                  <c:v>1.8609621740392868</c:v>
                </c:pt>
                <c:pt idx="26">
                  <c:v>1.8550375466330262</c:v>
                </c:pt>
                <c:pt idx="27">
                  <c:v>1.9253780215449412</c:v>
                </c:pt>
                <c:pt idx="28">
                  <c:v>1.843407329218969</c:v>
                </c:pt>
                <c:pt idx="29">
                  <c:v>1.8182721339886481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C-4862-AC87-D0A54182C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64240"/>
        <c:axId val="570416352"/>
      </c:lineChart>
      <c:catAx>
        <c:axId val="192976424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År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570416352"/>
        <c:crosses val="autoZero"/>
        <c:auto val="1"/>
        <c:lblAlgn val="ctr"/>
        <c:lblOffset val="100"/>
        <c:noMultiLvlLbl val="0"/>
      </c:catAx>
      <c:valAx>
        <c:axId val="5704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strRef>
              <c:f>Figurer!$B$3</c:f>
              <c:strCache>
                <c:ptCount val="1"/>
                <c:pt idx="0">
                  <c:v>Kapital-output-ratio (K/Y)</c:v>
                </c:pt>
              </c:strCache>
            </c:strRef>
          </c:tx>
          <c:overlay val="0"/>
          <c:spPr>
            <a:noFill/>
            <a:ln>
              <a:noFill/>
              <a:prstDash val="solid"/>
            </a:ln>
          </c:spPr>
          <c:txPr>
            <a:bodyPr rot="-5400000" vert="horz"/>
            <a:lstStyle/>
            <a:p>
              <a:pPr>
                <a:defRPr b="0"/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1929764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a-DK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Figurer!$B$9</c:f>
              <c:strCache>
                <c:ptCount val="1"/>
                <c:pt idx="0">
                  <c:v>Landbrug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Figurer!$C$8:$AF$8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Figurer!$C$9:$AF$9</c:f>
              <c:numCache>
                <c:formatCode>General</c:formatCode>
                <c:ptCount val="30"/>
                <c:pt idx="0">
                  <c:v>2.9571061900341873E-3</c:v>
                </c:pt>
                <c:pt idx="1">
                  <c:v>2.720224890024772E-3</c:v>
                </c:pt>
                <c:pt idx="2">
                  <c:v>2.5938705575138431E-3</c:v>
                </c:pt>
                <c:pt idx="3">
                  <c:v>2.4622548590230125E-3</c:v>
                </c:pt>
                <c:pt idx="4">
                  <c:v>2.2490593304871432E-3</c:v>
                </c:pt>
                <c:pt idx="5">
                  <c:v>2.1981131699205067E-3</c:v>
                </c:pt>
                <c:pt idx="6">
                  <c:v>2.0810781017843272E-3</c:v>
                </c:pt>
                <c:pt idx="7">
                  <c:v>2.0012298609385845E-3</c:v>
                </c:pt>
                <c:pt idx="8">
                  <c:v>1.9761812809949773E-3</c:v>
                </c:pt>
                <c:pt idx="9">
                  <c:v>1.9525671312182326E-3</c:v>
                </c:pt>
                <c:pt idx="10">
                  <c:v>1.7986187030096818E-3</c:v>
                </c:pt>
                <c:pt idx="11">
                  <c:v>1.7628057536845038E-3</c:v>
                </c:pt>
                <c:pt idx="12">
                  <c:v>1.6926505251122627E-3</c:v>
                </c:pt>
                <c:pt idx="13">
                  <c:v>1.5598336680504611E-3</c:v>
                </c:pt>
                <c:pt idx="14">
                  <c:v>1.4498637164863106E-3</c:v>
                </c:pt>
                <c:pt idx="15">
                  <c:v>1.4959989007214483E-3</c:v>
                </c:pt>
                <c:pt idx="16">
                  <c:v>1.387964906889663E-3</c:v>
                </c:pt>
                <c:pt idx="17">
                  <c:v>1.2748987368168404E-3</c:v>
                </c:pt>
                <c:pt idx="18">
                  <c:v>1.280283810605583E-3</c:v>
                </c:pt>
                <c:pt idx="19">
                  <c:v>1.2329952538077515E-3</c:v>
                </c:pt>
                <c:pt idx="20">
                  <c:v>1.2378855625693854E-3</c:v>
                </c:pt>
                <c:pt idx="21">
                  <c:v>1.1903989993434811E-3</c:v>
                </c:pt>
                <c:pt idx="22">
                  <c:v>1.2304795824457401E-3</c:v>
                </c:pt>
                <c:pt idx="23">
                  <c:v>1.191072329811083E-3</c:v>
                </c:pt>
                <c:pt idx="24">
                  <c:v>1.1456602128689097E-3</c:v>
                </c:pt>
                <c:pt idx="25">
                  <c:v>1.1286612709062456E-3</c:v>
                </c:pt>
                <c:pt idx="26">
                  <c:v>1.084437361669352E-3</c:v>
                </c:pt>
                <c:pt idx="27">
                  <c:v>1.0619412611705841E-3</c:v>
                </c:pt>
                <c:pt idx="28">
                  <c:v>1.0522320225493115E-3</c:v>
                </c:pt>
                <c:pt idx="29">
                  <c:v>1.0369286229544104E-3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7-45D4-8390-2F9553BD98A3}"/>
            </c:ext>
          </c:extLst>
        </c:ser>
        <c:ser>
          <c:idx val="1"/>
          <c:order val="1"/>
          <c:tx>
            <c:strRef>
              <c:f>Figurer!$B$10</c:f>
              <c:strCache>
                <c:ptCount val="1"/>
                <c:pt idx="0">
                  <c:v>Føde- drikke og tobaksvareindustri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Figurer!$C$8:$AF$8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Figurer!$C$10:$AF$10</c:f>
              <c:numCache>
                <c:formatCode>General</c:formatCode>
                <c:ptCount val="30"/>
                <c:pt idx="0">
                  <c:v>8.2931062431913305E-4</c:v>
                </c:pt>
                <c:pt idx="1">
                  <c:v>8.0005674771232744E-4</c:v>
                </c:pt>
                <c:pt idx="2">
                  <c:v>8.2014870053754392E-4</c:v>
                </c:pt>
                <c:pt idx="3">
                  <c:v>8.3500120890614546E-4</c:v>
                </c:pt>
                <c:pt idx="4">
                  <c:v>8.0733324585426547E-4</c:v>
                </c:pt>
                <c:pt idx="5">
                  <c:v>7.6728455810657281E-4</c:v>
                </c:pt>
                <c:pt idx="6">
                  <c:v>7.7699080300626757E-4</c:v>
                </c:pt>
                <c:pt idx="7">
                  <c:v>7.821711154001518E-4</c:v>
                </c:pt>
                <c:pt idx="8">
                  <c:v>7.6541953009761081E-4</c:v>
                </c:pt>
                <c:pt idx="9">
                  <c:v>7.4903170581302504E-4</c:v>
                </c:pt>
                <c:pt idx="10">
                  <c:v>7.0315810333370331E-4</c:v>
                </c:pt>
                <c:pt idx="11">
                  <c:v>6.6675638321628803E-4</c:v>
                </c:pt>
                <c:pt idx="12">
                  <c:v>6.058823313986574E-4</c:v>
                </c:pt>
                <c:pt idx="13">
                  <c:v>5.867602585808273E-4</c:v>
                </c:pt>
                <c:pt idx="14">
                  <c:v>5.657362199130376E-4</c:v>
                </c:pt>
                <c:pt idx="15">
                  <c:v>5.6496007691205689E-4</c:v>
                </c:pt>
                <c:pt idx="16">
                  <c:v>5.5166167896285821E-4</c:v>
                </c:pt>
                <c:pt idx="17">
                  <c:v>5.4790080292236708E-4</c:v>
                </c:pt>
                <c:pt idx="18">
                  <c:v>5.2641202064718652E-4</c:v>
                </c:pt>
                <c:pt idx="19">
                  <c:v>5.1376452996327834E-4</c:v>
                </c:pt>
                <c:pt idx="20">
                  <c:v>4.8780999297967984E-4</c:v>
                </c:pt>
                <c:pt idx="21">
                  <c:v>4.556099197622484E-4</c:v>
                </c:pt>
                <c:pt idx="22">
                  <c:v>4.4233013766696095E-4</c:v>
                </c:pt>
                <c:pt idx="23">
                  <c:v>4.4361709671220703E-4</c:v>
                </c:pt>
                <c:pt idx="24">
                  <c:v>4.3730309702794823E-4</c:v>
                </c:pt>
                <c:pt idx="25">
                  <c:v>4.251981041177492E-4</c:v>
                </c:pt>
                <c:pt idx="26">
                  <c:v>4.2106630106010431E-4</c:v>
                </c:pt>
                <c:pt idx="27">
                  <c:v>4.3470647627507855E-4</c:v>
                </c:pt>
                <c:pt idx="28">
                  <c:v>4.2502419760662602E-4</c:v>
                </c:pt>
                <c:pt idx="29">
                  <c:v>4.1439250630045905E-4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7-45D4-8390-2F9553BD98A3}"/>
            </c:ext>
          </c:extLst>
        </c:ser>
        <c:ser>
          <c:idx val="2"/>
          <c:order val="2"/>
          <c:tx>
            <c:strRef>
              <c:f>Figurer!$B$11</c:f>
              <c:strCache>
                <c:ptCount val="1"/>
                <c:pt idx="0">
                  <c:v>Resten af økonomien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Figurer!$C$8:$AF$8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Figurer!$C$11:$AF$11</c:f>
              <c:numCache>
                <c:formatCode>General</c:formatCode>
                <c:ptCount val="30"/>
                <c:pt idx="0">
                  <c:v>1.3646965896958014E-3</c:v>
                </c:pt>
                <c:pt idx="1">
                  <c:v>1.2804717194673083E-3</c:v>
                </c:pt>
                <c:pt idx="2">
                  <c:v>1.262034790848931E-3</c:v>
                </c:pt>
                <c:pt idx="3">
                  <c:v>1.237055008645958E-3</c:v>
                </c:pt>
                <c:pt idx="4">
                  <c:v>1.2205198259004854E-3</c:v>
                </c:pt>
                <c:pt idx="5">
                  <c:v>1.2120392358727133E-3</c:v>
                </c:pt>
                <c:pt idx="6">
                  <c:v>1.1887710864389312E-3</c:v>
                </c:pt>
                <c:pt idx="7">
                  <c:v>1.155820864243407E-3</c:v>
                </c:pt>
                <c:pt idx="8">
                  <c:v>1.1370958039178174E-3</c:v>
                </c:pt>
                <c:pt idx="9">
                  <c:v>1.1169496346102408E-3</c:v>
                </c:pt>
                <c:pt idx="10">
                  <c:v>1.0897775930079838E-3</c:v>
                </c:pt>
                <c:pt idx="11">
                  <c:v>1.0578908129609274E-3</c:v>
                </c:pt>
                <c:pt idx="12">
                  <c:v>1.0023198741863108E-3</c:v>
                </c:pt>
                <c:pt idx="13">
                  <c:v>9.701707043383174E-4</c:v>
                </c:pt>
                <c:pt idx="14">
                  <c:v>9.4921589022155446E-4</c:v>
                </c:pt>
                <c:pt idx="15">
                  <c:v>9.550093968498422E-4</c:v>
                </c:pt>
                <c:pt idx="16">
                  <c:v>9.6865385630070925E-4</c:v>
                </c:pt>
                <c:pt idx="17">
                  <c:v>9.4123228588325876E-4</c:v>
                </c:pt>
                <c:pt idx="18">
                  <c:v>9.2798146998814154E-4</c:v>
                </c:pt>
                <c:pt idx="19">
                  <c:v>9.0670262240157896E-4</c:v>
                </c:pt>
                <c:pt idx="20">
                  <c:v>9.0575806067736461E-4</c:v>
                </c:pt>
                <c:pt idx="21">
                  <c:v>8.871575788705168E-4</c:v>
                </c:pt>
                <c:pt idx="22">
                  <c:v>8.7891484283915357E-4</c:v>
                </c:pt>
                <c:pt idx="23">
                  <c:v>8.679395928853661E-4</c:v>
                </c:pt>
                <c:pt idx="24">
                  <c:v>8.5384022772061518E-4</c:v>
                </c:pt>
                <c:pt idx="25">
                  <c:v>8.3459209639438422E-4</c:v>
                </c:pt>
                <c:pt idx="26">
                  <c:v>8.2770221391731966E-4</c:v>
                </c:pt>
                <c:pt idx="27">
                  <c:v>8.1094342997583744E-4</c:v>
                </c:pt>
                <c:pt idx="28">
                  <c:v>8.065779364724592E-4</c:v>
                </c:pt>
                <c:pt idx="29">
                  <c:v>8.1986545075490229E-4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D7-45D4-8390-2F9553BD9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64240"/>
        <c:axId val="570416352"/>
      </c:lineChart>
      <c:catAx>
        <c:axId val="192976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År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70416352"/>
        <c:crosses val="autoZero"/>
        <c:auto val="1"/>
        <c:lblAlgn val="ctr"/>
        <c:lblOffset val="100"/>
        <c:noMultiLvlLbl val="0"/>
      </c:catAx>
      <c:valAx>
        <c:axId val="5704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strRef>
              <c:f>Figurer!$B$8</c:f>
              <c:strCache>
                <c:ptCount val="1"/>
                <c:pt idx="0">
                  <c:v>Arbejdskraft-output-ratio (L/Y)</c:v>
                </c:pt>
              </c:strCache>
            </c:strRef>
          </c:tx>
          <c:overlay val="0"/>
          <c:spPr>
            <a:noFill/>
            <a:ln>
              <a:noFill/>
              <a:prstDash val="solid"/>
            </a:ln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29764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Figurer!$B$14</c:f>
              <c:strCache>
                <c:ptCount val="1"/>
                <c:pt idx="0">
                  <c:v>Landbrug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Figurer!$C$14:$AF$14</c:f>
              <c:numCache>
                <c:formatCode>General</c:formatCode>
                <c:ptCount val="30"/>
                <c:pt idx="0">
                  <c:v>0.76620736312572779</c:v>
                </c:pt>
                <c:pt idx="1">
                  <c:v>0.7452835827684271</c:v>
                </c:pt>
                <c:pt idx="2">
                  <c:v>0.71846462786146437</c:v>
                </c:pt>
                <c:pt idx="3">
                  <c:v>0.70156608433083023</c:v>
                </c:pt>
                <c:pt idx="4">
                  <c:v>0.70675842059277694</c:v>
                </c:pt>
                <c:pt idx="5">
                  <c:v>0.71425457755835131</c:v>
                </c:pt>
                <c:pt idx="6">
                  <c:v>0.72524136716959797</c:v>
                </c:pt>
                <c:pt idx="7">
                  <c:v>0.68987440388923338</c:v>
                </c:pt>
                <c:pt idx="8">
                  <c:v>0.67408989354765481</c:v>
                </c:pt>
                <c:pt idx="9">
                  <c:v>0.69365898127970615</c:v>
                </c:pt>
                <c:pt idx="10">
                  <c:v>0.67367550927245101</c:v>
                </c:pt>
                <c:pt idx="11">
                  <c:v>0.66906686417753136</c:v>
                </c:pt>
                <c:pt idx="12">
                  <c:v>0.67379998066328239</c:v>
                </c:pt>
                <c:pt idx="13">
                  <c:v>0.6675879584347244</c:v>
                </c:pt>
                <c:pt idx="14">
                  <c:v>0.63950320807895134</c:v>
                </c:pt>
                <c:pt idx="15">
                  <c:v>0.70136201076162996</c:v>
                </c:pt>
                <c:pt idx="16">
                  <c:v>0.7099127074368532</c:v>
                </c:pt>
                <c:pt idx="17">
                  <c:v>0.66096247425993992</c:v>
                </c:pt>
                <c:pt idx="18">
                  <c:v>0.68458468947877171</c:v>
                </c:pt>
                <c:pt idx="19">
                  <c:v>0.65878159289972693</c:v>
                </c:pt>
                <c:pt idx="20">
                  <c:v>0.67841674562354226</c:v>
                </c:pt>
                <c:pt idx="21">
                  <c:v>0.63776653550598561</c:v>
                </c:pt>
                <c:pt idx="22">
                  <c:v>0.67939450949287605</c:v>
                </c:pt>
                <c:pt idx="23">
                  <c:v>0.702863266899869</c:v>
                </c:pt>
                <c:pt idx="24">
                  <c:v>0.67679085296325525</c:v>
                </c:pt>
                <c:pt idx="25">
                  <c:v>0.68133159318025016</c:v>
                </c:pt>
                <c:pt idx="26">
                  <c:v>0.65771178943159636</c:v>
                </c:pt>
                <c:pt idx="27">
                  <c:v>0.66336032225973363</c:v>
                </c:pt>
                <c:pt idx="28">
                  <c:v>0.64882567804375979</c:v>
                </c:pt>
                <c:pt idx="29">
                  <c:v>0.66658912955315996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0-44F7-A946-19700DB9E849}"/>
            </c:ext>
          </c:extLst>
        </c:ser>
        <c:ser>
          <c:idx val="2"/>
          <c:order val="1"/>
          <c:tx>
            <c:strRef>
              <c:f>Figurer!$B$15</c:f>
              <c:strCache>
                <c:ptCount val="1"/>
                <c:pt idx="0">
                  <c:v>Føde- drikke og tobaksvareindustri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Figurer!$C$15:$AF$15</c:f>
              <c:numCache>
                <c:formatCode>General</c:formatCode>
                <c:ptCount val="30"/>
                <c:pt idx="0">
                  <c:v>0.77039684968885669</c:v>
                </c:pt>
                <c:pt idx="1">
                  <c:v>0.77248455553832229</c:v>
                </c:pt>
                <c:pt idx="2">
                  <c:v>0.75953472360136975</c:v>
                </c:pt>
                <c:pt idx="3">
                  <c:v>0.7629533189589307</c:v>
                </c:pt>
                <c:pt idx="4">
                  <c:v>0.74730071165189504</c:v>
                </c:pt>
                <c:pt idx="5">
                  <c:v>0.75383100893836097</c:v>
                </c:pt>
                <c:pt idx="6">
                  <c:v>0.74330711286225548</c:v>
                </c:pt>
                <c:pt idx="7">
                  <c:v>0.75131890374278676</c:v>
                </c:pt>
                <c:pt idx="8">
                  <c:v>0.74575778653896962</c:v>
                </c:pt>
                <c:pt idx="9">
                  <c:v>0.77341528379108115</c:v>
                </c:pt>
                <c:pt idx="10">
                  <c:v>0.79161876714914436</c:v>
                </c:pt>
                <c:pt idx="11">
                  <c:v>0.78454015144318423</c:v>
                </c:pt>
                <c:pt idx="12">
                  <c:v>0.78357738904290297</c:v>
                </c:pt>
                <c:pt idx="13">
                  <c:v>0.80064530892411789</c:v>
                </c:pt>
                <c:pt idx="14">
                  <c:v>0.80499144214337781</c:v>
                </c:pt>
                <c:pt idx="15">
                  <c:v>0.81238960100568824</c:v>
                </c:pt>
                <c:pt idx="16">
                  <c:v>0.80577943204797176</c:v>
                </c:pt>
                <c:pt idx="17">
                  <c:v>0.79493389183978602</c:v>
                </c:pt>
                <c:pt idx="18">
                  <c:v>0.79904145405913651</c:v>
                </c:pt>
                <c:pt idx="19">
                  <c:v>0.79955210312535641</c:v>
                </c:pt>
                <c:pt idx="20">
                  <c:v>0.80071920823227238</c:v>
                </c:pt>
                <c:pt idx="21">
                  <c:v>0.79959697233129401</c:v>
                </c:pt>
                <c:pt idx="22">
                  <c:v>0.8191189718210985</c:v>
                </c:pt>
                <c:pt idx="23">
                  <c:v>0.81317473552130681</c:v>
                </c:pt>
                <c:pt idx="24">
                  <c:v>0.804724177588788</c:v>
                </c:pt>
                <c:pt idx="25">
                  <c:v>0.81478888229207513</c:v>
                </c:pt>
                <c:pt idx="26">
                  <c:v>0.80148274195721503</c:v>
                </c:pt>
                <c:pt idx="27">
                  <c:v>0.80671111646555627</c:v>
                </c:pt>
                <c:pt idx="28">
                  <c:v>0.78810018771998713</c:v>
                </c:pt>
                <c:pt idx="29">
                  <c:v>0.76577920548026812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50-44F7-A946-19700DB9E849}"/>
            </c:ext>
          </c:extLst>
        </c:ser>
        <c:ser>
          <c:idx val="3"/>
          <c:order val="2"/>
          <c:tx>
            <c:strRef>
              <c:f>Figurer!$B$16</c:f>
              <c:strCache>
                <c:ptCount val="1"/>
                <c:pt idx="0">
                  <c:v>Resten af økonomien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Figurer!$C$16:$AF$16</c:f>
              <c:numCache>
                <c:formatCode>General</c:formatCode>
                <c:ptCount val="30"/>
                <c:pt idx="0">
                  <c:v>0.46238201578681493</c:v>
                </c:pt>
                <c:pt idx="1">
                  <c:v>0.46011318080426483</c:v>
                </c:pt>
                <c:pt idx="2">
                  <c:v>0.4617980058756615</c:v>
                </c:pt>
                <c:pt idx="3">
                  <c:v>0.46160346119058387</c:v>
                </c:pt>
                <c:pt idx="4">
                  <c:v>0.45895152066745509</c:v>
                </c:pt>
                <c:pt idx="5">
                  <c:v>0.46213650404359208</c:v>
                </c:pt>
                <c:pt idx="6">
                  <c:v>0.46563593355404542</c:v>
                </c:pt>
                <c:pt idx="7">
                  <c:v>0.46040943303564086</c:v>
                </c:pt>
                <c:pt idx="8">
                  <c:v>0.46660543543998417</c:v>
                </c:pt>
                <c:pt idx="9">
                  <c:v>0.47178734884005202</c:v>
                </c:pt>
                <c:pt idx="10">
                  <c:v>0.4658226248911822</c:v>
                </c:pt>
                <c:pt idx="11">
                  <c:v>0.46478706693682886</c:v>
                </c:pt>
                <c:pt idx="12">
                  <c:v>0.477480933994891</c:v>
                </c:pt>
                <c:pt idx="13">
                  <c:v>0.48094881122237387</c:v>
                </c:pt>
                <c:pt idx="14">
                  <c:v>0.48357202805495209</c:v>
                </c:pt>
                <c:pt idx="15">
                  <c:v>0.48474845479935164</c:v>
                </c:pt>
                <c:pt idx="16">
                  <c:v>0.47578124939844213</c:v>
                </c:pt>
                <c:pt idx="17">
                  <c:v>0.46949681115631225</c:v>
                </c:pt>
                <c:pt idx="18">
                  <c:v>0.46966511136644112</c:v>
                </c:pt>
                <c:pt idx="19">
                  <c:v>0.47236824103840974</c:v>
                </c:pt>
                <c:pt idx="20">
                  <c:v>0.4690183200065462</c:v>
                </c:pt>
                <c:pt idx="21">
                  <c:v>0.47329799120551319</c:v>
                </c:pt>
                <c:pt idx="22">
                  <c:v>0.47979942197458986</c:v>
                </c:pt>
                <c:pt idx="23">
                  <c:v>0.47831762077871004</c:v>
                </c:pt>
                <c:pt idx="24">
                  <c:v>0.47511011785124718</c:v>
                </c:pt>
                <c:pt idx="25">
                  <c:v>0.47492441164331334</c:v>
                </c:pt>
                <c:pt idx="26">
                  <c:v>0.47535257752160776</c:v>
                </c:pt>
                <c:pt idx="27">
                  <c:v>0.47975155541100656</c:v>
                </c:pt>
                <c:pt idx="28">
                  <c:v>0.47697359208163176</c:v>
                </c:pt>
                <c:pt idx="29">
                  <c:v>0.48647561641440729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50-44F7-A946-19700DB9E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64240"/>
        <c:axId val="570416352"/>
      </c:lineChart>
      <c:catAx>
        <c:axId val="192976424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År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570416352"/>
        <c:crosses val="autoZero"/>
        <c:auto val="1"/>
        <c:lblAlgn val="ctr"/>
        <c:lblOffset val="100"/>
        <c:noMultiLvlLbl val="0"/>
      </c:catAx>
      <c:valAx>
        <c:axId val="5704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strRef>
              <c:f>Figurer!$B$13</c:f>
              <c:strCache>
                <c:ptCount val="1"/>
                <c:pt idx="0">
                  <c:v>Materiale-output-ratio (Mtot/Y)</c:v>
                </c:pt>
              </c:strCache>
            </c:strRef>
          </c:tx>
          <c:overlay val="0"/>
          <c:spPr>
            <a:noFill/>
            <a:ln>
              <a:noFill/>
              <a:prstDash val="solid"/>
            </a:ln>
          </c:spPr>
          <c:txPr>
            <a:bodyPr rot="-5400000" vert="horz"/>
            <a:lstStyle/>
            <a:p>
              <a:pPr>
                <a:defRPr b="0"/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1929764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a-DK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Figurer!$B$19</c:f>
              <c:strCache>
                <c:ptCount val="1"/>
                <c:pt idx="0">
                  <c:v>Landbrug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Figurer!$C$19:$AF$19</c:f>
              <c:numCache>
                <c:formatCode>General</c:formatCode>
                <c:ptCount val="30"/>
                <c:pt idx="0">
                  <c:v>1287.6525404386948</c:v>
                </c:pt>
                <c:pt idx="1">
                  <c:v>1395.5986460657959</c:v>
                </c:pt>
                <c:pt idx="2">
                  <c:v>1430.9659514951156</c:v>
                </c:pt>
                <c:pt idx="3">
                  <c:v>1477.7432981409888</c:v>
                </c:pt>
                <c:pt idx="4">
                  <c:v>1561.497425030185</c:v>
                </c:pt>
                <c:pt idx="5">
                  <c:v>1560.245009638704</c:v>
                </c:pt>
                <c:pt idx="6">
                  <c:v>1600.7026530076175</c:v>
                </c:pt>
                <c:pt idx="7">
                  <c:v>1624.6007247349348</c:v>
                </c:pt>
                <c:pt idx="8">
                  <c:v>1665.9281836758566</c:v>
                </c:pt>
                <c:pt idx="9">
                  <c:v>1649.038362504034</c:v>
                </c:pt>
                <c:pt idx="10">
                  <c:v>1771.4207052555603</c:v>
                </c:pt>
                <c:pt idx="11">
                  <c:v>1771.0894892011315</c:v>
                </c:pt>
                <c:pt idx="12">
                  <c:v>1868.7056088161289</c:v>
                </c:pt>
                <c:pt idx="13">
                  <c:v>1999.4828448619364</c:v>
                </c:pt>
                <c:pt idx="14">
                  <c:v>2085.2828676233544</c:v>
                </c:pt>
                <c:pt idx="15">
                  <c:v>2214.3568836439754</c:v>
                </c:pt>
                <c:pt idx="16">
                  <c:v>2344.7978182817005</c:v>
                </c:pt>
                <c:pt idx="17">
                  <c:v>2374.0187029636695</c:v>
                </c:pt>
                <c:pt idx="18">
                  <c:v>2358.6040047356769</c:v>
                </c:pt>
                <c:pt idx="19">
                  <c:v>2351.9884641909262</c:v>
                </c:pt>
                <c:pt idx="20">
                  <c:v>2341.5951230830892</c:v>
                </c:pt>
                <c:pt idx="21">
                  <c:v>2283.4611927506849</c:v>
                </c:pt>
                <c:pt idx="22">
                  <c:v>2208.6244575086953</c:v>
                </c:pt>
                <c:pt idx="23">
                  <c:v>2304.2729077147906</c:v>
                </c:pt>
                <c:pt idx="24">
                  <c:v>2252.5307146565151</c:v>
                </c:pt>
                <c:pt idx="25">
                  <c:v>2269.9651041319376</c:v>
                </c:pt>
                <c:pt idx="26">
                  <c:v>2361.0934669583835</c:v>
                </c:pt>
                <c:pt idx="27">
                  <c:v>2298.6782079775412</c:v>
                </c:pt>
                <c:pt idx="28">
                  <c:v>2235.364437854179</c:v>
                </c:pt>
                <c:pt idx="29">
                  <c:v>2256.480056811457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B-401E-89AD-973500645A33}"/>
            </c:ext>
          </c:extLst>
        </c:ser>
        <c:ser>
          <c:idx val="2"/>
          <c:order val="1"/>
          <c:tx>
            <c:strRef>
              <c:f>Figurer!$B$20</c:f>
              <c:strCache>
                <c:ptCount val="1"/>
                <c:pt idx="0">
                  <c:v>Føde- drikke og tobaksvareindustri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Figurer!$C$20:$AF$20</c:f>
              <c:numCache>
                <c:formatCode>General</c:formatCode>
                <c:ptCount val="30"/>
                <c:pt idx="0">
                  <c:v>637.10653995749635</c:v>
                </c:pt>
                <c:pt idx="1">
                  <c:v>660.15579966731991</c:v>
                </c:pt>
                <c:pt idx="2">
                  <c:v>652.3650501726197</c:v>
                </c:pt>
                <c:pt idx="3">
                  <c:v>690.93680870278467</c:v>
                </c:pt>
                <c:pt idx="4">
                  <c:v>710.55756280426772</c:v>
                </c:pt>
                <c:pt idx="5">
                  <c:v>734.50581900295288</c:v>
                </c:pt>
                <c:pt idx="6">
                  <c:v>726.1316677978333</c:v>
                </c:pt>
                <c:pt idx="7">
                  <c:v>740.53929634018459</c:v>
                </c:pt>
                <c:pt idx="8">
                  <c:v>759.15103045216858</c:v>
                </c:pt>
                <c:pt idx="9">
                  <c:v>775.80549820524459</c:v>
                </c:pt>
                <c:pt idx="10">
                  <c:v>840.86534551467992</c:v>
                </c:pt>
                <c:pt idx="11">
                  <c:v>897.515032692001</c:v>
                </c:pt>
                <c:pt idx="12">
                  <c:v>966.28715365239293</c:v>
                </c:pt>
                <c:pt idx="13">
                  <c:v>1007.4824498717894</c:v>
                </c:pt>
                <c:pt idx="14">
                  <c:v>1066.8860496703733</c:v>
                </c:pt>
                <c:pt idx="15">
                  <c:v>1115.1882863923342</c:v>
                </c:pt>
                <c:pt idx="16">
                  <c:v>1226.4119202114875</c:v>
                </c:pt>
                <c:pt idx="17">
                  <c:v>1259.9856222174576</c:v>
                </c:pt>
                <c:pt idx="18">
                  <c:v>1285.0011079393632</c:v>
                </c:pt>
                <c:pt idx="19">
                  <c:v>1357.5962759204401</c:v>
                </c:pt>
                <c:pt idx="20">
                  <c:v>1406.4614991699655</c:v>
                </c:pt>
                <c:pt idx="21">
                  <c:v>1491.1947123002401</c:v>
                </c:pt>
                <c:pt idx="22">
                  <c:v>1511.4474433786511</c:v>
                </c:pt>
                <c:pt idx="23">
                  <c:v>1489.5660512336565</c:v>
                </c:pt>
                <c:pt idx="24">
                  <c:v>1462.0713285463157</c:v>
                </c:pt>
                <c:pt idx="25">
                  <c:v>1535.7465370781358</c:v>
                </c:pt>
                <c:pt idx="26">
                  <c:v>1549.4284100795187</c:v>
                </c:pt>
                <c:pt idx="27">
                  <c:v>1445.2189531303454</c:v>
                </c:pt>
                <c:pt idx="28">
                  <c:v>1450.2277904328018</c:v>
                </c:pt>
                <c:pt idx="29">
                  <c:v>1467.577767612077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3B-401E-89AD-973500645A33}"/>
            </c:ext>
          </c:extLst>
        </c:ser>
        <c:ser>
          <c:idx val="3"/>
          <c:order val="2"/>
          <c:tx>
            <c:strRef>
              <c:f>Figurer!$B$21</c:f>
              <c:strCache>
                <c:ptCount val="1"/>
                <c:pt idx="0">
                  <c:v>Resten af økonomien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Figurer!$C$21:$AF$21</c:f>
              <c:numCache>
                <c:formatCode>General</c:formatCode>
                <c:ptCount val="30"/>
                <c:pt idx="0">
                  <c:v>1803.8275764048317</c:v>
                </c:pt>
                <c:pt idx="1">
                  <c:v>1836.4639812607443</c:v>
                </c:pt>
                <c:pt idx="2">
                  <c:v>1818.3437325737366</c:v>
                </c:pt>
                <c:pt idx="3">
                  <c:v>1825.6631595861759</c:v>
                </c:pt>
                <c:pt idx="4">
                  <c:v>1814.0147793709616</c:v>
                </c:pt>
                <c:pt idx="5">
                  <c:v>1804.9304493351494</c:v>
                </c:pt>
                <c:pt idx="6">
                  <c:v>1786.1658203400252</c:v>
                </c:pt>
                <c:pt idx="7">
                  <c:v>1775.9087818650471</c:v>
                </c:pt>
                <c:pt idx="8">
                  <c:v>1789.1628200636105</c:v>
                </c:pt>
                <c:pt idx="9">
                  <c:v>1825.7528966478239</c:v>
                </c:pt>
                <c:pt idx="10">
                  <c:v>1890.7724214312873</c:v>
                </c:pt>
                <c:pt idx="11">
                  <c:v>1927.6446862625833</c:v>
                </c:pt>
                <c:pt idx="12">
                  <c:v>1948.9675216787832</c:v>
                </c:pt>
                <c:pt idx="13">
                  <c:v>1948.4532713302856</c:v>
                </c:pt>
                <c:pt idx="14">
                  <c:v>1965.6061299345629</c:v>
                </c:pt>
                <c:pt idx="15">
                  <c:v>1976.4758273020484</c:v>
                </c:pt>
                <c:pt idx="16">
                  <c:v>2136.0395679347048</c:v>
                </c:pt>
                <c:pt idx="17">
                  <c:v>2203.1617070540797</c:v>
                </c:pt>
                <c:pt idx="18">
                  <c:v>2165.9074126791679</c:v>
                </c:pt>
                <c:pt idx="19">
                  <c:v>2207.5082970340009</c:v>
                </c:pt>
                <c:pt idx="20">
                  <c:v>2215.0954363820451</c:v>
                </c:pt>
                <c:pt idx="21">
                  <c:v>2230.906490644219</c:v>
                </c:pt>
                <c:pt idx="22">
                  <c:v>2216.8093069050697</c:v>
                </c:pt>
                <c:pt idx="23">
                  <c:v>2182.4310227466704</c:v>
                </c:pt>
                <c:pt idx="24">
                  <c:v>2187.4972489871943</c:v>
                </c:pt>
                <c:pt idx="25">
                  <c:v>2229.7864814189352</c:v>
                </c:pt>
                <c:pt idx="26">
                  <c:v>2241.1895431009789</c:v>
                </c:pt>
                <c:pt idx="27">
                  <c:v>2374.2445531648355</c:v>
                </c:pt>
                <c:pt idx="28">
                  <c:v>2285.4670898649265</c:v>
                </c:pt>
                <c:pt idx="29">
                  <c:v>2217.7689428362291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B-401E-89AD-973500645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64240"/>
        <c:axId val="570416352"/>
      </c:lineChart>
      <c:catAx>
        <c:axId val="192976424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År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570416352"/>
        <c:crosses val="autoZero"/>
        <c:auto val="1"/>
        <c:lblAlgn val="ctr"/>
        <c:lblOffset val="100"/>
        <c:noMultiLvlLbl val="0"/>
      </c:catAx>
      <c:valAx>
        <c:axId val="5704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strRef>
              <c:f>Figurer!$B$18</c:f>
              <c:strCache>
                <c:ptCount val="1"/>
                <c:pt idx="0">
                  <c:v>Kapital pr arbejdstime (K/L)</c:v>
                </c:pt>
              </c:strCache>
            </c:strRef>
          </c:tx>
          <c:overlay val="0"/>
          <c:spPr>
            <a:noFill/>
            <a:ln>
              <a:noFill/>
              <a:prstDash val="solid"/>
            </a:ln>
          </c:spPr>
          <c:txPr>
            <a:bodyPr rot="-5400000" vert="horz"/>
            <a:lstStyle/>
            <a:p>
              <a:pPr>
                <a:defRPr b="0"/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1929764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a-DK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Figurer!$B$24</c:f>
              <c:strCache>
                <c:ptCount val="1"/>
                <c:pt idx="0">
                  <c:v>Landbrug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Figurer!$C$24:$AF$24</c:f>
              <c:numCache>
                <c:formatCode>General</c:formatCode>
                <c:ptCount val="30"/>
                <c:pt idx="0">
                  <c:v>55728.663999999997</c:v>
                </c:pt>
                <c:pt idx="1">
                  <c:v>55147.063999999991</c:v>
                </c:pt>
                <c:pt idx="2">
                  <c:v>58275.627000000008</c:v>
                </c:pt>
                <c:pt idx="3">
                  <c:v>59527.836000000003</c:v>
                </c:pt>
                <c:pt idx="4">
                  <c:v>61114.082000000002</c:v>
                </c:pt>
                <c:pt idx="5">
                  <c:v>55009.010999999999</c:v>
                </c:pt>
                <c:pt idx="6">
                  <c:v>53791.911</c:v>
                </c:pt>
                <c:pt idx="7">
                  <c:v>59756.000999999997</c:v>
                </c:pt>
                <c:pt idx="8">
                  <c:v>63043.538</c:v>
                </c:pt>
                <c:pt idx="9">
                  <c:v>58246.660999999993</c:v>
                </c:pt>
                <c:pt idx="10">
                  <c:v>56424.339999999989</c:v>
                </c:pt>
                <c:pt idx="11">
                  <c:v>58797.781999999999</c:v>
                </c:pt>
                <c:pt idx="12">
                  <c:v>53297.890000000007</c:v>
                </c:pt>
                <c:pt idx="13">
                  <c:v>55302.075999999994</c:v>
                </c:pt>
                <c:pt idx="14">
                  <c:v>60373.718999999997</c:v>
                </c:pt>
                <c:pt idx="15">
                  <c:v>61138.87000000001</c:v>
                </c:pt>
                <c:pt idx="16">
                  <c:v>58467.330000000009</c:v>
                </c:pt>
                <c:pt idx="17">
                  <c:v>65318.852000000006</c:v>
                </c:pt>
                <c:pt idx="18">
                  <c:v>71951.566999999981</c:v>
                </c:pt>
                <c:pt idx="19">
                  <c:v>79895.742000000013</c:v>
                </c:pt>
                <c:pt idx="20">
                  <c:v>74902.378999999986</c:v>
                </c:pt>
                <c:pt idx="21">
                  <c:v>75434.426999999996</c:v>
                </c:pt>
                <c:pt idx="22">
                  <c:v>68758.59</c:v>
                </c:pt>
                <c:pt idx="23">
                  <c:v>67851.486999999994</c:v>
                </c:pt>
                <c:pt idx="24">
                  <c:v>77164.472999999998</c:v>
                </c:pt>
                <c:pt idx="25">
                  <c:v>72672.232999999993</c:v>
                </c:pt>
                <c:pt idx="26">
                  <c:v>77232.460999999996</c:v>
                </c:pt>
                <c:pt idx="27">
                  <c:v>80503.510999999999</c:v>
                </c:pt>
                <c:pt idx="28">
                  <c:v>80890.02</c:v>
                </c:pt>
                <c:pt idx="29">
                  <c:v>95782.799999999974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4-40A3-B432-D374A460C961}"/>
            </c:ext>
          </c:extLst>
        </c:ser>
        <c:ser>
          <c:idx val="2"/>
          <c:order val="1"/>
          <c:tx>
            <c:strRef>
              <c:f>Figurer!$B$25</c:f>
              <c:strCache>
                <c:ptCount val="1"/>
                <c:pt idx="0">
                  <c:v>Føde- drikke og tobaksvareindustri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Figurer!$C$3:$AF$3</c:f>
              <c:numCache>
                <c:formatCode>General</c:formatCod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numCache>
            </c:numRef>
          </c:cat>
          <c:val>
            <c:numRef>
              <c:f>Figurer!$C$25:$AF$25</c:f>
              <c:numCache>
                <c:formatCode>General</c:formatCode>
                <c:ptCount val="30"/>
                <c:pt idx="0">
                  <c:v>113491.54100000004</c:v>
                </c:pt>
                <c:pt idx="1">
                  <c:v>115531.56299999999</c:v>
                </c:pt>
                <c:pt idx="2">
                  <c:v>116174.17799999997</c:v>
                </c:pt>
                <c:pt idx="3">
                  <c:v>113564.129</c:v>
                </c:pt>
                <c:pt idx="4">
                  <c:v>116548.174</c:v>
                </c:pt>
                <c:pt idx="5">
                  <c:v>113149.85400000002</c:v>
                </c:pt>
                <c:pt idx="6">
                  <c:v>109463.88200000003</c:v>
                </c:pt>
                <c:pt idx="7">
                  <c:v>117014.806</c:v>
                </c:pt>
                <c:pt idx="8">
                  <c:v>125335.73499999994</c:v>
                </c:pt>
                <c:pt idx="9">
                  <c:v>127816.84500000002</c:v>
                </c:pt>
                <c:pt idx="10">
                  <c:v>126625.42500000002</c:v>
                </c:pt>
                <c:pt idx="11">
                  <c:v>129620.74299999997</c:v>
                </c:pt>
                <c:pt idx="12">
                  <c:v>134052.34599999999</c:v>
                </c:pt>
                <c:pt idx="13">
                  <c:v>134927.57</c:v>
                </c:pt>
                <c:pt idx="14">
                  <c:v>137741.95099999997</c:v>
                </c:pt>
                <c:pt idx="15">
                  <c:v>145761.139</c:v>
                </c:pt>
                <c:pt idx="16">
                  <c:v>133712.74300000002</c:v>
                </c:pt>
                <c:pt idx="17">
                  <c:v>132532.34200000003</c:v>
                </c:pt>
                <c:pt idx="18">
                  <c:v>139875.50299999994</c:v>
                </c:pt>
                <c:pt idx="19">
                  <c:v>141548.37699999998</c:v>
                </c:pt>
                <c:pt idx="20">
                  <c:v>145794.44699999996</c:v>
                </c:pt>
                <c:pt idx="21">
                  <c:v>142798.51599999995</c:v>
                </c:pt>
                <c:pt idx="22">
                  <c:v>141978.19199999998</c:v>
                </c:pt>
                <c:pt idx="23">
                  <c:v>143969.83900000004</c:v>
                </c:pt>
                <c:pt idx="24">
                  <c:v>150686.84600000005</c:v>
                </c:pt>
                <c:pt idx="25">
                  <c:v>149378.465</c:v>
                </c:pt>
                <c:pt idx="26">
                  <c:v>155174.13800000001</c:v>
                </c:pt>
                <c:pt idx="27">
                  <c:v>161377.85800000001</c:v>
                </c:pt>
                <c:pt idx="28">
                  <c:v>163849.27100000001</c:v>
                </c:pt>
                <c:pt idx="29">
                  <c:v>193667.22600000002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4-40A3-B432-D374A460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64240"/>
        <c:axId val="570416352"/>
      </c:lineChart>
      <c:catAx>
        <c:axId val="192976424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År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570416352"/>
        <c:crosses val="autoZero"/>
        <c:auto val="1"/>
        <c:lblAlgn val="ctr"/>
        <c:lblOffset val="100"/>
        <c:noMultiLvlLbl val="0"/>
      </c:catAx>
      <c:valAx>
        <c:axId val="5704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strRef>
              <c:f>Figurer!$B$23</c:f>
              <c:strCache>
                <c:ptCount val="1"/>
                <c:pt idx="0">
                  <c:v>Produktionsværdi (mio.kr.)</c:v>
                </c:pt>
              </c:strCache>
            </c:strRef>
          </c:tx>
          <c:overlay val="0"/>
          <c:spPr>
            <a:noFill/>
            <a:ln>
              <a:noFill/>
              <a:prstDash val="solid"/>
            </a:ln>
          </c:spPr>
          <c:txPr>
            <a:bodyPr rot="-5400000" vert="horz"/>
            <a:lstStyle/>
            <a:p>
              <a:pPr>
                <a:defRPr b="0"/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da-DK"/>
          </a:p>
        </c:txPr>
        <c:crossAx val="1929764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a-DK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title>
      <c:tx>
        <c:rich>
          <a:bodyPr/>
          <a:lstStyle/>
          <a:p>
            <a:r>
              <a:rPr lang="da-DK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'Ark1'!$C$8:$AE$8</c:f>
              <c:numCache>
                <c:formatCode>General</c:formatCode>
                <c:ptCount val="29"/>
                <c:pt idx="0">
                  <c:v>3.593897296390544E-3</c:v>
                </c:pt>
                <c:pt idx="1">
                  <c:v>3.5537805260039048E-3</c:v>
                </c:pt>
                <c:pt idx="2">
                  <c:v>3.4831651072542423E-3</c:v>
                </c:pt>
                <c:pt idx="3">
                  <c:v>3.3718414746547426E-3</c:v>
                </c:pt>
                <c:pt idx="4">
                  <c:v>3.3706442007320177E-3</c:v>
                </c:pt>
                <c:pt idx="5">
                  <c:v>3.2879619078774167E-3</c:v>
                </c:pt>
                <c:pt idx="6">
                  <c:v>3.3029332167803425E-3</c:v>
                </c:pt>
                <c:pt idx="7">
                  <c:v>3.2710867838507082E-3</c:v>
                </c:pt>
                <c:pt idx="8">
                  <c:v>3.2742049471234285E-3</c:v>
                </c:pt>
                <c:pt idx="9">
                  <c:v>3.1546556034005228E-3</c:v>
                </c:pt>
                <c:pt idx="10">
                  <c:v>3.1556993529736517E-3</c:v>
                </c:pt>
                <c:pt idx="11">
                  <c:v>3.0686977970252778E-3</c:v>
                </c:pt>
                <c:pt idx="12">
                  <c:v>2.9918373168297935E-3</c:v>
                </c:pt>
                <c:pt idx="13">
                  <c:v>2.940854631799013E-3</c:v>
                </c:pt>
                <c:pt idx="14">
                  <c:v>2.8541788100496352E-3</c:v>
                </c:pt>
                <c:pt idx="15">
                  <c:v>2.7288377567353671E-3</c:v>
                </c:pt>
                <c:pt idx="16">
                  <c:v>2.6980220503681849E-3</c:v>
                </c:pt>
                <c:pt idx="17">
                  <c:v>2.7072402834087154E-3</c:v>
                </c:pt>
                <c:pt idx="18">
                  <c:v>2.7171033014282407E-3</c:v>
                </c:pt>
                <c:pt idx="19">
                  <c:v>2.7279151927455856E-3</c:v>
                </c:pt>
                <c:pt idx="20">
                  <c:v>2.7586134733894817E-3</c:v>
                </c:pt>
                <c:pt idx="21">
                  <c:v>2.8027205605946903E-3</c:v>
                </c:pt>
                <c:pt idx="22">
                  <c:v>2.7484374859959807E-3</c:v>
                </c:pt>
                <c:pt idx="23">
                  <c:v>2.7766298921972844E-3</c:v>
                </c:pt>
                <c:pt idx="24">
                  <c:v>2.7607654925244432E-3</c:v>
                </c:pt>
                <c:pt idx="25">
                  <c:v>2.7058373788976481E-3</c:v>
                </c:pt>
                <c:pt idx="26">
                  <c:v>2.7343233530383415E-3</c:v>
                </c:pt>
                <c:pt idx="27">
                  <c:v>2.7804883685689868E-3</c:v>
                </c:pt>
                <c:pt idx="28">
                  <c:v>2.752920759948005E-3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F-43F7-9897-72E33A8C7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401136"/>
        <c:axId val="1886404496"/>
      </c:lineChart>
      <c:catAx>
        <c:axId val="188640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86404496"/>
        <c:crosses val="autoZero"/>
        <c:auto val="1"/>
        <c:lblAlgn val="ctr"/>
        <c:lblOffset val="100"/>
        <c:noMultiLvlLbl val="0"/>
      </c:catAx>
      <c:valAx>
        <c:axId val="18864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864011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c:style val="2"/>
  <c:chart>
    <c:title>
      <c:tx>
        <c:rich>
          <a:bodyPr/>
          <a:lstStyle/>
          <a:p>
            <a:r>
              <a:rPr lang="da-DK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'Ark1'!$C$16:$AE$16</c:f>
              <c:numCache>
                <c:formatCode>General</c:formatCode>
                <c:ptCount val="29"/>
                <c:pt idx="0">
                  <c:v>0.73921773282743763</c:v>
                </c:pt>
                <c:pt idx="1">
                  <c:v>0.73096623713685294</c:v>
                </c:pt>
                <c:pt idx="2">
                  <c:v>0.71644156783057866</c:v>
                </c:pt>
                <c:pt idx="3">
                  <c:v>0.69354375063837193</c:v>
                </c:pt>
                <c:pt idx="4">
                  <c:v>0.69329748703044447</c:v>
                </c:pt>
                <c:pt idx="5">
                  <c:v>0.67629081933007995</c:v>
                </c:pt>
                <c:pt idx="6">
                  <c:v>0.67937022202636599</c:v>
                </c:pt>
                <c:pt idx="7">
                  <c:v>0.67281982672916907</c:v>
                </c:pt>
                <c:pt idx="8">
                  <c:v>0.67346119218704137</c:v>
                </c:pt>
                <c:pt idx="9">
                  <c:v>0.64887145365538956</c:v>
                </c:pt>
                <c:pt idx="10">
                  <c:v>0.64908613930983561</c:v>
                </c:pt>
                <c:pt idx="11">
                  <c:v>0.63119105560635624</c:v>
                </c:pt>
                <c:pt idx="12">
                  <c:v>0.61538185872941809</c:v>
                </c:pt>
                <c:pt idx="13">
                  <c:v>0.60489538631971407</c:v>
                </c:pt>
                <c:pt idx="14">
                  <c:v>0.58706730188645007</c:v>
                </c:pt>
                <c:pt idx="15">
                  <c:v>0.56128628433922323</c:v>
                </c:pt>
                <c:pt idx="16">
                  <c:v>0.5549478960332741</c:v>
                </c:pt>
                <c:pt idx="17">
                  <c:v>0.55684396616742615</c:v>
                </c:pt>
                <c:pt idx="18">
                  <c:v>0.55887266015001491</c:v>
                </c:pt>
                <c:pt idx="19">
                  <c:v>0.56109652497642803</c:v>
                </c:pt>
                <c:pt idx="20">
                  <c:v>0.56741076034483229</c:v>
                </c:pt>
                <c:pt idx="21">
                  <c:v>0.57648301208619446</c:v>
                </c:pt>
                <c:pt idx="22">
                  <c:v>0.56531769264980958</c:v>
                </c:pt>
                <c:pt idx="23">
                  <c:v>0.57111650237539879</c:v>
                </c:pt>
                <c:pt idx="24">
                  <c:v>0.5678534025726848</c:v>
                </c:pt>
                <c:pt idx="25">
                  <c:v>0.55655540703328321</c:v>
                </c:pt>
                <c:pt idx="26">
                  <c:v>0.56241459984962006</c:v>
                </c:pt>
                <c:pt idx="27">
                  <c:v>0.57191014056826572</c:v>
                </c:pt>
                <c:pt idx="28">
                  <c:v>0.56623984354426804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1-4C17-A747-2432F4C55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411696"/>
        <c:axId val="1886428496"/>
      </c:lineChart>
      <c:catAx>
        <c:axId val="1886411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86428496"/>
        <c:crosses val="autoZero"/>
        <c:auto val="1"/>
        <c:lblAlgn val="ctr"/>
        <c:lblOffset val="100"/>
        <c:noMultiLvlLbl val="0"/>
      </c:catAx>
      <c:valAx>
        <c:axId val="18864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864116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633325</xdr:colOff>
      <xdr:row>4</xdr:row>
      <xdr:rowOff>101657</xdr:rowOff>
    </xdr:from>
    <xdr:to>
      <xdr:col>42</xdr:col>
      <xdr:colOff>437976</xdr:colOff>
      <xdr:row>23</xdr:row>
      <xdr:rowOff>119147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232236</xdr:colOff>
      <xdr:row>4</xdr:row>
      <xdr:rowOff>166428</xdr:rowOff>
    </xdr:from>
    <xdr:to>
      <xdr:col>53</xdr:col>
      <xdr:colOff>55071</xdr:colOff>
      <xdr:row>23</xdr:row>
      <xdr:rowOff>168678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98713</xdr:colOff>
      <xdr:row>26</xdr:row>
      <xdr:rowOff>50569</xdr:rowOff>
    </xdr:from>
    <xdr:to>
      <xdr:col>42</xdr:col>
      <xdr:colOff>597996</xdr:colOff>
      <xdr:row>45</xdr:row>
      <xdr:rowOff>94383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346536</xdr:colOff>
      <xdr:row>26</xdr:row>
      <xdr:rowOff>17145</xdr:rowOff>
    </xdr:from>
    <xdr:to>
      <xdr:col>53</xdr:col>
      <xdr:colOff>173181</xdr:colOff>
      <xdr:row>45</xdr:row>
      <xdr:rowOff>56283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47</xdr:row>
      <xdr:rowOff>0</xdr:rowOff>
    </xdr:from>
    <xdr:to>
      <xdr:col>42</xdr:col>
      <xdr:colOff>497378</xdr:colOff>
      <xdr:row>66</xdr:row>
      <xdr:rowOff>49529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651510</xdr:colOff>
      <xdr:row>19</xdr:row>
      <xdr:rowOff>0</xdr:rowOff>
    </xdr:from>
    <xdr:to>
      <xdr:col>15</xdr:col>
      <xdr:colOff>205740</xdr:colOff>
      <xdr:row>41</xdr:row>
      <xdr:rowOff>78105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22</xdr:row>
      <xdr:rowOff>22860</xdr:rowOff>
    </xdr:from>
    <xdr:to>
      <xdr:col>24</xdr:col>
      <xdr:colOff>62865</xdr:colOff>
      <xdr:row>41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DREAM">
  <a:themeElements>
    <a:clrScheme name="DREAM">
      <a:dk1>
        <a:srgbClr val="000000"/>
      </a:dk1>
      <a:lt1>
        <a:srgbClr val="FFFFFF"/>
      </a:lt1>
      <a:dk2>
        <a:srgbClr val="46464C"/>
      </a:dk2>
      <a:lt2>
        <a:srgbClr val="E6E6E8"/>
      </a:lt2>
      <a:accent1>
        <a:srgbClr val="F55252"/>
      </a:accent1>
      <a:accent2>
        <a:srgbClr val="14AFA6"/>
      </a:accent2>
      <a:accent3>
        <a:srgbClr val="FF9B4B"/>
      </a:accent3>
      <a:accent4>
        <a:srgbClr val="5CD272"/>
      </a:accent4>
      <a:accent5>
        <a:srgbClr val="42B4E0"/>
      </a:accent5>
      <a:accent6>
        <a:srgbClr val="BCADDD"/>
      </a:accent6>
      <a:hlink>
        <a:srgbClr val="005FAD"/>
      </a:hlink>
      <a:folHlink>
        <a:srgbClr val="9D3083"/>
      </a:folHlink>
    </a:clrScheme>
    <a:fontScheme name="DREAM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EAM" id="{F32D46D0-4337-4C8C-9B09-ED50FCA20D85}" vid="{4DAE4FCA-1430-4AA5-9BA9-BAA441DECA3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zoomScaleNormal="100" workbookViewId="0">
      <selection activeCell="B24" sqref="B24"/>
    </sheetView>
  </sheetViews>
  <sheetFormatPr defaultRowHeight="14.25" x14ac:dyDescent="0.2"/>
  <cols>
    <col min="1" max="1" width="9" style="1" customWidth="1"/>
    <col min="3" max="3" width="12" style="6" bestFit="1" customWidth="1"/>
    <col min="4" max="21" width="10.875" style="6" bestFit="1" customWidth="1"/>
  </cols>
  <sheetData>
    <row r="1" spans="1:32" s="1" customFormat="1" x14ac:dyDescent="0.2"/>
    <row r="2" spans="1:32" s="3" customFormat="1" ht="15" customHeight="1" x14ac:dyDescent="0.25">
      <c r="A2" s="1"/>
      <c r="B2" s="2" t="s">
        <v>0</v>
      </c>
    </row>
    <row r="3" spans="1:32" ht="15" customHeight="1" x14ac:dyDescent="0.2">
      <c r="B3" t="s">
        <v>1</v>
      </c>
      <c r="C3" s="4">
        <v>1993</v>
      </c>
      <c r="D3" s="4">
        <v>1994</v>
      </c>
      <c r="E3" s="4">
        <v>1995</v>
      </c>
      <c r="F3" s="4">
        <v>1996</v>
      </c>
      <c r="G3" s="4">
        <v>1997</v>
      </c>
      <c r="H3" s="4">
        <v>1998</v>
      </c>
      <c r="I3" s="4">
        <v>1999</v>
      </c>
      <c r="J3" s="4">
        <v>2000</v>
      </c>
      <c r="K3" s="4">
        <v>2001</v>
      </c>
      <c r="L3" s="4">
        <v>2002</v>
      </c>
      <c r="M3" s="4">
        <v>2003</v>
      </c>
      <c r="N3" s="4">
        <v>2004</v>
      </c>
      <c r="O3" s="4">
        <v>2005</v>
      </c>
      <c r="P3" s="4">
        <v>2006</v>
      </c>
      <c r="Q3" s="4">
        <v>2007</v>
      </c>
      <c r="R3" s="4">
        <v>2008</v>
      </c>
      <c r="S3" s="4">
        <v>2009</v>
      </c>
      <c r="T3" s="4">
        <v>2010</v>
      </c>
      <c r="U3" s="4">
        <v>2011</v>
      </c>
      <c r="V3" s="4">
        <v>2012</v>
      </c>
      <c r="W3" s="4">
        <v>2013</v>
      </c>
      <c r="X3" s="4">
        <v>2014</v>
      </c>
      <c r="Y3" s="4">
        <v>2015</v>
      </c>
      <c r="Z3" s="4">
        <v>2016</v>
      </c>
      <c r="AA3" s="4">
        <v>2017</v>
      </c>
      <c r="AB3" s="4">
        <v>2018</v>
      </c>
      <c r="AC3" s="4">
        <v>2019</v>
      </c>
      <c r="AD3" s="4">
        <v>2020</v>
      </c>
      <c r="AE3" s="4">
        <v>2021</v>
      </c>
      <c r="AF3" s="4">
        <v>2022</v>
      </c>
    </row>
    <row r="4" spans="1:32" x14ac:dyDescent="0.2">
      <c r="B4" s="5" t="s">
        <v>2</v>
      </c>
      <c r="C4">
        <f>K!AC2/Y!AB2</f>
        <v>3.8077252979445113</v>
      </c>
      <c r="D4">
        <f>K!AD2/Y!AC2</f>
        <v>3.7963421735130507</v>
      </c>
      <c r="E4">
        <f>K!AE2/Y!AD2</f>
        <v>3.7117404503879627</v>
      </c>
      <c r="F4">
        <f>K!AF2/Y!AE2</f>
        <v>3.6385806162363425</v>
      </c>
      <c r="G4">
        <f>K!AG2/Y!AF2</f>
        <v>3.5119003532957858</v>
      </c>
      <c r="H4">
        <f>K!AH2/Y!AG2</f>
        <v>3.4295951039895831</v>
      </c>
      <c r="I4">
        <f>K!AI2/Y!AH2</f>
        <v>3.3311872386422294</v>
      </c>
      <c r="J4">
        <f>K!AJ2/Y!AI2</f>
        <v>3.2511994824420172</v>
      </c>
      <c r="K4">
        <f>K!AK2/Y!AJ2</f>
        <v>3.2921760920621899</v>
      </c>
      <c r="L4">
        <f>K!AL2/Y!AK2</f>
        <v>3.2198581047433135</v>
      </c>
      <c r="M4">
        <f>K!AM2/Y!AL2</f>
        <v>3.1861104113712519</v>
      </c>
      <c r="N4">
        <f>K!AN2/Y!AM2</f>
        <v>3.1220867418539031</v>
      </c>
      <c r="O4">
        <f>K!AO2/Y!AN2</f>
        <v>3.1630655300428514</v>
      </c>
      <c r="P4">
        <f>K!AP2/Y!AO2</f>
        <v>3.1188606601049655</v>
      </c>
      <c r="Q4">
        <f>K!AQ2/Y!AP2</f>
        <v>3.0233759683776276</v>
      </c>
      <c r="R4">
        <f>K!AR2/Y!AQ2</f>
        <v>3.3126754637363596</v>
      </c>
      <c r="S4">
        <f>K!AS2/Y!AR2</f>
        <v>3.2544970855264457</v>
      </c>
      <c r="T4">
        <f>K!AT2/Y!AS2</f>
        <v>3.0266334455879362</v>
      </c>
      <c r="U4">
        <f>K!AU2/Y!AT2</f>
        <v>3.0196825228925812</v>
      </c>
      <c r="V4">
        <f>K!AV2/Y!AU2</f>
        <v>2.8999906133579945</v>
      </c>
      <c r="W4">
        <f>K!AW2/Y!AV2</f>
        <v>2.8986267962474388</v>
      </c>
      <c r="X4">
        <f>K!AX2/Y!AW2</f>
        <v>2.7182299188900867</v>
      </c>
      <c r="Y4">
        <f>K!AY2/Y!AX2</f>
        <v>2.7176673002547487</v>
      </c>
      <c r="Z4">
        <f>K!AZ2/Y!AY2</f>
        <v>2.7445557007124139</v>
      </c>
      <c r="AA4">
        <f>K!BA2/Y!AZ2</f>
        <v>2.5806348180471406</v>
      </c>
      <c r="AB4">
        <f>K!BB2/Y!BA2</f>
        <v>2.562021699342381</v>
      </c>
      <c r="AC4">
        <f>K!BC2/Y!BB2</f>
        <v>2.5604579699630925</v>
      </c>
      <c r="AD4">
        <f>K!BD2/Y!BC2</f>
        <v>2.4410612352050087</v>
      </c>
      <c r="AE4">
        <f>K!BE2/Y!BD2</f>
        <v>2.3521220435781078</v>
      </c>
      <c r="AF4">
        <f>K!BF2/Y!BE2</f>
        <v>2.3398087580335942</v>
      </c>
    </row>
    <row r="5" spans="1:32" x14ac:dyDescent="0.2">
      <c r="B5" s="5" t="s">
        <v>3</v>
      </c>
      <c r="C5">
        <f>K!AC3/Y!AB3</f>
        <v>0.52835922240995392</v>
      </c>
      <c r="D5">
        <f>K!AD3/Y!AC3</f>
        <v>0.52816210206526681</v>
      </c>
      <c r="E5">
        <f>K!AE3/Y!AD3</f>
        <v>0.53503634817518364</v>
      </c>
      <c r="F5">
        <f>K!AF3/Y!AE3</f>
        <v>0.57693307054457932</v>
      </c>
      <c r="G5">
        <f>K!AG3/Y!AF3</f>
        <v>0.57365674354506557</v>
      </c>
      <c r="H5">
        <f>K!AH3/Y!AG3</f>
        <v>0.56357497276038704</v>
      </c>
      <c r="I5">
        <f>K!AI3/Y!AH3</f>
        <v>0.56419762765051884</v>
      </c>
      <c r="J5">
        <f>K!AJ3/Y!AI3</f>
        <v>0.57922844741604573</v>
      </c>
      <c r="K5">
        <f>K!AK3/Y!AJ3</f>
        <v>0.5810690250018159</v>
      </c>
      <c r="L5">
        <f>K!AL3/Y!AK3</f>
        <v>0.58110291569979811</v>
      </c>
      <c r="M5">
        <f>K!AM3/Y!AL3</f>
        <v>0.59126128151114143</v>
      </c>
      <c r="N5">
        <f>K!AN3/Y!AM3</f>
        <v>0.59842387707996714</v>
      </c>
      <c r="O5">
        <f>K!AO3/Y!AN3</f>
        <v>0.58545631345548454</v>
      </c>
      <c r="P5">
        <f>K!AP3/Y!AO3</f>
        <v>0.59115066280241657</v>
      </c>
      <c r="Q5">
        <f>K!AQ3/Y!AP3</f>
        <v>0.60357608081847025</v>
      </c>
      <c r="R5">
        <f>K!AR3/Y!AQ3</f>
        <v>0.63003686005163806</v>
      </c>
      <c r="S5">
        <f>K!AS3/Y!AR3</f>
        <v>0.67656445900393214</v>
      </c>
      <c r="T5">
        <f>K!AT3/Y!AS3</f>
        <v>0.69034713408358339</v>
      </c>
      <c r="U5">
        <f>K!AU3/Y!AT3</f>
        <v>0.67644002976423356</v>
      </c>
      <c r="V5">
        <f>K!AV3/Y!AU3</f>
        <v>0.69748481257816208</v>
      </c>
      <c r="W5">
        <f>K!AW3/Y!AV3</f>
        <v>0.68608597403629079</v>
      </c>
      <c r="X5">
        <f>K!AX3/Y!AW3</f>
        <v>0.67940310322100139</v>
      </c>
      <c r="Y5">
        <f>K!AY3/Y!AX3</f>
        <v>0.66855875570605494</v>
      </c>
      <c r="Z5">
        <f>K!AZ3/Y!AY3</f>
        <v>0.66079696700934132</v>
      </c>
      <c r="AA5">
        <f>K!BA3/Y!AZ3</f>
        <v>0.63936832004907074</v>
      </c>
      <c r="AB5">
        <f>K!BB3/Y!BA3</f>
        <v>0.65299651597102204</v>
      </c>
      <c r="AC5">
        <f>K!BC3/Y!BB3</f>
        <v>0.65241208938962136</v>
      </c>
      <c r="AD5">
        <f>K!BD3/Y!BC3</f>
        <v>0.62824603856125039</v>
      </c>
      <c r="AE5">
        <f>K!BE3/Y!BD3</f>
        <v>0.61638190297553186</v>
      </c>
      <c r="AF5">
        <f>K!BF3/Y!BE3</f>
        <v>0.60815322931160121</v>
      </c>
    </row>
    <row r="6" spans="1:32" x14ac:dyDescent="0.2">
      <c r="B6" s="4" t="s">
        <v>4</v>
      </c>
      <c r="C6">
        <f>K!AC4/Y!AB4</f>
        <v>2.4616773419189166</v>
      </c>
      <c r="D6">
        <f>K!AD4/Y!AC4</f>
        <v>2.3515401918247241</v>
      </c>
      <c r="E6">
        <f>K!AE4/Y!AD4</f>
        <v>2.2948130522301602</v>
      </c>
      <c r="F6">
        <f>K!AF4/Y!AE4</f>
        <v>2.2584457556664836</v>
      </c>
      <c r="G6">
        <f>K!AG4/Y!AF4</f>
        <v>2.2140410026987531</v>
      </c>
      <c r="H6">
        <f>K!AH4/Y!AG4</f>
        <v>2.1876465226155672</v>
      </c>
      <c r="I6">
        <f>K!AI4/Y!AH4</f>
        <v>2.1233422828056963</v>
      </c>
      <c r="J6">
        <f>K!AJ4/Y!AI4</f>
        <v>2.0526324230727151</v>
      </c>
      <c r="K6">
        <f>K!AK4/Y!AJ4</f>
        <v>2.0344495352201006</v>
      </c>
      <c r="L6">
        <f>K!AL4/Y!AK4</f>
        <v>2.0392740307993753</v>
      </c>
      <c r="M6">
        <f>K!AM4/Y!AL4</f>
        <v>2.060521418353265</v>
      </c>
      <c r="N6">
        <f>K!AN4/Y!AM4</f>
        <v>2.0392376042501361</v>
      </c>
      <c r="O6">
        <f>K!AO4/Y!AN4</f>
        <v>1.9534888811222839</v>
      </c>
      <c r="P6">
        <f>K!AP4/Y!AO4</f>
        <v>1.8903322826168019</v>
      </c>
      <c r="Q6">
        <f>K!AQ4/Y!AP4</f>
        <v>1.8657845724507804</v>
      </c>
      <c r="R6">
        <f>K!AR4/Y!AQ4</f>
        <v>1.8875529877200221</v>
      </c>
      <c r="S6">
        <f>K!AS4/Y!AR4</f>
        <v>2.0690829646908528</v>
      </c>
      <c r="T6">
        <f>K!AT4/Y!AS4</f>
        <v>2.0736869297009739</v>
      </c>
      <c r="U6">
        <f>K!AU4/Y!AT4</f>
        <v>2.0099219446762269</v>
      </c>
      <c r="V6">
        <f>K!AV4/Y!AU4</f>
        <v>2.0015535618939726</v>
      </c>
      <c r="W6">
        <f>K!AW4/Y!AV4</f>
        <v>2.0063405466726816</v>
      </c>
      <c r="X6">
        <f>K!AX4/Y!AW4</f>
        <v>1.9791656009264467</v>
      </c>
      <c r="Y6">
        <f>K!AY4/Y!AX4</f>
        <v>1.9483866035828421</v>
      </c>
      <c r="Z6">
        <f>K!AZ4/Y!AY4</f>
        <v>1.8942182933831384</v>
      </c>
      <c r="AA6">
        <f>K!BA4/Y!AZ4</f>
        <v>1.8677731492134451</v>
      </c>
      <c r="AB6">
        <f>K!BB4/Y!BA4</f>
        <v>1.8609621740392868</v>
      </c>
      <c r="AC6">
        <f>K!BC4/Y!BB4</f>
        <v>1.8550375466330262</v>
      </c>
      <c r="AD6">
        <f>K!BD4/Y!BC4</f>
        <v>1.9253780215449412</v>
      </c>
      <c r="AE6">
        <f>K!BE4/Y!BD4</f>
        <v>1.843407329218969</v>
      </c>
      <c r="AF6">
        <f>K!BF4/Y!BE4</f>
        <v>1.8182721339886481</v>
      </c>
    </row>
    <row r="7" spans="1:32" s="1" customFormat="1" x14ac:dyDescent="0.2"/>
    <row r="8" spans="1:32" ht="15" customHeight="1" x14ac:dyDescent="0.2">
      <c r="B8" t="s">
        <v>5</v>
      </c>
      <c r="C8" s="4">
        <v>1993</v>
      </c>
      <c r="D8" s="4">
        <v>1994</v>
      </c>
      <c r="E8" s="4">
        <v>1995</v>
      </c>
      <c r="F8" s="4">
        <v>1996</v>
      </c>
      <c r="G8" s="4">
        <v>1997</v>
      </c>
      <c r="H8" s="4">
        <v>1998</v>
      </c>
      <c r="I8" s="4">
        <v>1999</v>
      </c>
      <c r="J8" s="4">
        <v>2000</v>
      </c>
      <c r="K8" s="4">
        <v>2001</v>
      </c>
      <c r="L8" s="4">
        <v>2002</v>
      </c>
      <c r="M8" s="4">
        <v>2003</v>
      </c>
      <c r="N8" s="4">
        <v>2004</v>
      </c>
      <c r="O8" s="4">
        <v>2005</v>
      </c>
      <c r="P8" s="4">
        <v>2006</v>
      </c>
      <c r="Q8" s="4">
        <v>2007</v>
      </c>
      <c r="R8" s="4">
        <v>2008</v>
      </c>
      <c r="S8" s="4">
        <v>2009</v>
      </c>
      <c r="T8" s="4">
        <v>2010</v>
      </c>
      <c r="U8" s="4">
        <v>2011</v>
      </c>
      <c r="V8" s="4">
        <v>2012</v>
      </c>
      <c r="W8" s="4">
        <v>2013</v>
      </c>
      <c r="X8" s="4">
        <v>2014</v>
      </c>
      <c r="Y8" s="4">
        <v>2015</v>
      </c>
      <c r="Z8" s="4">
        <v>2016</v>
      </c>
      <c r="AA8" s="4">
        <v>2017</v>
      </c>
      <c r="AB8" s="4">
        <v>2018</v>
      </c>
      <c r="AC8" s="4">
        <v>2019</v>
      </c>
      <c r="AD8" s="4">
        <v>2020</v>
      </c>
      <c r="AE8" s="4">
        <v>2021</v>
      </c>
      <c r="AF8" s="4">
        <v>2022</v>
      </c>
    </row>
    <row r="9" spans="1:32" x14ac:dyDescent="0.2">
      <c r="B9" s="5" t="s">
        <v>2</v>
      </c>
      <c r="C9">
        <f>L!AC2/Y!AB2</f>
        <v>2.9571061900341873E-3</v>
      </c>
      <c r="D9">
        <f>L!AD2/Y!AC2</f>
        <v>2.720224890024772E-3</v>
      </c>
      <c r="E9">
        <f>L!AE2/Y!AD2</f>
        <v>2.5938705575138431E-3</v>
      </c>
      <c r="F9">
        <f>L!AF2/Y!AE2</f>
        <v>2.4622548590230125E-3</v>
      </c>
      <c r="G9">
        <f>L!AG2/Y!AF2</f>
        <v>2.2490593304871432E-3</v>
      </c>
      <c r="H9">
        <f>L!AH2/Y!AG2</f>
        <v>2.1981131699205067E-3</v>
      </c>
      <c r="I9">
        <f>L!AI2/Y!AH2</f>
        <v>2.0810781017843272E-3</v>
      </c>
      <c r="J9">
        <f>L!AJ2/Y!AI2</f>
        <v>2.0012298609385845E-3</v>
      </c>
      <c r="K9">
        <f>L!AK2/Y!AJ2</f>
        <v>1.9761812809949773E-3</v>
      </c>
      <c r="L9">
        <f>L!AL2/Y!AK2</f>
        <v>1.9525671312182326E-3</v>
      </c>
      <c r="M9">
        <f>L!AM2/Y!AL2</f>
        <v>1.7986187030096818E-3</v>
      </c>
      <c r="N9">
        <f>L!AN2/Y!AM2</f>
        <v>1.7628057536845038E-3</v>
      </c>
      <c r="O9">
        <f>L!AO2/Y!AN2</f>
        <v>1.6926505251122627E-3</v>
      </c>
      <c r="P9">
        <f>L!AP2/Y!AO2</f>
        <v>1.5598336680504611E-3</v>
      </c>
      <c r="Q9">
        <f>L!AQ2/Y!AP2</f>
        <v>1.4498637164863106E-3</v>
      </c>
      <c r="R9">
        <f>L!AR2/Y!AQ2</f>
        <v>1.4959989007214483E-3</v>
      </c>
      <c r="S9">
        <f>L!AS2/Y!AR2</f>
        <v>1.387964906889663E-3</v>
      </c>
      <c r="T9">
        <f>L!AT2/Y!AS2</f>
        <v>1.2748987368168404E-3</v>
      </c>
      <c r="U9">
        <f>L!AU2/Y!AT2</f>
        <v>1.280283810605583E-3</v>
      </c>
      <c r="V9">
        <f>L!AV2/Y!AU2</f>
        <v>1.2329952538077515E-3</v>
      </c>
      <c r="W9">
        <f>L!AW2/Y!AV2</f>
        <v>1.2378855625693854E-3</v>
      </c>
      <c r="X9">
        <f>L!AX2/Y!AW2</f>
        <v>1.1903989993434811E-3</v>
      </c>
      <c r="Y9">
        <f>L!AY2/Y!AX2</f>
        <v>1.2304795824457401E-3</v>
      </c>
      <c r="Z9">
        <f>L!AZ2/Y!AY2</f>
        <v>1.191072329811083E-3</v>
      </c>
      <c r="AA9">
        <f>L!BA2/Y!AZ2</f>
        <v>1.1456602128689097E-3</v>
      </c>
      <c r="AB9">
        <f>L!BB2/Y!BA2</f>
        <v>1.1286612709062456E-3</v>
      </c>
      <c r="AC9">
        <f>L!BC2/Y!BB2</f>
        <v>1.084437361669352E-3</v>
      </c>
      <c r="AD9">
        <f>L!BD2/Y!BC2</f>
        <v>1.0619412611705841E-3</v>
      </c>
      <c r="AE9">
        <f>L!BE2/Y!BD2</f>
        <v>1.0522320225493115E-3</v>
      </c>
      <c r="AF9">
        <f>L!BF2/Y!BE2</f>
        <v>1.0369286229544104E-3</v>
      </c>
    </row>
    <row r="10" spans="1:32" x14ac:dyDescent="0.2">
      <c r="B10" s="5" t="s">
        <v>3</v>
      </c>
      <c r="C10">
        <f>L!AC3/Y!AB3</f>
        <v>8.2931062431913305E-4</v>
      </c>
      <c r="D10">
        <f>L!AD3/Y!AC3</f>
        <v>8.0005674771232744E-4</v>
      </c>
      <c r="E10">
        <f>L!AE3/Y!AD3</f>
        <v>8.2014870053754392E-4</v>
      </c>
      <c r="F10">
        <f>L!AF3/Y!AE3</f>
        <v>8.3500120890614546E-4</v>
      </c>
      <c r="G10">
        <f>L!AG3/Y!AF3</f>
        <v>8.0733324585426547E-4</v>
      </c>
      <c r="H10">
        <f>L!AH3/Y!AG3</f>
        <v>7.6728455810657281E-4</v>
      </c>
      <c r="I10">
        <f>L!AI3/Y!AH3</f>
        <v>7.7699080300626757E-4</v>
      </c>
      <c r="J10">
        <f>L!AJ3/Y!AI3</f>
        <v>7.821711154001518E-4</v>
      </c>
      <c r="K10">
        <f>L!AK3/Y!AJ3</f>
        <v>7.6541953009761081E-4</v>
      </c>
      <c r="L10">
        <f>L!AL3/Y!AK3</f>
        <v>7.4903170581302504E-4</v>
      </c>
      <c r="M10">
        <f>L!AM3/Y!AL3</f>
        <v>7.0315810333370331E-4</v>
      </c>
      <c r="N10">
        <f>L!AN3/Y!AM3</f>
        <v>6.6675638321628803E-4</v>
      </c>
      <c r="O10">
        <f>L!AO3/Y!AN3</f>
        <v>6.058823313986574E-4</v>
      </c>
      <c r="P10">
        <f>L!AP3/Y!AO3</f>
        <v>5.867602585808273E-4</v>
      </c>
      <c r="Q10">
        <f>L!AQ3/Y!AP3</f>
        <v>5.657362199130376E-4</v>
      </c>
      <c r="R10">
        <f>L!AR3/Y!AQ3</f>
        <v>5.6496007691205689E-4</v>
      </c>
      <c r="S10">
        <f>L!AS3/Y!AR3</f>
        <v>5.5166167896285821E-4</v>
      </c>
      <c r="T10">
        <f>L!AT3/Y!AS3</f>
        <v>5.4790080292236708E-4</v>
      </c>
      <c r="U10">
        <f>L!AU3/Y!AT3</f>
        <v>5.2641202064718652E-4</v>
      </c>
      <c r="V10">
        <f>L!AV3/Y!AU3</f>
        <v>5.1376452996327834E-4</v>
      </c>
      <c r="W10">
        <f>L!AW3/Y!AV3</f>
        <v>4.8780999297967984E-4</v>
      </c>
      <c r="X10">
        <f>L!AX3/Y!AW3</f>
        <v>4.556099197622484E-4</v>
      </c>
      <c r="Y10">
        <f>L!AY3/Y!AX3</f>
        <v>4.4233013766696095E-4</v>
      </c>
      <c r="Z10">
        <f>L!AZ3/Y!AY3</f>
        <v>4.4361709671220703E-4</v>
      </c>
      <c r="AA10">
        <f>L!BA3/Y!AZ3</f>
        <v>4.3730309702794823E-4</v>
      </c>
      <c r="AB10">
        <f>L!BB3/Y!BA3</f>
        <v>4.251981041177492E-4</v>
      </c>
      <c r="AC10">
        <f>L!BC3/Y!BB3</f>
        <v>4.2106630106010431E-4</v>
      </c>
      <c r="AD10">
        <f>L!BD3/Y!BC3</f>
        <v>4.3470647627507855E-4</v>
      </c>
      <c r="AE10">
        <f>L!BE3/Y!BD3</f>
        <v>4.2502419760662602E-4</v>
      </c>
      <c r="AF10">
        <f>L!BF3/Y!BE3</f>
        <v>4.1439250630045905E-4</v>
      </c>
    </row>
    <row r="11" spans="1:32" x14ac:dyDescent="0.2">
      <c r="B11" s="4" t="s">
        <v>4</v>
      </c>
      <c r="C11">
        <f>L!AC4/Y!AB4</f>
        <v>1.3646965896958014E-3</v>
      </c>
      <c r="D11">
        <f>L!AD4/Y!AC4</f>
        <v>1.2804717194673083E-3</v>
      </c>
      <c r="E11">
        <f>L!AE4/Y!AD4</f>
        <v>1.262034790848931E-3</v>
      </c>
      <c r="F11">
        <f>L!AF4/Y!AE4</f>
        <v>1.237055008645958E-3</v>
      </c>
      <c r="G11">
        <f>L!AG4/Y!AF4</f>
        <v>1.2205198259004854E-3</v>
      </c>
      <c r="H11">
        <f>L!AH4/Y!AG4</f>
        <v>1.2120392358727133E-3</v>
      </c>
      <c r="I11">
        <f>L!AI4/Y!AH4</f>
        <v>1.1887710864389312E-3</v>
      </c>
      <c r="J11">
        <f>L!AJ4/Y!AI4</f>
        <v>1.155820864243407E-3</v>
      </c>
      <c r="K11">
        <f>L!AK4/Y!AJ4</f>
        <v>1.1370958039178174E-3</v>
      </c>
      <c r="L11">
        <f>L!AL4/Y!AK4</f>
        <v>1.1169496346102408E-3</v>
      </c>
      <c r="M11">
        <f>L!AM4/Y!AL4</f>
        <v>1.0897775930079838E-3</v>
      </c>
      <c r="N11">
        <f>L!AN4/Y!AM4</f>
        <v>1.0578908129609274E-3</v>
      </c>
      <c r="O11">
        <f>L!AO4/Y!AN4</f>
        <v>1.0023198741863108E-3</v>
      </c>
      <c r="P11">
        <f>L!AP4/Y!AO4</f>
        <v>9.701707043383174E-4</v>
      </c>
      <c r="Q11">
        <f>L!AQ4/Y!AP4</f>
        <v>9.4921589022155446E-4</v>
      </c>
      <c r="R11">
        <f>L!AR4/Y!AQ4</f>
        <v>9.550093968498422E-4</v>
      </c>
      <c r="S11">
        <f>L!AS4/Y!AR4</f>
        <v>9.6865385630070925E-4</v>
      </c>
      <c r="T11">
        <f>L!AT4/Y!AS4</f>
        <v>9.4123228588325876E-4</v>
      </c>
      <c r="U11">
        <f>L!AU4/Y!AT4</f>
        <v>9.2798146998814154E-4</v>
      </c>
      <c r="V11">
        <f>L!AV4/Y!AU4</f>
        <v>9.0670262240157896E-4</v>
      </c>
      <c r="W11">
        <f>L!AW4/Y!AV4</f>
        <v>9.0575806067736461E-4</v>
      </c>
      <c r="X11">
        <f>L!AX4/Y!AW4</f>
        <v>8.871575788705168E-4</v>
      </c>
      <c r="Y11">
        <f>L!AY4/Y!AX4</f>
        <v>8.7891484283915357E-4</v>
      </c>
      <c r="Z11">
        <f>L!AZ4/Y!AY4</f>
        <v>8.679395928853661E-4</v>
      </c>
      <c r="AA11">
        <f>L!BA4/Y!AZ4</f>
        <v>8.5384022772061518E-4</v>
      </c>
      <c r="AB11">
        <f>L!BB4/Y!BA4</f>
        <v>8.3459209639438422E-4</v>
      </c>
      <c r="AC11">
        <f>L!BC4/Y!BB4</f>
        <v>8.2770221391731966E-4</v>
      </c>
      <c r="AD11">
        <f>L!BD4/Y!BC4</f>
        <v>8.1094342997583744E-4</v>
      </c>
      <c r="AE11">
        <f>L!BE4/Y!BD4</f>
        <v>8.065779364724592E-4</v>
      </c>
      <c r="AF11">
        <f>L!BF4/Y!BE4</f>
        <v>8.1986545075490229E-4</v>
      </c>
    </row>
    <row r="12" spans="1:32" s="1" customFormat="1" x14ac:dyDescent="0.2"/>
    <row r="13" spans="1:32" ht="15" customHeight="1" x14ac:dyDescent="0.2">
      <c r="B13" t="s">
        <v>6</v>
      </c>
      <c r="C13" s="4">
        <v>1993</v>
      </c>
      <c r="D13" s="4">
        <v>1994</v>
      </c>
      <c r="E13" s="4">
        <v>1995</v>
      </c>
      <c r="F13" s="4">
        <v>1996</v>
      </c>
      <c r="G13" s="4">
        <v>1997</v>
      </c>
      <c r="H13" s="4">
        <v>1998</v>
      </c>
      <c r="I13" s="4">
        <v>1999</v>
      </c>
      <c r="J13" s="4">
        <v>2000</v>
      </c>
      <c r="K13" s="4">
        <v>2001</v>
      </c>
      <c r="L13" s="4">
        <v>2002</v>
      </c>
      <c r="M13" s="4">
        <v>2003</v>
      </c>
      <c r="N13" s="4">
        <v>2004</v>
      </c>
      <c r="O13" s="4">
        <v>2005</v>
      </c>
      <c r="P13" s="4">
        <v>2006</v>
      </c>
      <c r="Q13" s="4">
        <v>2007</v>
      </c>
      <c r="R13" s="4">
        <v>2008</v>
      </c>
      <c r="S13" s="4">
        <v>2009</v>
      </c>
      <c r="T13" s="4">
        <v>2010</v>
      </c>
      <c r="U13" s="4">
        <v>2011</v>
      </c>
      <c r="V13" s="4">
        <v>2012</v>
      </c>
      <c r="W13" s="4">
        <v>2013</v>
      </c>
      <c r="X13" s="4">
        <v>2014</v>
      </c>
      <c r="Y13" s="4">
        <v>2015</v>
      </c>
      <c r="Z13" s="4">
        <v>2016</v>
      </c>
      <c r="AA13" s="4">
        <v>2017</v>
      </c>
      <c r="AB13" s="4">
        <v>2018</v>
      </c>
      <c r="AC13" s="4">
        <v>2019</v>
      </c>
      <c r="AD13" s="4">
        <v>2020</v>
      </c>
      <c r="AE13" s="4">
        <v>2021</v>
      </c>
      <c r="AF13" s="4">
        <v>2022</v>
      </c>
    </row>
    <row r="14" spans="1:32" x14ac:dyDescent="0.2">
      <c r="B14" s="5" t="s">
        <v>2</v>
      </c>
      <c r="C14">
        <f>Mtot!AB2/Y!AB2</f>
        <v>0.76620736312572779</v>
      </c>
      <c r="D14">
        <f>Mtot!AC2/Y!AC2</f>
        <v>0.7452835827684271</v>
      </c>
      <c r="E14">
        <f>Mtot!AD2/Y!AD2</f>
        <v>0.71846462786146437</v>
      </c>
      <c r="F14">
        <f>Mtot!AE2/Y!AE2</f>
        <v>0.70156608433083023</v>
      </c>
      <c r="G14">
        <f>Mtot!AF2/Y!AF2</f>
        <v>0.70675842059277694</v>
      </c>
      <c r="H14">
        <f>Mtot!AG2/Y!AG2</f>
        <v>0.71425457755835131</v>
      </c>
      <c r="I14">
        <f>Mtot!AH2/Y!AH2</f>
        <v>0.72524136716959797</v>
      </c>
      <c r="J14">
        <f>Mtot!AI2/Y!AI2</f>
        <v>0.68987440388923338</v>
      </c>
      <c r="K14">
        <f>Mtot!AJ2/Y!AJ2</f>
        <v>0.67408989354765481</v>
      </c>
      <c r="L14">
        <f>Mtot!AK2/Y!AK2</f>
        <v>0.69365898127970615</v>
      </c>
      <c r="M14">
        <f>Mtot!AL2/Y!AL2</f>
        <v>0.67367550927245101</v>
      </c>
      <c r="N14">
        <f>Mtot!AM2/Y!AM2</f>
        <v>0.66906686417753136</v>
      </c>
      <c r="O14">
        <f>Mtot!AN2/Y!AN2</f>
        <v>0.67379998066328239</v>
      </c>
      <c r="P14">
        <f>Mtot!AO2/Y!AO2</f>
        <v>0.6675879584347244</v>
      </c>
      <c r="Q14">
        <f>Mtot!AP2/Y!AP2</f>
        <v>0.63950320807895134</v>
      </c>
      <c r="R14">
        <f>Mtot!AQ2/Y!AQ2</f>
        <v>0.70136201076162996</v>
      </c>
      <c r="S14">
        <f>Mtot!AR2/Y!AR2</f>
        <v>0.7099127074368532</v>
      </c>
      <c r="T14">
        <f>Mtot!AS2/Y!AS2</f>
        <v>0.66096247425993992</v>
      </c>
      <c r="U14">
        <f>Mtot!AT2/Y!AT2</f>
        <v>0.68458468947877171</v>
      </c>
      <c r="V14">
        <f>Mtot!AU2/Y!AU2</f>
        <v>0.65878159289972693</v>
      </c>
      <c r="W14">
        <f>Mtot!AV2/Y!AV2</f>
        <v>0.67841674562354226</v>
      </c>
      <c r="X14">
        <f>Mtot!AW2/Y!AW2</f>
        <v>0.63776653550598561</v>
      </c>
      <c r="Y14">
        <f>Mtot!AX2/Y!AX2</f>
        <v>0.67939450949287605</v>
      </c>
      <c r="Z14">
        <f>Mtot!AY2/Y!AY2</f>
        <v>0.702863266899869</v>
      </c>
      <c r="AA14">
        <f>Mtot!AZ2/Y!AZ2</f>
        <v>0.67679085296325525</v>
      </c>
      <c r="AB14">
        <f>Mtot!BA2/Y!BA2</f>
        <v>0.68133159318025016</v>
      </c>
      <c r="AC14">
        <f>Mtot!BB2/Y!BB2</f>
        <v>0.65771178943159636</v>
      </c>
      <c r="AD14">
        <f>Mtot!BC2/Y!BC2</f>
        <v>0.66336032225973363</v>
      </c>
      <c r="AE14">
        <f>Mtot!BD2/Y!BD2</f>
        <v>0.64882567804375979</v>
      </c>
      <c r="AF14">
        <f>Mtot!BE2/Y!BE2</f>
        <v>0.66658912955315996</v>
      </c>
    </row>
    <row r="15" spans="1:32" x14ac:dyDescent="0.2">
      <c r="B15" s="5" t="s">
        <v>3</v>
      </c>
      <c r="C15">
        <f>Mtot!AB3/Y!AB3</f>
        <v>0.77039684968885669</v>
      </c>
      <c r="D15">
        <f>Mtot!AC3/Y!AC3</f>
        <v>0.77248455553832229</v>
      </c>
      <c r="E15">
        <f>Mtot!AD3/Y!AD3</f>
        <v>0.75953472360136975</v>
      </c>
      <c r="F15">
        <f>Mtot!AE3/Y!AE3</f>
        <v>0.7629533189589307</v>
      </c>
      <c r="G15">
        <f>Mtot!AF3/Y!AF3</f>
        <v>0.74730071165189504</v>
      </c>
      <c r="H15">
        <f>Mtot!AG3/Y!AG3</f>
        <v>0.75383100893836097</v>
      </c>
      <c r="I15">
        <f>Mtot!AH3/Y!AH3</f>
        <v>0.74330711286225548</v>
      </c>
      <c r="J15">
        <f>Mtot!AI3/Y!AI3</f>
        <v>0.75131890374278676</v>
      </c>
      <c r="K15">
        <f>Mtot!AJ3/Y!AJ3</f>
        <v>0.74575778653896962</v>
      </c>
      <c r="L15">
        <f>Mtot!AK3/Y!AK3</f>
        <v>0.77341528379108115</v>
      </c>
      <c r="M15">
        <f>Mtot!AL3/Y!AL3</f>
        <v>0.79161876714914436</v>
      </c>
      <c r="N15">
        <f>Mtot!AM3/Y!AM3</f>
        <v>0.78454015144318423</v>
      </c>
      <c r="O15">
        <f>Mtot!AN3/Y!AN3</f>
        <v>0.78357738904290297</v>
      </c>
      <c r="P15">
        <f>Mtot!AO3/Y!AO3</f>
        <v>0.80064530892411789</v>
      </c>
      <c r="Q15">
        <f>Mtot!AP3/Y!AP3</f>
        <v>0.80499144214337781</v>
      </c>
      <c r="R15">
        <f>Mtot!AQ3/Y!AQ3</f>
        <v>0.81238960100568824</v>
      </c>
      <c r="S15">
        <f>Mtot!AR3/Y!AR3</f>
        <v>0.80577943204797176</v>
      </c>
      <c r="T15">
        <f>Mtot!AS3/Y!AS3</f>
        <v>0.79493389183978602</v>
      </c>
      <c r="U15">
        <f>Mtot!AT3/Y!AT3</f>
        <v>0.79904145405913651</v>
      </c>
      <c r="V15">
        <f>Mtot!AU3/Y!AU3</f>
        <v>0.79955210312535641</v>
      </c>
      <c r="W15">
        <f>Mtot!AV3/Y!AV3</f>
        <v>0.80071920823227238</v>
      </c>
      <c r="X15">
        <f>Mtot!AW3/Y!AW3</f>
        <v>0.79959697233129401</v>
      </c>
      <c r="Y15">
        <f>Mtot!AX3/Y!AX3</f>
        <v>0.8191189718210985</v>
      </c>
      <c r="Z15">
        <f>Mtot!AY3/Y!AY3</f>
        <v>0.81317473552130681</v>
      </c>
      <c r="AA15">
        <f>Mtot!AZ3/Y!AZ3</f>
        <v>0.804724177588788</v>
      </c>
      <c r="AB15">
        <f>Mtot!BA3/Y!BA3</f>
        <v>0.81478888229207513</v>
      </c>
      <c r="AC15">
        <f>Mtot!BB3/Y!BB3</f>
        <v>0.80148274195721503</v>
      </c>
      <c r="AD15">
        <f>Mtot!BC3/Y!BC3</f>
        <v>0.80671111646555627</v>
      </c>
      <c r="AE15">
        <f>Mtot!BD3/Y!BD3</f>
        <v>0.78810018771998713</v>
      </c>
      <c r="AF15">
        <f>Mtot!BE3/Y!BE3</f>
        <v>0.76577920548026812</v>
      </c>
    </row>
    <row r="16" spans="1:32" x14ac:dyDescent="0.2">
      <c r="B16" s="4" t="s">
        <v>4</v>
      </c>
      <c r="C16">
        <f>Mtot!AB4/Y!AB4</f>
        <v>0.46238201578681493</v>
      </c>
      <c r="D16">
        <f>Mtot!AC4/Y!AC4</f>
        <v>0.46011318080426483</v>
      </c>
      <c r="E16">
        <f>Mtot!AD4/Y!AD4</f>
        <v>0.4617980058756615</v>
      </c>
      <c r="F16">
        <f>Mtot!AE4/Y!AE4</f>
        <v>0.46160346119058387</v>
      </c>
      <c r="G16">
        <f>Mtot!AF4/Y!AF4</f>
        <v>0.45895152066745509</v>
      </c>
      <c r="H16">
        <f>Mtot!AG4/Y!AG4</f>
        <v>0.46213650404359208</v>
      </c>
      <c r="I16">
        <f>Mtot!AH4/Y!AH4</f>
        <v>0.46563593355404542</v>
      </c>
      <c r="J16">
        <f>Mtot!AI4/Y!AI4</f>
        <v>0.46040943303564086</v>
      </c>
      <c r="K16">
        <f>Mtot!AJ4/Y!AJ4</f>
        <v>0.46660543543998417</v>
      </c>
      <c r="L16">
        <f>Mtot!AK4/Y!AK4</f>
        <v>0.47178734884005202</v>
      </c>
      <c r="M16">
        <f>Mtot!AL4/Y!AL4</f>
        <v>0.4658226248911822</v>
      </c>
      <c r="N16">
        <f>Mtot!AM4/Y!AM4</f>
        <v>0.46478706693682886</v>
      </c>
      <c r="O16">
        <f>Mtot!AN4/Y!AN4</f>
        <v>0.477480933994891</v>
      </c>
      <c r="P16">
        <f>Mtot!AO4/Y!AO4</f>
        <v>0.48094881122237387</v>
      </c>
      <c r="Q16">
        <f>Mtot!AP4/Y!AP4</f>
        <v>0.48357202805495209</v>
      </c>
      <c r="R16">
        <f>Mtot!AQ4/Y!AQ4</f>
        <v>0.48474845479935164</v>
      </c>
      <c r="S16">
        <f>Mtot!AR4/Y!AR4</f>
        <v>0.47578124939844213</v>
      </c>
      <c r="T16">
        <f>Mtot!AS4/Y!AS4</f>
        <v>0.46949681115631225</v>
      </c>
      <c r="U16">
        <f>Mtot!AT4/Y!AT4</f>
        <v>0.46966511136644112</v>
      </c>
      <c r="V16">
        <f>Mtot!AU4/Y!AU4</f>
        <v>0.47236824103840974</v>
      </c>
      <c r="W16">
        <f>Mtot!AV4/Y!AV4</f>
        <v>0.4690183200065462</v>
      </c>
      <c r="X16">
        <f>Mtot!AW4/Y!AW4</f>
        <v>0.47329799120551319</v>
      </c>
      <c r="Y16">
        <f>Mtot!AX4/Y!AX4</f>
        <v>0.47979942197458986</v>
      </c>
      <c r="Z16">
        <f>Mtot!AY4/Y!AY4</f>
        <v>0.47831762077871004</v>
      </c>
      <c r="AA16">
        <f>Mtot!AZ4/Y!AZ4</f>
        <v>0.47511011785124718</v>
      </c>
      <c r="AB16">
        <f>Mtot!BA4/Y!BA4</f>
        <v>0.47492441164331334</v>
      </c>
      <c r="AC16">
        <f>Mtot!BB4/Y!BB4</f>
        <v>0.47535257752160776</v>
      </c>
      <c r="AD16">
        <f>Mtot!BC4/Y!BC4</f>
        <v>0.47975155541100656</v>
      </c>
      <c r="AE16">
        <f>Mtot!BD4/Y!BD4</f>
        <v>0.47697359208163176</v>
      </c>
      <c r="AF16">
        <f>Mtot!BE4/Y!BE4</f>
        <v>0.48647561641440729</v>
      </c>
    </row>
    <row r="17" spans="2:32" s="1" customFormat="1" x14ac:dyDescent="0.2"/>
    <row r="18" spans="2:32" ht="15" customHeight="1" x14ac:dyDescent="0.2">
      <c r="B18" t="s">
        <v>7</v>
      </c>
      <c r="C18" s="4">
        <v>1993</v>
      </c>
      <c r="D18" s="4">
        <v>1994</v>
      </c>
      <c r="E18" s="4">
        <v>1995</v>
      </c>
      <c r="F18" s="4">
        <v>1996</v>
      </c>
      <c r="G18" s="4">
        <v>1997</v>
      </c>
      <c r="H18" s="4">
        <v>1998</v>
      </c>
      <c r="I18" s="4">
        <v>1999</v>
      </c>
      <c r="J18" s="4">
        <v>2000</v>
      </c>
      <c r="K18" s="4">
        <v>2001</v>
      </c>
      <c r="L18" s="4">
        <v>2002</v>
      </c>
      <c r="M18" s="4">
        <v>2003</v>
      </c>
      <c r="N18" s="4">
        <v>2004</v>
      </c>
      <c r="O18" s="4">
        <v>2005</v>
      </c>
      <c r="P18" s="4">
        <v>2006</v>
      </c>
      <c r="Q18" s="4">
        <v>2007</v>
      </c>
      <c r="R18" s="4">
        <v>2008</v>
      </c>
      <c r="S18" s="4">
        <v>2009</v>
      </c>
      <c r="T18" s="4">
        <v>2010</v>
      </c>
      <c r="U18" s="4">
        <v>2011</v>
      </c>
      <c r="V18" s="4">
        <v>2012</v>
      </c>
      <c r="W18" s="4">
        <v>2013</v>
      </c>
      <c r="X18" s="4">
        <v>2014</v>
      </c>
      <c r="Y18" s="4">
        <v>2015</v>
      </c>
      <c r="Z18" s="4">
        <v>2016</v>
      </c>
      <c r="AA18" s="4">
        <v>2017</v>
      </c>
      <c r="AB18" s="4">
        <v>2018</v>
      </c>
      <c r="AC18" s="4">
        <v>2019</v>
      </c>
      <c r="AD18" s="4">
        <v>2020</v>
      </c>
      <c r="AE18" s="4">
        <v>2021</v>
      </c>
      <c r="AF18" s="4">
        <v>2022</v>
      </c>
    </row>
    <row r="19" spans="2:32" x14ac:dyDescent="0.2">
      <c r="B19" s="5" t="s">
        <v>2</v>
      </c>
      <c r="C19">
        <f>K!AC2/L!AC2</f>
        <v>1287.6525404386948</v>
      </c>
      <c r="D19">
        <f>K!AD2/L!AD2</f>
        <v>1395.5986460657959</v>
      </c>
      <c r="E19">
        <f>K!AE2/L!AE2</f>
        <v>1430.9659514951156</v>
      </c>
      <c r="F19">
        <f>K!AF2/L!AF2</f>
        <v>1477.7432981409888</v>
      </c>
      <c r="G19">
        <f>K!AG2/L!AG2</f>
        <v>1561.497425030185</v>
      </c>
      <c r="H19">
        <f>K!AH2/L!AH2</f>
        <v>1560.245009638704</v>
      </c>
      <c r="I19">
        <f>K!AI2/L!AI2</f>
        <v>1600.7026530076175</v>
      </c>
      <c r="J19">
        <f>K!AJ2/L!AJ2</f>
        <v>1624.6007247349348</v>
      </c>
      <c r="K19">
        <f>K!AK2/L!AK2</f>
        <v>1665.9281836758566</v>
      </c>
      <c r="L19">
        <f>K!AL2/L!AL2</f>
        <v>1649.038362504034</v>
      </c>
      <c r="M19">
        <f>K!AM2/L!AM2</f>
        <v>1771.4207052555603</v>
      </c>
      <c r="N19">
        <f>K!AN2/L!AN2</f>
        <v>1771.0894892011315</v>
      </c>
      <c r="O19">
        <f>K!AO2/L!AO2</f>
        <v>1868.7056088161289</v>
      </c>
      <c r="P19">
        <f>K!AP2/L!AP2</f>
        <v>1999.4828448619364</v>
      </c>
      <c r="Q19">
        <f>K!AQ2/L!AQ2</f>
        <v>2085.2828676233544</v>
      </c>
      <c r="R19">
        <f>K!AR2/L!AR2</f>
        <v>2214.3568836439754</v>
      </c>
      <c r="S19">
        <f>K!AS2/L!AS2</f>
        <v>2344.7978182817005</v>
      </c>
      <c r="T19">
        <f>K!AT2/L!AT2</f>
        <v>2374.0187029636695</v>
      </c>
      <c r="U19">
        <f>K!AU2/L!AU2</f>
        <v>2358.6040047356769</v>
      </c>
      <c r="V19">
        <f>K!AV2/L!AV2</f>
        <v>2351.9884641909262</v>
      </c>
      <c r="W19">
        <f>K!AW2/L!AW2</f>
        <v>2341.5951230830892</v>
      </c>
      <c r="X19">
        <f>K!AX2/L!AX2</f>
        <v>2283.4611927506849</v>
      </c>
      <c r="Y19">
        <f>K!AY2/L!AY2</f>
        <v>2208.6244575086953</v>
      </c>
      <c r="Z19">
        <f>K!AZ2/L!AZ2</f>
        <v>2304.2729077147906</v>
      </c>
      <c r="AA19">
        <f>K!BA2/L!BA2</f>
        <v>2252.5307146565151</v>
      </c>
      <c r="AB19">
        <f>K!BB2/L!BB2</f>
        <v>2269.9651041319376</v>
      </c>
      <c r="AC19">
        <f>K!BC2/L!BC2</f>
        <v>2361.0934669583835</v>
      </c>
      <c r="AD19">
        <f>K!BD2/L!BD2</f>
        <v>2298.6782079775412</v>
      </c>
      <c r="AE19">
        <f>K!BE2/L!BE2</f>
        <v>2235.364437854179</v>
      </c>
      <c r="AF19">
        <f>K!BF2/L!BF2</f>
        <v>2256.480056811457</v>
      </c>
    </row>
    <row r="20" spans="2:32" x14ac:dyDescent="0.2">
      <c r="B20" s="5" t="s">
        <v>3</v>
      </c>
      <c r="C20">
        <f>K!AC3/L!AC3</f>
        <v>637.10653995749635</v>
      </c>
      <c r="D20">
        <f>K!AD3/L!AD3</f>
        <v>660.15579966731991</v>
      </c>
      <c r="E20">
        <f>K!AE3/L!AE3</f>
        <v>652.3650501726197</v>
      </c>
      <c r="F20">
        <f>K!AF3/L!AF3</f>
        <v>690.93680870278467</v>
      </c>
      <c r="G20">
        <f>K!AG3/L!AG3</f>
        <v>710.55756280426772</v>
      </c>
      <c r="H20">
        <f>K!AH3/L!AH3</f>
        <v>734.50581900295288</v>
      </c>
      <c r="I20">
        <f>K!AI3/L!AI3</f>
        <v>726.1316677978333</v>
      </c>
      <c r="J20">
        <f>K!AJ3/L!AJ3</f>
        <v>740.53929634018459</v>
      </c>
      <c r="K20">
        <f>K!AK3/L!AK3</f>
        <v>759.15103045216858</v>
      </c>
      <c r="L20">
        <f>K!AL3/L!AL3</f>
        <v>775.80549820524459</v>
      </c>
      <c r="M20">
        <f>K!AM3/L!AM3</f>
        <v>840.86534551467992</v>
      </c>
      <c r="N20">
        <f>K!AN3/L!AN3</f>
        <v>897.515032692001</v>
      </c>
      <c r="O20">
        <f>K!AO3/L!AO3</f>
        <v>966.28715365239293</v>
      </c>
      <c r="P20">
        <f>K!AP3/L!AP3</f>
        <v>1007.4824498717894</v>
      </c>
      <c r="Q20">
        <f>K!AQ3/L!AQ3</f>
        <v>1066.8860496703733</v>
      </c>
      <c r="R20">
        <f>K!AR3/L!AR3</f>
        <v>1115.1882863923342</v>
      </c>
      <c r="S20">
        <f>K!AS3/L!AS3</f>
        <v>1226.4119202114875</v>
      </c>
      <c r="T20">
        <f>K!AT3/L!AT3</f>
        <v>1259.9856222174576</v>
      </c>
      <c r="U20">
        <f>K!AU3/L!AU3</f>
        <v>1285.0011079393632</v>
      </c>
      <c r="V20">
        <f>K!AV3/L!AV3</f>
        <v>1357.5962759204401</v>
      </c>
      <c r="W20">
        <f>K!AW3/L!AW3</f>
        <v>1406.4614991699655</v>
      </c>
      <c r="X20">
        <f>K!AX3/L!AX3</f>
        <v>1491.1947123002401</v>
      </c>
      <c r="Y20">
        <f>K!AY3/L!AY3</f>
        <v>1511.4474433786511</v>
      </c>
      <c r="Z20">
        <f>K!AZ3/L!AZ3</f>
        <v>1489.5660512336565</v>
      </c>
      <c r="AA20">
        <f>K!BA3/L!BA3</f>
        <v>1462.0713285463157</v>
      </c>
      <c r="AB20">
        <f>K!BB3/L!BB3</f>
        <v>1535.7465370781358</v>
      </c>
      <c r="AC20">
        <f>K!BC3/L!BC3</f>
        <v>1549.4284100795187</v>
      </c>
      <c r="AD20">
        <f>K!BD3/L!BD3</f>
        <v>1445.2189531303454</v>
      </c>
      <c r="AE20">
        <f>K!BE3/L!BE3</f>
        <v>1450.2277904328018</v>
      </c>
      <c r="AF20">
        <f>K!BF3/L!BF3</f>
        <v>1467.577767612077</v>
      </c>
    </row>
    <row r="21" spans="2:32" x14ac:dyDescent="0.2">
      <c r="B21" s="4" t="s">
        <v>4</v>
      </c>
      <c r="C21">
        <f>K!AC4/L!AC4</f>
        <v>1803.8275764048317</v>
      </c>
      <c r="D21">
        <f>K!AD4/L!AD4</f>
        <v>1836.4639812607443</v>
      </c>
      <c r="E21">
        <f>K!AE4/L!AE4</f>
        <v>1818.3437325737366</v>
      </c>
      <c r="F21">
        <f>K!AF4/L!AF4</f>
        <v>1825.6631595861759</v>
      </c>
      <c r="G21">
        <f>K!AG4/L!AG4</f>
        <v>1814.0147793709616</v>
      </c>
      <c r="H21">
        <f>K!AH4/L!AH4</f>
        <v>1804.9304493351494</v>
      </c>
      <c r="I21">
        <f>K!AI4/L!AI4</f>
        <v>1786.1658203400252</v>
      </c>
      <c r="J21">
        <f>K!AJ4/L!AJ4</f>
        <v>1775.9087818650471</v>
      </c>
      <c r="K21">
        <f>K!AK4/L!AK4</f>
        <v>1789.1628200636105</v>
      </c>
      <c r="L21">
        <f>K!AL4/L!AL4</f>
        <v>1825.7528966478239</v>
      </c>
      <c r="M21">
        <f>K!AM4/L!AM4</f>
        <v>1890.7724214312873</v>
      </c>
      <c r="N21">
        <f>K!AN4/L!AN4</f>
        <v>1927.6446862625833</v>
      </c>
      <c r="O21">
        <f>K!AO4/L!AO4</f>
        <v>1948.9675216787832</v>
      </c>
      <c r="P21">
        <f>K!AP4/L!AP4</f>
        <v>1948.4532713302856</v>
      </c>
      <c r="Q21">
        <f>K!AQ4/L!AQ4</f>
        <v>1965.6061299345629</v>
      </c>
      <c r="R21">
        <f>K!AR4/L!AR4</f>
        <v>1976.4758273020484</v>
      </c>
      <c r="S21">
        <f>K!AS4/L!AS4</f>
        <v>2136.0395679347048</v>
      </c>
      <c r="T21">
        <f>K!AT4/L!AT4</f>
        <v>2203.1617070540797</v>
      </c>
      <c r="U21">
        <f>K!AU4/L!AU4</f>
        <v>2165.9074126791679</v>
      </c>
      <c r="V21">
        <f>K!AV4/L!AV4</f>
        <v>2207.5082970340009</v>
      </c>
      <c r="W21">
        <f>K!AW4/L!AW4</f>
        <v>2215.0954363820451</v>
      </c>
      <c r="X21">
        <f>K!AX4/L!AX4</f>
        <v>2230.906490644219</v>
      </c>
      <c r="Y21">
        <f>K!AY4/L!AY4</f>
        <v>2216.8093069050697</v>
      </c>
      <c r="Z21">
        <f>K!AZ4/L!AZ4</f>
        <v>2182.4310227466704</v>
      </c>
      <c r="AA21">
        <f>K!BA4/L!BA4</f>
        <v>2187.4972489871943</v>
      </c>
      <c r="AB21">
        <f>K!BB4/L!BB4</f>
        <v>2229.7864814189352</v>
      </c>
      <c r="AC21">
        <f>K!BC4/L!BC4</f>
        <v>2241.1895431009789</v>
      </c>
      <c r="AD21">
        <f>K!BD4/L!BD4</f>
        <v>2374.2445531648355</v>
      </c>
      <c r="AE21">
        <f>K!BE4/L!BE4</f>
        <v>2285.4670898649265</v>
      </c>
      <c r="AF21">
        <f>K!BF4/L!BF4</f>
        <v>2217.7689428362291</v>
      </c>
    </row>
    <row r="23" spans="2:32" x14ac:dyDescent="0.2">
      <c r="B23" t="s">
        <v>8</v>
      </c>
      <c r="C23" s="4">
        <v>1993</v>
      </c>
      <c r="D23" s="4">
        <v>1994</v>
      </c>
      <c r="E23" s="4">
        <v>1995</v>
      </c>
      <c r="F23" s="4">
        <v>1996</v>
      </c>
      <c r="G23" s="4">
        <v>1997</v>
      </c>
      <c r="H23" s="4">
        <v>1998</v>
      </c>
      <c r="I23" s="4">
        <v>1999</v>
      </c>
      <c r="J23" s="4">
        <v>2000</v>
      </c>
      <c r="K23" s="4">
        <v>2001</v>
      </c>
      <c r="L23" s="4">
        <v>2002</v>
      </c>
      <c r="M23" s="4">
        <v>2003</v>
      </c>
      <c r="N23" s="4">
        <v>2004</v>
      </c>
      <c r="O23" s="4">
        <v>2005</v>
      </c>
      <c r="P23" s="4">
        <v>2006</v>
      </c>
      <c r="Q23" s="4">
        <v>2007</v>
      </c>
      <c r="R23" s="4">
        <v>2008</v>
      </c>
      <c r="S23" s="4">
        <v>2009</v>
      </c>
      <c r="T23" s="4">
        <v>2010</v>
      </c>
      <c r="U23" s="4">
        <v>2011</v>
      </c>
      <c r="V23" s="4">
        <v>2012</v>
      </c>
      <c r="W23" s="4">
        <v>2013</v>
      </c>
      <c r="X23" s="4">
        <v>2014</v>
      </c>
      <c r="Y23" s="4">
        <v>2015</v>
      </c>
      <c r="Z23" s="4">
        <v>2016</v>
      </c>
      <c r="AA23" s="4">
        <v>2017</v>
      </c>
      <c r="AB23" s="4">
        <v>2018</v>
      </c>
      <c r="AC23" s="4">
        <v>2019</v>
      </c>
      <c r="AD23" s="4">
        <v>2020</v>
      </c>
      <c r="AE23" s="4">
        <v>2021</v>
      </c>
      <c r="AF23" s="4">
        <v>2022</v>
      </c>
    </row>
    <row r="24" spans="2:32" x14ac:dyDescent="0.2">
      <c r="B24" s="5" t="s">
        <v>2</v>
      </c>
      <c r="C24">
        <f>Y!AB2*P!AB2</f>
        <v>55728.663999999997</v>
      </c>
      <c r="D24">
        <f>Y!AC2*P!AC2</f>
        <v>55147.063999999991</v>
      </c>
      <c r="E24">
        <f>Y!AD2*P!AD2</f>
        <v>58275.627000000008</v>
      </c>
      <c r="F24">
        <f>Y!AE2*P!AE2</f>
        <v>59527.836000000003</v>
      </c>
      <c r="G24">
        <f>Y!AF2*P!AF2</f>
        <v>61114.082000000002</v>
      </c>
      <c r="H24">
        <f>Y!AG2*P!AG2</f>
        <v>55009.010999999999</v>
      </c>
      <c r="I24">
        <f>Y!AH2*P!AH2</f>
        <v>53791.911</v>
      </c>
      <c r="J24">
        <f>Y!AI2*P!AI2</f>
        <v>59756.000999999997</v>
      </c>
      <c r="K24">
        <f>Y!AJ2*P!AJ2</f>
        <v>63043.538</v>
      </c>
      <c r="L24">
        <f>Y!AK2*P!AK2</f>
        <v>58246.660999999993</v>
      </c>
      <c r="M24">
        <f>Y!AL2*P!AL2</f>
        <v>56424.339999999989</v>
      </c>
      <c r="N24">
        <f>Y!AM2*P!AM2</f>
        <v>58797.781999999999</v>
      </c>
      <c r="O24">
        <f>Y!AN2*P!AN2</f>
        <v>53297.890000000007</v>
      </c>
      <c r="P24">
        <f>Y!AO2*P!AO2</f>
        <v>55302.075999999994</v>
      </c>
      <c r="Q24">
        <f>Y!AP2*P!AP2</f>
        <v>60373.718999999997</v>
      </c>
      <c r="R24">
        <f>Y!AQ2*P!AQ2</f>
        <v>61138.87000000001</v>
      </c>
      <c r="S24">
        <f>Y!AR2*P!AR2</f>
        <v>58467.330000000009</v>
      </c>
      <c r="T24">
        <f>Y!AS2*P!AS2</f>
        <v>65318.852000000006</v>
      </c>
      <c r="U24">
        <f>Y!AT2*P!AT2</f>
        <v>71951.566999999981</v>
      </c>
      <c r="V24">
        <f>Y!AU2*P!AU2</f>
        <v>79895.742000000013</v>
      </c>
      <c r="W24">
        <f>Y!AV2*P!AV2</f>
        <v>74902.378999999986</v>
      </c>
      <c r="X24">
        <f>Y!AW2*P!AW2</f>
        <v>75434.426999999996</v>
      </c>
      <c r="Y24">
        <f>Y!AX2*P!AX2</f>
        <v>68758.59</v>
      </c>
      <c r="Z24">
        <f>Y!AY2*P!AY2</f>
        <v>67851.486999999994</v>
      </c>
      <c r="AA24">
        <f>Y!AZ2*P!AZ2</f>
        <v>77164.472999999998</v>
      </c>
      <c r="AB24">
        <f>Y!BA2*P!BA2</f>
        <v>72672.232999999993</v>
      </c>
      <c r="AC24">
        <f>Y!BB2*P!BB2</f>
        <v>77232.460999999996</v>
      </c>
      <c r="AD24">
        <f>Y!BC2*P!BC2</f>
        <v>80503.510999999999</v>
      </c>
      <c r="AE24">
        <f>Y!BD2*P!BD2</f>
        <v>80890.02</v>
      </c>
      <c r="AF24">
        <f>Y!BE2*P!BE2</f>
        <v>95782.799999999974</v>
      </c>
    </row>
    <row r="25" spans="2:32" x14ac:dyDescent="0.2">
      <c r="B25" s="5" t="s">
        <v>3</v>
      </c>
      <c r="C25">
        <f>Y!AB3*P!AB3</f>
        <v>113491.54100000004</v>
      </c>
      <c r="D25">
        <f>Y!AC3*P!AC3</f>
        <v>115531.56299999999</v>
      </c>
      <c r="E25">
        <f>Y!AD3*P!AD3</f>
        <v>116174.17799999997</v>
      </c>
      <c r="F25">
        <f>Y!AE3*P!AE3</f>
        <v>113564.129</v>
      </c>
      <c r="G25">
        <f>Y!AF3*P!AF3</f>
        <v>116548.174</v>
      </c>
      <c r="H25">
        <f>Y!AG3*P!AG3</f>
        <v>113149.85400000002</v>
      </c>
      <c r="I25">
        <f>Y!AH3*P!AH3</f>
        <v>109463.88200000003</v>
      </c>
      <c r="J25">
        <f>Y!AI3*P!AI3</f>
        <v>117014.806</v>
      </c>
      <c r="K25">
        <f>Y!AJ3*P!AJ3</f>
        <v>125335.73499999994</v>
      </c>
      <c r="L25">
        <f>Y!AK3*P!AK3</f>
        <v>127816.84500000002</v>
      </c>
      <c r="M25">
        <f>Y!AL3*P!AL3</f>
        <v>126625.42500000002</v>
      </c>
      <c r="N25">
        <f>Y!AM3*P!AM3</f>
        <v>129620.74299999997</v>
      </c>
      <c r="O25">
        <f>Y!AN3*P!AN3</f>
        <v>134052.34599999999</v>
      </c>
      <c r="P25">
        <f>Y!AO3*P!AO3</f>
        <v>134927.57</v>
      </c>
      <c r="Q25">
        <f>Y!AP3*P!AP3</f>
        <v>137741.95099999997</v>
      </c>
      <c r="R25">
        <f>Y!AQ3*P!AQ3</f>
        <v>145761.139</v>
      </c>
      <c r="S25">
        <f>Y!AR3*P!AR3</f>
        <v>133712.74300000002</v>
      </c>
      <c r="T25">
        <f>Y!AS3*P!AS3</f>
        <v>132532.34200000003</v>
      </c>
      <c r="U25">
        <f>Y!AT3*P!AT3</f>
        <v>139875.50299999994</v>
      </c>
      <c r="V25">
        <f>Y!AU3*P!AU3</f>
        <v>141548.37699999998</v>
      </c>
      <c r="W25">
        <f>Y!AV3*P!AV3</f>
        <v>145794.44699999996</v>
      </c>
      <c r="X25">
        <f>Y!AW3*P!AW3</f>
        <v>142798.51599999995</v>
      </c>
      <c r="Y25">
        <f>Y!AX3*P!AX3</f>
        <v>141978.19199999998</v>
      </c>
      <c r="Z25">
        <f>Y!AY3*P!AY3</f>
        <v>143969.83900000004</v>
      </c>
      <c r="AA25">
        <f>Y!AZ3*P!AZ3</f>
        <v>150686.84600000005</v>
      </c>
      <c r="AB25">
        <f>Y!BA3*P!BA3</f>
        <v>149378.465</v>
      </c>
      <c r="AC25">
        <f>Y!BB3*P!BB3</f>
        <v>155174.13800000001</v>
      </c>
      <c r="AD25">
        <f>Y!BC3*P!BC3</f>
        <v>161377.85800000001</v>
      </c>
      <c r="AE25">
        <f>Y!BD3*P!BD3</f>
        <v>163849.27100000001</v>
      </c>
      <c r="AF25">
        <f>Y!BE3*P!BE3</f>
        <v>193667.22600000002</v>
      </c>
    </row>
    <row r="26" spans="2:32" x14ac:dyDescent="0.2">
      <c r="B26" s="4" t="s">
        <v>4</v>
      </c>
      <c r="C26">
        <f>Y!AB4*P!AB4</f>
        <v>1248607.6950000003</v>
      </c>
      <c r="D26">
        <f>Y!AC4*P!AC4</f>
        <v>1339359.2420000001</v>
      </c>
      <c r="E26">
        <f>Y!AD4*P!AD4</f>
        <v>1413633.743</v>
      </c>
      <c r="F26">
        <f>Y!AE4*P!AE4</f>
        <v>1474891.7480000001</v>
      </c>
      <c r="G26">
        <f>Y!AF4*P!AF4</f>
        <v>1558557.6700000006</v>
      </c>
      <c r="H26">
        <f>Y!AG4*P!AG4</f>
        <v>1600889.2520000003</v>
      </c>
      <c r="I26">
        <f>Y!AH4*P!AH4</f>
        <v>1683627.2200000002</v>
      </c>
      <c r="J26">
        <f>Y!AI4*P!AI4</f>
        <v>1859433.3040000002</v>
      </c>
      <c r="K26">
        <f>Y!AJ4*P!AJ4</f>
        <v>1954205.1529999999</v>
      </c>
      <c r="L26">
        <f>Y!AK4*P!AK4</f>
        <v>1988945.8040000002</v>
      </c>
      <c r="M26">
        <f>Y!AL4*P!AL4</f>
        <v>2003844.6790000002</v>
      </c>
      <c r="N26">
        <f>Y!AM4*P!AM4</f>
        <v>2090154.0219999999</v>
      </c>
      <c r="O26">
        <f>Y!AN4*P!AN4</f>
        <v>2280243.378</v>
      </c>
      <c r="P26">
        <f>Y!AO4*P!AO4</f>
        <v>2482261.6840000004</v>
      </c>
      <c r="Q26">
        <f>Y!AP4*P!AP4</f>
        <v>2643518.102</v>
      </c>
      <c r="R26">
        <f>Y!AQ4*P!AQ4</f>
        <v>2781449.622</v>
      </c>
      <c r="S26">
        <f>Y!AR4*P!AR4</f>
        <v>2492182.2420000001</v>
      </c>
      <c r="T26">
        <f>Y!AS4*P!AS4</f>
        <v>2591483.5990000004</v>
      </c>
      <c r="U26">
        <f>Y!AT4*P!AT4</f>
        <v>2737271.1660000002</v>
      </c>
      <c r="V26">
        <f>Y!AU4*P!AU4</f>
        <v>2828104.7379999994</v>
      </c>
      <c r="W26">
        <f>Y!AV4*P!AV4</f>
        <v>2855081.8700000006</v>
      </c>
      <c r="X26">
        <f>Y!AW4*P!AW4</f>
        <v>2921092.1860000002</v>
      </c>
      <c r="Y26">
        <f>Y!AX4*P!AX4</f>
        <v>2997268.179</v>
      </c>
      <c r="Z26">
        <f>Y!AY4*P!AY4</f>
        <v>3086154.2250000001</v>
      </c>
      <c r="AA26">
        <f>Y!AZ4*P!AZ4</f>
        <v>3251566.4539999999</v>
      </c>
      <c r="AB26">
        <f>Y!BA4*P!BA4</f>
        <v>3366315.0320000006</v>
      </c>
      <c r="AC26">
        <f>Y!BB4*P!BB4</f>
        <v>3476586.5729999994</v>
      </c>
      <c r="AD26">
        <f>Y!BC4*P!BC4</f>
        <v>3423588.9920000001</v>
      </c>
      <c r="AE26">
        <f>Y!BD4*P!BD4</f>
        <v>3841164.4490000019</v>
      </c>
      <c r="AF26">
        <f>Y!BE4*P!BE4</f>
        <v>4563032.4369999999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1" sqref="B11"/>
    </sheetView>
  </sheetViews>
  <sheetFormatPr defaultRowHeight="14.25" x14ac:dyDescent="0.2"/>
  <cols>
    <col min="2" max="2" width="11.875" style="6" bestFit="1" customWidth="1"/>
    <col min="28" max="28" width="11.875" style="6" bestFit="1" customWidth="1"/>
    <col min="30" max="30" width="10.875" style="6" bestFit="1" customWidth="1"/>
  </cols>
  <sheetData>
    <row r="1" spans="1:32" ht="15" customHeight="1" x14ac:dyDescent="0.2">
      <c r="A1" s="7" t="s">
        <v>9</v>
      </c>
      <c r="B1" s="7">
        <v>1993</v>
      </c>
      <c r="C1" s="7">
        <v>1994</v>
      </c>
      <c r="D1" s="7">
        <v>1995</v>
      </c>
      <c r="E1" s="7">
        <v>1996</v>
      </c>
      <c r="F1" s="7">
        <v>1997</v>
      </c>
      <c r="G1" s="7">
        <v>1998</v>
      </c>
      <c r="H1" s="7">
        <v>1999</v>
      </c>
      <c r="I1" s="7">
        <v>2000</v>
      </c>
      <c r="J1" s="7">
        <v>2001</v>
      </c>
      <c r="K1" s="7">
        <v>2002</v>
      </c>
      <c r="L1" s="7">
        <v>2003</v>
      </c>
      <c r="M1" s="7">
        <v>2004</v>
      </c>
      <c r="N1" s="7">
        <v>2005</v>
      </c>
      <c r="O1" s="7">
        <v>2006</v>
      </c>
      <c r="P1" s="7">
        <v>2007</v>
      </c>
      <c r="Q1" s="7">
        <v>2008</v>
      </c>
      <c r="R1" s="7">
        <v>2009</v>
      </c>
      <c r="S1" s="7">
        <v>2010</v>
      </c>
      <c r="T1" s="7">
        <v>2011</v>
      </c>
      <c r="U1" s="7">
        <v>2012</v>
      </c>
      <c r="V1" s="7">
        <v>2013</v>
      </c>
      <c r="W1" s="7">
        <v>2014</v>
      </c>
      <c r="X1" s="7">
        <v>2015</v>
      </c>
      <c r="Y1" s="7">
        <v>2016</v>
      </c>
      <c r="Z1" s="7">
        <v>2017</v>
      </c>
      <c r="AA1" s="7">
        <v>2018</v>
      </c>
      <c r="AB1" s="7">
        <v>2019</v>
      </c>
      <c r="AC1" s="7">
        <v>2020</v>
      </c>
      <c r="AD1" s="7">
        <v>2021</v>
      </c>
      <c r="AE1" s="7">
        <v>2022</v>
      </c>
    </row>
    <row r="2" spans="1:32" ht="15" customHeight="1" x14ac:dyDescent="0.2">
      <c r="A2" s="8" t="s">
        <v>10</v>
      </c>
      <c r="B2">
        <v>205.929</v>
      </c>
      <c r="C2">
        <v>187.30600000000001</v>
      </c>
      <c r="D2">
        <v>180.88900000000001</v>
      </c>
      <c r="E2">
        <v>173.04900000000001</v>
      </c>
      <c r="F2">
        <v>162.33199999999999</v>
      </c>
      <c r="G2">
        <v>160.81</v>
      </c>
      <c r="H2">
        <v>152.28</v>
      </c>
      <c r="I2">
        <v>149.02000000000001</v>
      </c>
      <c r="J2">
        <v>145.34299999999999</v>
      </c>
      <c r="K2">
        <v>145.637</v>
      </c>
      <c r="L2">
        <v>134.39099999999999</v>
      </c>
      <c r="M2">
        <v>133.30099999999999</v>
      </c>
      <c r="N2">
        <v>125.58799999999999</v>
      </c>
      <c r="O2">
        <v>117.953</v>
      </c>
      <c r="P2">
        <v>114.771</v>
      </c>
      <c r="Q2">
        <v>109.39700000000001</v>
      </c>
      <c r="R2">
        <v>101.938</v>
      </c>
      <c r="S2">
        <v>98.593999999999994</v>
      </c>
      <c r="T2">
        <v>97.135000000000005</v>
      </c>
      <c r="U2">
        <v>95.701999999999998</v>
      </c>
      <c r="V2">
        <v>94.813999999999993</v>
      </c>
      <c r="W2">
        <v>95.677999999999997</v>
      </c>
      <c r="X2">
        <v>97.466999999999999</v>
      </c>
      <c r="Y2">
        <v>91.694000000000003</v>
      </c>
      <c r="Z2">
        <v>92.463999999999999</v>
      </c>
      <c r="AA2">
        <v>89.981999999999999</v>
      </c>
      <c r="AB2">
        <v>85.013999999999996</v>
      </c>
      <c r="AC2">
        <v>85.49</v>
      </c>
      <c r="AD2">
        <v>86.997</v>
      </c>
      <c r="AE2">
        <v>84.49</v>
      </c>
    </row>
    <row r="3" spans="1:32" ht="15" customHeight="1" x14ac:dyDescent="0.2">
      <c r="A3" s="8" t="s">
        <v>11</v>
      </c>
      <c r="B3" s="9"/>
      <c r="C3">
        <v>52117.794292039704</v>
      </c>
      <c r="D3">
        <v>50900.44212814769</v>
      </c>
      <c r="E3">
        <v>49681.538104409148</v>
      </c>
      <c r="F3">
        <v>48143.425846145947</v>
      </c>
      <c r="G3">
        <v>47708.980961288107</v>
      </c>
      <c r="H3">
        <v>46314.405174573993</v>
      </c>
      <c r="I3">
        <v>45117.472930700918</v>
      </c>
      <c r="J3">
        <v>44432.633434721312</v>
      </c>
      <c r="K3">
        <v>44480.111157351414</v>
      </c>
      <c r="L3">
        <v>42600.846778689513</v>
      </c>
      <c r="M3">
        <v>42241.349726294087</v>
      </c>
      <c r="N3">
        <v>40925.502707285807</v>
      </c>
      <c r="O3">
        <v>39424.937758642969</v>
      </c>
      <c r="P3">
        <v>39026.410472315998</v>
      </c>
      <c r="Q3">
        <v>38328.712838456522</v>
      </c>
      <c r="R3">
        <v>37355.830242525328</v>
      </c>
      <c r="S3">
        <v>36543.066794634011</v>
      </c>
      <c r="T3">
        <v>35879.711378147891</v>
      </c>
      <c r="U3">
        <v>35222.069013605193</v>
      </c>
      <c r="V3">
        <v>34756.945616249832</v>
      </c>
      <c r="W3">
        <v>34683.365728088524</v>
      </c>
      <c r="X3">
        <v>34775.853636767533</v>
      </c>
      <c r="Y3">
        <v>33362.228708932002</v>
      </c>
      <c r="Z3">
        <v>33300.801183419033</v>
      </c>
      <c r="AA3">
        <v>32593.134130244609</v>
      </c>
      <c r="AB3">
        <v>31418.739597216481</v>
      </c>
      <c r="AC3">
        <v>31265.504829560381</v>
      </c>
      <c r="AD3">
        <v>31288.38839371736</v>
      </c>
      <c r="AE3">
        <v>30691.039578486008</v>
      </c>
    </row>
    <row r="4" spans="1:32" ht="15" customHeight="1" x14ac:dyDescent="0.2">
      <c r="A4" s="10" t="s">
        <v>12</v>
      </c>
      <c r="B4">
        <v>70.472784831106836</v>
      </c>
      <c r="C4">
        <v>72.40197125400465</v>
      </c>
      <c r="D4">
        <v>73.668418966200719</v>
      </c>
      <c r="E4">
        <v>77.60292760823279</v>
      </c>
      <c r="F4">
        <v>82.112148382559766</v>
      </c>
      <c r="G4">
        <v>85.654427452175625</v>
      </c>
      <c r="H4">
        <v>87.363624462315315</v>
      </c>
      <c r="I4">
        <v>90.147711984666699</v>
      </c>
      <c r="J4">
        <v>91.297341311229445</v>
      </c>
      <c r="K4">
        <v>97.14543015199132</v>
      </c>
      <c r="L4">
        <v>103.0156194928302</v>
      </c>
      <c r="M4">
        <v>108.3957151617354</v>
      </c>
      <c r="N4">
        <v>109.3107302675426</v>
      </c>
      <c r="O4">
        <v>113.52155257642271</v>
      </c>
      <c r="P4">
        <v>120.938515391743</v>
      </c>
      <c r="Q4">
        <v>127.1319296478519</v>
      </c>
      <c r="R4">
        <v>132.90638670166231</v>
      </c>
      <c r="S4">
        <v>140.4118988187661</v>
      </c>
      <c r="T4">
        <v>143.61531569201361</v>
      </c>
      <c r="U4">
        <v>146.40799646565051</v>
      </c>
      <c r="V4">
        <v>150.45915068768201</v>
      </c>
      <c r="W4">
        <v>156.52284047522139</v>
      </c>
      <c r="X4">
        <v>175.97839095083791</v>
      </c>
      <c r="Y4">
        <v>179.46352361297559</v>
      </c>
      <c r="Z4">
        <v>182.1442515646232</v>
      </c>
      <c r="AA4">
        <v>189.67170475877151</v>
      </c>
      <c r="AB4">
        <v>197.71025641025639</v>
      </c>
      <c r="AC4">
        <v>205.68693868070611</v>
      </c>
      <c r="AD4">
        <v>203.39063969425939</v>
      </c>
      <c r="AE4">
        <v>217.89114626587531</v>
      </c>
    </row>
    <row r="5" spans="1:32" ht="15" customHeight="1" x14ac:dyDescent="0.2">
      <c r="A5" s="10" t="s">
        <v>13</v>
      </c>
      <c r="B5" s="11"/>
      <c r="C5">
        <v>0.56941209593152831</v>
      </c>
      <c r="D5">
        <v>0.62035500774430108</v>
      </c>
      <c r="E5">
        <v>0.71346775249118632</v>
      </c>
      <c r="F5">
        <v>0.65078662252107855</v>
      </c>
      <c r="G5">
        <v>0.64940883861204501</v>
      </c>
      <c r="H5">
        <v>0.76888134031430799</v>
      </c>
      <c r="I5">
        <v>0.63509004527639668</v>
      </c>
      <c r="J5">
        <v>0.60434500577790551</v>
      </c>
      <c r="K5">
        <v>0.64413311104911952</v>
      </c>
      <c r="L5">
        <v>0.68386032000607866</v>
      </c>
      <c r="M5">
        <v>0.74184556989704076</v>
      </c>
      <c r="N5">
        <v>0.59880690786581559</v>
      </c>
      <c r="O5">
        <v>0.72049479679607886</v>
      </c>
      <c r="P5">
        <v>0.67093704059332215</v>
      </c>
      <c r="Q5">
        <v>0.77635833575358226</v>
      </c>
      <c r="R5">
        <v>0.83598365107736383</v>
      </c>
      <c r="S5">
        <v>0.86793430526048398</v>
      </c>
      <c r="T5">
        <v>0.87398330905238719</v>
      </c>
      <c r="U5">
        <v>0.76017117838978787</v>
      </c>
      <c r="V5">
        <v>0.80984610972813709</v>
      </c>
      <c r="W5">
        <v>0.80380746037020168</v>
      </c>
      <c r="X5">
        <v>0.84621455014296143</v>
      </c>
      <c r="Y5">
        <v>0.79660740745198011</v>
      </c>
      <c r="Z5">
        <v>0.90949966927851356</v>
      </c>
      <c r="AA5">
        <v>1.124247766496554</v>
      </c>
      <c r="AB5">
        <v>0.98676346290652617</v>
      </c>
      <c r="AC5">
        <v>1</v>
      </c>
      <c r="AD5">
        <v>1.198400336086221</v>
      </c>
      <c r="AE5">
        <v>1.0173886873445579</v>
      </c>
    </row>
    <row r="7" spans="1:32" ht="15" customHeight="1" x14ac:dyDescent="0.2">
      <c r="A7" s="11" t="s">
        <v>14</v>
      </c>
      <c r="B7">
        <v>0</v>
      </c>
    </row>
    <row r="8" spans="1:32" x14ac:dyDescent="0.2">
      <c r="B8" t="e">
        <f t="shared" ref="B8:AE8" si="0">(B2/B3)*(B4/B5)^$B$7</f>
        <v>#DIV/0!</v>
      </c>
      <c r="C8">
        <f t="shared" si="0"/>
        <v>3.593897296390544E-3</v>
      </c>
      <c r="D8">
        <f t="shared" si="0"/>
        <v>3.5537805260039048E-3</v>
      </c>
      <c r="E8">
        <f t="shared" si="0"/>
        <v>3.4831651072542423E-3</v>
      </c>
      <c r="F8">
        <f t="shared" si="0"/>
        <v>3.3718414746547426E-3</v>
      </c>
      <c r="G8">
        <f t="shared" si="0"/>
        <v>3.3706442007320177E-3</v>
      </c>
      <c r="H8">
        <f t="shared" si="0"/>
        <v>3.2879619078774167E-3</v>
      </c>
      <c r="I8">
        <f t="shared" si="0"/>
        <v>3.3029332167803425E-3</v>
      </c>
      <c r="J8">
        <f t="shared" si="0"/>
        <v>3.2710867838507082E-3</v>
      </c>
      <c r="K8">
        <f t="shared" si="0"/>
        <v>3.2742049471234285E-3</v>
      </c>
      <c r="L8">
        <f t="shared" si="0"/>
        <v>3.1546556034005228E-3</v>
      </c>
      <c r="M8">
        <f t="shared" si="0"/>
        <v>3.1556993529736517E-3</v>
      </c>
      <c r="N8">
        <f t="shared" si="0"/>
        <v>3.0686977970252778E-3</v>
      </c>
      <c r="O8">
        <f t="shared" si="0"/>
        <v>2.9918373168297935E-3</v>
      </c>
      <c r="P8">
        <f t="shared" si="0"/>
        <v>2.940854631799013E-3</v>
      </c>
      <c r="Q8">
        <f t="shared" si="0"/>
        <v>2.8541788100496352E-3</v>
      </c>
      <c r="R8">
        <f t="shared" si="0"/>
        <v>2.7288377567353671E-3</v>
      </c>
      <c r="S8">
        <f t="shared" si="0"/>
        <v>2.6980220503681849E-3</v>
      </c>
      <c r="T8">
        <f t="shared" si="0"/>
        <v>2.7072402834087154E-3</v>
      </c>
      <c r="U8">
        <f t="shared" si="0"/>
        <v>2.7171033014282407E-3</v>
      </c>
      <c r="V8">
        <f t="shared" si="0"/>
        <v>2.7279151927455856E-3</v>
      </c>
      <c r="W8">
        <f t="shared" si="0"/>
        <v>2.7586134733894817E-3</v>
      </c>
      <c r="X8">
        <f t="shared" si="0"/>
        <v>2.8027205605946903E-3</v>
      </c>
      <c r="Y8">
        <f t="shared" si="0"/>
        <v>2.7484374859959807E-3</v>
      </c>
      <c r="Z8">
        <f t="shared" si="0"/>
        <v>2.7766298921972844E-3</v>
      </c>
      <c r="AA8">
        <f t="shared" si="0"/>
        <v>2.7607654925244432E-3</v>
      </c>
      <c r="AB8">
        <f t="shared" si="0"/>
        <v>2.7058373788976481E-3</v>
      </c>
      <c r="AC8">
        <f t="shared" si="0"/>
        <v>2.7343233530383415E-3</v>
      </c>
      <c r="AD8">
        <f t="shared" si="0"/>
        <v>2.7804883685689868E-3</v>
      </c>
      <c r="AE8">
        <f t="shared" si="0"/>
        <v>2.752920759948005E-3</v>
      </c>
    </row>
    <row r="11" spans="1:32" x14ac:dyDescent="0.2">
      <c r="A11" t="s">
        <v>15</v>
      </c>
      <c r="B11">
        <f t="shared" ref="B11:AF11" si="1">B2*B4</f>
        <v>14512.390107485</v>
      </c>
      <c r="C11">
        <f t="shared" si="1"/>
        <v>13561.323627702595</v>
      </c>
      <c r="D11">
        <f t="shared" si="1"/>
        <v>13325.806638377082</v>
      </c>
      <c r="E11">
        <f t="shared" si="1"/>
        <v>13429.109019677077</v>
      </c>
      <c r="F11">
        <f t="shared" si="1"/>
        <v>13329.429271237692</v>
      </c>
      <c r="G11">
        <f t="shared" si="1"/>
        <v>13774.088478584363</v>
      </c>
      <c r="H11">
        <f t="shared" si="1"/>
        <v>13303.732733121376</v>
      </c>
      <c r="I11">
        <f t="shared" si="1"/>
        <v>13433.812039955032</v>
      </c>
      <c r="J11">
        <f t="shared" si="1"/>
        <v>13269.429478198021</v>
      </c>
      <c r="K11">
        <f t="shared" si="1"/>
        <v>14147.969011045559</v>
      </c>
      <c r="L11">
        <f t="shared" si="1"/>
        <v>13844.372119260943</v>
      </c>
      <c r="M11">
        <f t="shared" si="1"/>
        <v>14449.257226774489</v>
      </c>
      <c r="N11">
        <f t="shared" si="1"/>
        <v>13728.115992840139</v>
      </c>
      <c r="O11">
        <f t="shared" si="1"/>
        <v>13390.207691046788</v>
      </c>
      <c r="P11">
        <f t="shared" si="1"/>
        <v>13880.234350025736</v>
      </c>
      <c r="Q11">
        <f t="shared" si="1"/>
        <v>13907.851707686055</v>
      </c>
      <c r="R11">
        <f t="shared" si="1"/>
        <v>13548.211247594054</v>
      </c>
      <c r="S11">
        <f t="shared" si="1"/>
        <v>13843.770752137425</v>
      </c>
      <c r="T11">
        <f t="shared" si="1"/>
        <v>13950.073689743742</v>
      </c>
      <c r="U11">
        <f t="shared" si="1"/>
        <v>14011.538077755686</v>
      </c>
      <c r="V11">
        <f t="shared" si="1"/>
        <v>14265.633913301881</v>
      </c>
      <c r="W11">
        <f t="shared" si="1"/>
        <v>14975.792330988232</v>
      </c>
      <c r="X11">
        <f t="shared" si="1"/>
        <v>17152.085830805318</v>
      </c>
      <c r="Y11">
        <f t="shared" si="1"/>
        <v>16455.728334168183</v>
      </c>
      <c r="Z11">
        <f t="shared" si="1"/>
        <v>16841.78607667132</v>
      </c>
      <c r="AA11">
        <f t="shared" si="1"/>
        <v>17067.039337603779</v>
      </c>
      <c r="AB11">
        <f t="shared" si="1"/>
        <v>16808.139738461537</v>
      </c>
      <c r="AC11">
        <f t="shared" si="1"/>
        <v>17584.176387813564</v>
      </c>
      <c r="AD11">
        <f t="shared" si="1"/>
        <v>17694.375481481486</v>
      </c>
      <c r="AE11">
        <f t="shared" si="1"/>
        <v>18409.622948003802</v>
      </c>
      <c r="AF11">
        <f t="shared" si="1"/>
        <v>0</v>
      </c>
    </row>
    <row r="12" spans="1:32" x14ac:dyDescent="0.2">
      <c r="A12" t="s">
        <v>16</v>
      </c>
      <c r="B12" t="e">
        <f t="shared" ref="B12:AE12" si="2">B2*A4</f>
        <v>#VALUE!</v>
      </c>
      <c r="C12">
        <f t="shared" si="2"/>
        <v>13199.975435575298</v>
      </c>
      <c r="D12">
        <f t="shared" si="2"/>
        <v>13096.720178165648</v>
      </c>
      <c r="E12">
        <f t="shared" si="2"/>
        <v>12748.246233682068</v>
      </c>
      <c r="F12">
        <f t="shared" si="2"/>
        <v>12597.438444499645</v>
      </c>
      <c r="G12">
        <f t="shared" si="2"/>
        <v>13204.454581399435</v>
      </c>
      <c r="H12">
        <f t="shared" si="2"/>
        <v>13043.456212417304</v>
      </c>
      <c r="I12">
        <f t="shared" si="2"/>
        <v>13018.927317374229</v>
      </c>
      <c r="J12">
        <f t="shared" si="2"/>
        <v>13102.338902987411</v>
      </c>
      <c r="K12">
        <f t="shared" si="2"/>
        <v>13296.270896543523</v>
      </c>
      <c r="L12">
        <f t="shared" si="2"/>
        <v>13055.471503556264</v>
      </c>
      <c r="M12">
        <f t="shared" si="2"/>
        <v>13732.085094013757</v>
      </c>
      <c r="N12">
        <f t="shared" si="2"/>
        <v>13613.201075732024</v>
      </c>
      <c r="O12">
        <f t="shared" si="2"/>
        <v>12893.528567247453</v>
      </c>
      <c r="P12">
        <f t="shared" si="2"/>
        <v>13028.982110748611</v>
      </c>
      <c r="Q12">
        <f t="shared" si="2"/>
        <v>13230.31076831051</v>
      </c>
      <c r="R12">
        <f t="shared" si="2"/>
        <v>12959.574644442728</v>
      </c>
      <c r="S12">
        <f t="shared" si="2"/>
        <v>13103.772290463694</v>
      </c>
      <c r="T12">
        <f t="shared" si="2"/>
        <v>13638.909791760847</v>
      </c>
      <c r="U12">
        <f t="shared" si="2"/>
        <v>13744.272942357085</v>
      </c>
      <c r="V12">
        <f t="shared" si="2"/>
        <v>13881.527776894187</v>
      </c>
      <c r="W12">
        <f t="shared" si="2"/>
        <v>14395.63061949604</v>
      </c>
      <c r="X12">
        <f t="shared" si="2"/>
        <v>15255.811692598403</v>
      </c>
      <c r="Y12">
        <f t="shared" si="2"/>
        <v>16136.162579846132</v>
      </c>
      <c r="Z12">
        <f t="shared" si="2"/>
        <v>16593.915247350174</v>
      </c>
      <c r="AA12">
        <f t="shared" si="2"/>
        <v>16389.704044287926</v>
      </c>
      <c r="AB12">
        <f t="shared" si="2"/>
        <v>16124.7503083622</v>
      </c>
      <c r="AC12">
        <f t="shared" si="2"/>
        <v>16902.249820512818</v>
      </c>
      <c r="AD12">
        <f t="shared" si="2"/>
        <v>17894.146604405389</v>
      </c>
      <c r="AE12">
        <f t="shared" si="2"/>
        <v>17184.475147767975</v>
      </c>
    </row>
    <row r="13" spans="1:32" x14ac:dyDescent="0.2">
      <c r="A13" t="s">
        <v>17</v>
      </c>
      <c r="B13">
        <f t="shared" ref="B13:AB13" si="3">C13/(C11/C12)</f>
        <v>0.34262158444831431</v>
      </c>
      <c r="C13">
        <f t="shared" si="3"/>
        <v>0.35200082085132456</v>
      </c>
      <c r="D13">
        <f t="shared" si="3"/>
        <v>0.35815798241111624</v>
      </c>
      <c r="E13">
        <f t="shared" si="3"/>
        <v>0.37728660898929545</v>
      </c>
      <c r="F13">
        <f t="shared" si="3"/>
        <v>0.39920934654010698</v>
      </c>
      <c r="G13">
        <f t="shared" si="3"/>
        <v>0.41643104808487375</v>
      </c>
      <c r="H13">
        <f t="shared" si="3"/>
        <v>0.42474074932843653</v>
      </c>
      <c r="I13">
        <f t="shared" si="3"/>
        <v>0.43827630749371793</v>
      </c>
      <c r="J13">
        <f t="shared" si="3"/>
        <v>0.44386552640055071</v>
      </c>
      <c r="K13">
        <f t="shared" si="3"/>
        <v>0.47229751570561801</v>
      </c>
      <c r="L13">
        <f t="shared" si="3"/>
        <v>0.50083695228088521</v>
      </c>
      <c r="M13">
        <f t="shared" si="3"/>
        <v>0.52699367231091532</v>
      </c>
      <c r="N13">
        <f t="shared" si="3"/>
        <v>0.53144225378952648</v>
      </c>
      <c r="O13">
        <f t="shared" si="3"/>
        <v>0.5519142503873109</v>
      </c>
      <c r="P13">
        <f t="shared" si="3"/>
        <v>0.58797372437673068</v>
      </c>
      <c r="Q13">
        <f t="shared" si="3"/>
        <v>0.61808460208162519</v>
      </c>
      <c r="R13">
        <f t="shared" si="3"/>
        <v>0.64615861150025078</v>
      </c>
      <c r="S13">
        <f t="shared" si="3"/>
        <v>0.68264859071451101</v>
      </c>
      <c r="T13">
        <f t="shared" si="3"/>
        <v>0.69822282646226663</v>
      </c>
      <c r="U13">
        <f t="shared" si="3"/>
        <v>0.71180016293073378</v>
      </c>
      <c r="V13">
        <f t="shared" si="3"/>
        <v>0.73149589202279941</v>
      </c>
      <c r="W13">
        <f t="shared" si="3"/>
        <v>0.76097608083027746</v>
      </c>
      <c r="X13">
        <f t="shared" si="3"/>
        <v>0.85556424768426487</v>
      </c>
      <c r="Y13">
        <f t="shared" si="3"/>
        <v>0.87250811725853927</v>
      </c>
      <c r="Z13">
        <f t="shared" si="3"/>
        <v>0.88554116626418855</v>
      </c>
      <c r="AA13">
        <f t="shared" si="3"/>
        <v>0.92213781767253789</v>
      </c>
      <c r="AB13">
        <f t="shared" si="3"/>
        <v>0.96121930579737891</v>
      </c>
      <c r="AC13">
        <f>1</f>
        <v>1</v>
      </c>
      <c r="AD13">
        <f>AC13*AD11/AD12</f>
        <v>0.98883595136776625</v>
      </c>
      <c r="AE13">
        <f>AD13*AE11/AE12</f>
        <v>1.0593338967629546</v>
      </c>
    </row>
    <row r="14" spans="1:32" x14ac:dyDescent="0.2">
      <c r="A14" t="s">
        <v>18</v>
      </c>
      <c r="B14">
        <f t="shared" ref="B14:AE14" si="4">B11/B13</f>
        <v>42356.905595579155</v>
      </c>
      <c r="C14">
        <f t="shared" si="4"/>
        <v>38526.397736528357</v>
      </c>
      <c r="D14">
        <f t="shared" si="4"/>
        <v>37206.504651014264</v>
      </c>
      <c r="E14">
        <f t="shared" si="4"/>
        <v>35593.919051757526</v>
      </c>
      <c r="F14">
        <f t="shared" si="4"/>
        <v>33389.572129916392</v>
      </c>
      <c r="G14">
        <f t="shared" si="4"/>
        <v>33076.516609244361</v>
      </c>
      <c r="H14">
        <f t="shared" si="4"/>
        <v>31322.007022297938</v>
      </c>
      <c r="I14">
        <f t="shared" si="4"/>
        <v>30651.467602198838</v>
      </c>
      <c r="J14">
        <f t="shared" si="4"/>
        <v>29895.156728669877</v>
      </c>
      <c r="K14">
        <f t="shared" si="4"/>
        <v>29955.628688642006</v>
      </c>
      <c r="L14">
        <f t="shared" si="4"/>
        <v>27642.473376238784</v>
      </c>
      <c r="M14">
        <f t="shared" si="4"/>
        <v>27418.27461307681</v>
      </c>
      <c r="N14">
        <f t="shared" si="4"/>
        <v>25831.81125503252</v>
      </c>
      <c r="O14">
        <f t="shared" si="4"/>
        <v>24261.391478205329</v>
      </c>
      <c r="P14">
        <f t="shared" si="4"/>
        <v>23606.89563932332</v>
      </c>
      <c r="Q14">
        <f t="shared" si="4"/>
        <v>22501.53403085321</v>
      </c>
      <c r="R14">
        <f t="shared" si="4"/>
        <v>20967.315155233824</v>
      </c>
      <c r="S14">
        <f t="shared" si="4"/>
        <v>20279.498032285544</v>
      </c>
      <c r="T14">
        <f t="shared" si="4"/>
        <v>19979.400788750398</v>
      </c>
      <c r="U14">
        <f t="shared" si="4"/>
        <v>19684.651405620945</v>
      </c>
      <c r="V14">
        <f t="shared" si="4"/>
        <v>19502.001404072475</v>
      </c>
      <c r="W14">
        <f t="shared" si="4"/>
        <v>19679.714919092607</v>
      </c>
      <c r="X14">
        <f t="shared" si="4"/>
        <v>20047.688852392388</v>
      </c>
      <c r="Y14">
        <f t="shared" si="4"/>
        <v>18860.258155388674</v>
      </c>
      <c r="Z14">
        <f t="shared" si="4"/>
        <v>19018.637098172818</v>
      </c>
      <c r="AA14">
        <f t="shared" si="4"/>
        <v>18508.122116367304</v>
      </c>
      <c r="AB14">
        <f t="shared" si="4"/>
        <v>17486.269405001553</v>
      </c>
      <c r="AC14">
        <f t="shared" si="4"/>
        <v>17584.176387813564</v>
      </c>
      <c r="AD14">
        <f t="shared" si="4"/>
        <v>17894.146604405389</v>
      </c>
      <c r="AE14">
        <f t="shared" si="4"/>
        <v>17378.489449132856</v>
      </c>
    </row>
    <row r="16" spans="1:32" x14ac:dyDescent="0.2">
      <c r="B16" t="e">
        <f t="shared" ref="B16:AE16" si="5">(B14/B3)*(B13/B5)^$B$7</f>
        <v>#DIV/0!</v>
      </c>
      <c r="C16">
        <f t="shared" si="5"/>
        <v>0.73921773282743763</v>
      </c>
      <c r="D16">
        <f t="shared" si="5"/>
        <v>0.73096623713685294</v>
      </c>
      <c r="E16">
        <f t="shared" si="5"/>
        <v>0.71644156783057866</v>
      </c>
      <c r="F16">
        <f t="shared" si="5"/>
        <v>0.69354375063837193</v>
      </c>
      <c r="G16">
        <f t="shared" si="5"/>
        <v>0.69329748703044447</v>
      </c>
      <c r="H16">
        <f t="shared" si="5"/>
        <v>0.67629081933007995</v>
      </c>
      <c r="I16">
        <f t="shared" si="5"/>
        <v>0.67937022202636599</v>
      </c>
      <c r="J16">
        <f t="shared" si="5"/>
        <v>0.67281982672916907</v>
      </c>
      <c r="K16">
        <f t="shared" si="5"/>
        <v>0.67346119218704137</v>
      </c>
      <c r="L16">
        <f t="shared" si="5"/>
        <v>0.64887145365538956</v>
      </c>
      <c r="M16">
        <f t="shared" si="5"/>
        <v>0.64908613930983561</v>
      </c>
      <c r="N16">
        <f t="shared" si="5"/>
        <v>0.63119105560635624</v>
      </c>
      <c r="O16">
        <f t="shared" si="5"/>
        <v>0.61538185872941809</v>
      </c>
      <c r="P16">
        <f t="shared" si="5"/>
        <v>0.60489538631971407</v>
      </c>
      <c r="Q16">
        <f t="shared" si="5"/>
        <v>0.58706730188645007</v>
      </c>
      <c r="R16">
        <f t="shared" si="5"/>
        <v>0.56128628433922323</v>
      </c>
      <c r="S16">
        <f t="shared" si="5"/>
        <v>0.5549478960332741</v>
      </c>
      <c r="T16">
        <f t="shared" si="5"/>
        <v>0.55684396616742615</v>
      </c>
      <c r="U16">
        <f t="shared" si="5"/>
        <v>0.55887266015001491</v>
      </c>
      <c r="V16">
        <f t="shared" si="5"/>
        <v>0.56109652497642803</v>
      </c>
      <c r="W16">
        <f t="shared" si="5"/>
        <v>0.56741076034483229</v>
      </c>
      <c r="X16">
        <f t="shared" si="5"/>
        <v>0.57648301208619446</v>
      </c>
      <c r="Y16">
        <f t="shared" si="5"/>
        <v>0.56531769264980958</v>
      </c>
      <c r="Z16">
        <f t="shared" si="5"/>
        <v>0.57111650237539879</v>
      </c>
      <c r="AA16">
        <f t="shared" si="5"/>
        <v>0.5678534025726848</v>
      </c>
      <c r="AB16">
        <f t="shared" si="5"/>
        <v>0.55655540703328321</v>
      </c>
      <c r="AC16">
        <f t="shared" si="5"/>
        <v>0.56241459984962006</v>
      </c>
      <c r="AD16">
        <f t="shared" si="5"/>
        <v>0.57191014056826572</v>
      </c>
      <c r="AE16">
        <f t="shared" si="5"/>
        <v>0.56623984354426804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45A9-FE37-4720-876F-BAD002833E51}">
  <dimension ref="A2:AF22"/>
  <sheetViews>
    <sheetView tabSelected="1" workbookViewId="0">
      <selection activeCell="D16" sqref="D16"/>
    </sheetView>
  </sheetViews>
  <sheetFormatPr defaultRowHeight="14.25" x14ac:dyDescent="0.2"/>
  <cols>
    <col min="1" max="1" width="9" style="6" customWidth="1"/>
    <col min="2" max="2" width="14.125" style="6" bestFit="1" customWidth="1"/>
    <col min="3" max="4" width="9" style="6" customWidth="1"/>
    <col min="5" max="16384" width="9" style="6"/>
  </cols>
  <sheetData>
    <row r="2" spans="1:32" ht="15" customHeight="1" x14ac:dyDescent="0.25">
      <c r="A2" s="13" t="s">
        <v>24</v>
      </c>
      <c r="B2" s="14">
        <v>1993</v>
      </c>
      <c r="C2" s="14">
        <v>1994</v>
      </c>
      <c r="D2" s="14">
        <v>1995</v>
      </c>
      <c r="E2" s="14">
        <v>1996</v>
      </c>
      <c r="F2" s="14">
        <v>1997</v>
      </c>
      <c r="G2" s="14">
        <v>1998</v>
      </c>
      <c r="H2" s="14">
        <v>1999</v>
      </c>
      <c r="I2" s="14">
        <v>2000</v>
      </c>
      <c r="J2" s="14">
        <v>2001</v>
      </c>
      <c r="K2" s="14">
        <v>2002</v>
      </c>
      <c r="L2" s="14">
        <v>2003</v>
      </c>
      <c r="M2" s="14">
        <v>2004</v>
      </c>
      <c r="N2" s="14">
        <v>2005</v>
      </c>
      <c r="O2" s="14">
        <v>2006</v>
      </c>
      <c r="P2" s="14">
        <v>2007</v>
      </c>
      <c r="Q2" s="14">
        <v>2008</v>
      </c>
      <c r="R2" s="14">
        <v>2009</v>
      </c>
      <c r="S2" s="14">
        <v>2010</v>
      </c>
      <c r="T2" s="14">
        <v>2011</v>
      </c>
      <c r="U2" s="14">
        <v>2012</v>
      </c>
      <c r="V2" s="14">
        <v>2013</v>
      </c>
      <c r="W2" s="14">
        <v>2014</v>
      </c>
      <c r="X2" s="14">
        <v>2015</v>
      </c>
      <c r="Y2" s="14">
        <v>2016</v>
      </c>
      <c r="Z2" s="14">
        <v>2017</v>
      </c>
      <c r="AA2" s="14">
        <v>2018</v>
      </c>
      <c r="AB2" s="14">
        <v>2019</v>
      </c>
      <c r="AC2" s="14">
        <v>2020</v>
      </c>
      <c r="AD2" s="14">
        <v>2021</v>
      </c>
      <c r="AE2" s="14">
        <v>2022</v>
      </c>
      <c r="AF2" s="14"/>
    </row>
    <row r="3" spans="1:32" x14ac:dyDescent="0.2">
      <c r="A3" s="6" t="s">
        <v>25</v>
      </c>
      <c r="B3" s="6">
        <f>Y!AB3</f>
        <v>150359.82458608321</v>
      </c>
      <c r="C3" s="6">
        <f>Y!AC3</f>
        <v>151786.73306267129</v>
      </c>
      <c r="D3" s="6">
        <f>Y!AD3</f>
        <v>151157.9545498834</v>
      </c>
      <c r="E3" s="6">
        <f>Y!AE3</f>
        <v>144547.0961151224</v>
      </c>
      <c r="F3" s="6">
        <f>Y!AF3</f>
        <v>146043.78130772981</v>
      </c>
      <c r="G3" s="6">
        <f>Y!AG3</f>
        <v>150061.66719180541</v>
      </c>
      <c r="H3" s="6">
        <f>Y!AH3</f>
        <v>149807.4360077864</v>
      </c>
      <c r="I3" s="6">
        <f>Y!AI3</f>
        <v>149968.463026137</v>
      </c>
      <c r="J3" s="6">
        <f>Y!AJ3</f>
        <v>152904.38171217669</v>
      </c>
      <c r="K3" s="6">
        <f>Y!AK3</f>
        <v>155839.86511398511</v>
      </c>
      <c r="L3" s="6">
        <f>Y!AL3</f>
        <v>157377.12397162369</v>
      </c>
      <c r="M3" s="6">
        <f>Y!AM3</f>
        <v>159879.98417919889</v>
      </c>
      <c r="N3" s="6">
        <f>Y!AN3</f>
        <v>163810.68543603999</v>
      </c>
      <c r="O3" s="6">
        <f>Y!AO3</f>
        <v>162171.85572545399</v>
      </c>
      <c r="P3" s="6">
        <f>Y!AP3</f>
        <v>160069.2987518459</v>
      </c>
      <c r="Q3" s="6">
        <f>Y!AQ3</f>
        <v>158120.90738918821</v>
      </c>
      <c r="R3" s="6">
        <f>Y!AR3</f>
        <v>150853.32763453189</v>
      </c>
      <c r="S3" s="6">
        <f>Y!AS3</f>
        <v>144714.15186306011</v>
      </c>
      <c r="T3" s="6">
        <f>Y!AT3</f>
        <v>145739.45311066299</v>
      </c>
      <c r="U3" s="6">
        <f>Y!AU3</f>
        <v>142580.8823455286</v>
      </c>
      <c r="V3" s="6">
        <f>Y!AV3</f>
        <v>144480.43503474491</v>
      </c>
      <c r="W3" s="6">
        <f>Y!AW3</f>
        <v>145446.78929418439</v>
      </c>
      <c r="X3" s="6">
        <f>Y!AX3</f>
        <v>146833.766160653</v>
      </c>
      <c r="Y3" s="6">
        <f>Y!AY3</f>
        <v>148098.44004416649</v>
      </c>
      <c r="Z3" s="6">
        <f>Y!AZ3</f>
        <v>153499.94193091651</v>
      </c>
      <c r="AA3" s="6">
        <f>Y!BA3</f>
        <v>153657.7876695022</v>
      </c>
      <c r="AB3" s="6">
        <f>Y!BB3</f>
        <v>155602.5733596943</v>
      </c>
      <c r="AC3" s="6">
        <f>Y!BC3</f>
        <v>161377.85800000001</v>
      </c>
      <c r="AD3" s="6">
        <f>Y!BD3</f>
        <v>165261.179</v>
      </c>
      <c r="AE3" s="6">
        <f>Y!BE3</f>
        <v>168806.14136704651</v>
      </c>
    </row>
    <row r="4" spans="1:32" x14ac:dyDescent="0.2">
      <c r="A4" s="6" t="s">
        <v>26</v>
      </c>
      <c r="B4" s="6">
        <f>K!AC3</f>
        <v>79444</v>
      </c>
      <c r="C4" s="6">
        <f>K!AD3</f>
        <v>80168</v>
      </c>
      <c r="D4" s="6">
        <f>K!AE3</f>
        <v>80875</v>
      </c>
      <c r="E4" s="6">
        <f>K!AF3</f>
        <v>83394</v>
      </c>
      <c r="F4" s="6">
        <f>K!AG3</f>
        <v>83779</v>
      </c>
      <c r="G4" s="6">
        <f>K!AH3</f>
        <v>84571</v>
      </c>
      <c r="H4" s="6">
        <f>K!AI3</f>
        <v>84521</v>
      </c>
      <c r="I4" s="6">
        <f>K!AJ3</f>
        <v>86866</v>
      </c>
      <c r="J4" s="6">
        <f>K!AK3</f>
        <v>88848</v>
      </c>
      <c r="K4" s="6">
        <f>K!AL3</f>
        <v>90559</v>
      </c>
      <c r="L4" s="6">
        <f>K!AM3</f>
        <v>93051</v>
      </c>
      <c r="M4" s="6">
        <f>K!AN3</f>
        <v>95676</v>
      </c>
      <c r="N4" s="6">
        <f>K!AO3</f>
        <v>95904</v>
      </c>
      <c r="O4" s="6">
        <f>K!AP3</f>
        <v>95868</v>
      </c>
      <c r="P4" s="6">
        <f>K!AQ3</f>
        <v>96614</v>
      </c>
      <c r="Q4" s="6">
        <f>K!AR3</f>
        <v>99622</v>
      </c>
      <c r="R4" s="6">
        <f>K!AS3</f>
        <v>102062</v>
      </c>
      <c r="S4" s="6">
        <f>K!AT3</f>
        <v>99903</v>
      </c>
      <c r="T4" s="6">
        <f>K!AU3</f>
        <v>98584</v>
      </c>
      <c r="U4" s="6">
        <f>K!AV3</f>
        <v>99448</v>
      </c>
      <c r="V4" s="6">
        <f>K!AW3</f>
        <v>99126</v>
      </c>
      <c r="W4" s="6">
        <f>K!AX3</f>
        <v>98817</v>
      </c>
      <c r="X4" s="6">
        <f>K!AY3</f>
        <v>98167</v>
      </c>
      <c r="Y4" s="6">
        <f>K!AZ3</f>
        <v>97863</v>
      </c>
      <c r="Z4" s="6">
        <f>K!BA3</f>
        <v>98143</v>
      </c>
      <c r="AA4" s="6">
        <f>K!BB3</f>
        <v>100338</v>
      </c>
      <c r="AB4" s="6">
        <f>K!BC3</f>
        <v>101517</v>
      </c>
      <c r="AC4" s="6">
        <f>K!BD3</f>
        <v>101385</v>
      </c>
      <c r="AD4" s="6">
        <f>K!BE3</f>
        <v>101864</v>
      </c>
      <c r="AE4" s="6">
        <f>K!BF3</f>
        <v>102660</v>
      </c>
    </row>
    <row r="5" spans="1:32" x14ac:dyDescent="0.2">
      <c r="A5" s="6" t="s">
        <v>10</v>
      </c>
      <c r="B5" s="6">
        <f>L!AC3</f>
        <v>124.69499999999999</v>
      </c>
      <c r="C5" s="6">
        <f>L!AD3</f>
        <v>121.438</v>
      </c>
      <c r="D5" s="6">
        <f>L!AE3</f>
        <v>123.97199999999999</v>
      </c>
      <c r="E5" s="6">
        <f>L!AF3</f>
        <v>120.697</v>
      </c>
      <c r="F5" s="6">
        <f>L!AG3</f>
        <v>117.90600000000001</v>
      </c>
      <c r="G5" s="6">
        <f>L!AH3</f>
        <v>115.14</v>
      </c>
      <c r="H5" s="6">
        <f>L!AI3</f>
        <v>116.399</v>
      </c>
      <c r="I5" s="6">
        <f>L!AJ3</f>
        <v>117.301</v>
      </c>
      <c r="J5" s="6">
        <f>L!AK3</f>
        <v>117.036</v>
      </c>
      <c r="K5" s="6">
        <f>L!AL3</f>
        <v>116.729</v>
      </c>
      <c r="L5" s="6">
        <f>L!AM3</f>
        <v>110.661</v>
      </c>
      <c r="M5" s="6">
        <f>L!AN3</f>
        <v>106.601</v>
      </c>
      <c r="N5" s="6">
        <f>L!AO3</f>
        <v>99.25</v>
      </c>
      <c r="O5" s="6">
        <f>L!AP3</f>
        <v>95.156000000000006</v>
      </c>
      <c r="P5" s="6">
        <f>L!AQ3</f>
        <v>90.557000000000002</v>
      </c>
      <c r="Q5" s="6">
        <f>L!AR3</f>
        <v>89.331999999999994</v>
      </c>
      <c r="R5" s="6">
        <f>L!AS3</f>
        <v>83.22</v>
      </c>
      <c r="S5" s="6">
        <f>L!AT3</f>
        <v>79.289000000000001</v>
      </c>
      <c r="T5" s="6">
        <f>L!AU3</f>
        <v>76.718999999999994</v>
      </c>
      <c r="U5" s="6">
        <f>L!AV3</f>
        <v>73.253</v>
      </c>
      <c r="V5" s="6">
        <f>L!AW3</f>
        <v>70.478999999999999</v>
      </c>
      <c r="W5" s="6">
        <f>L!AX3</f>
        <v>66.266999999999996</v>
      </c>
      <c r="X5" s="6">
        <f>L!AY3</f>
        <v>64.948999999999998</v>
      </c>
      <c r="Y5" s="6">
        <f>L!AZ3</f>
        <v>65.698999999999998</v>
      </c>
      <c r="Z5" s="6">
        <f>L!BA3</f>
        <v>67.126000000000005</v>
      </c>
      <c r="AA5" s="6">
        <f>L!BB3</f>
        <v>65.334999999999994</v>
      </c>
      <c r="AB5" s="6">
        <f>L!BC3</f>
        <v>65.519000000000005</v>
      </c>
      <c r="AC5" s="6">
        <f>L!BD3</f>
        <v>70.152000000000001</v>
      </c>
      <c r="AD5" s="6">
        <f>L!BE3</f>
        <v>70.239999999999995</v>
      </c>
      <c r="AE5" s="6">
        <f>L!BF3</f>
        <v>69.951999999999998</v>
      </c>
    </row>
    <row r="6" spans="1:32" x14ac:dyDescent="0.2">
      <c r="A6" s="6" t="s">
        <v>27</v>
      </c>
      <c r="B6" s="6">
        <f>Mtot!AB3</f>
        <v>115836.7351808876</v>
      </c>
      <c r="C6" s="6">
        <f>Mtot!AC3</f>
        <v>117252.9070265316</v>
      </c>
      <c r="D6" s="6">
        <f>Mtot!AD3</f>
        <v>114809.7152291941</v>
      </c>
      <c r="E6" s="6">
        <f>Mtot!AE3</f>
        <v>110282.6867269082</v>
      </c>
      <c r="F6" s="6">
        <f>Mtot!AF3</f>
        <v>109138.62170360021</v>
      </c>
      <c r="G6" s="6">
        <f>Mtot!AG3</f>
        <v>113121.1379821712</v>
      </c>
      <c r="H6" s="6">
        <f>Mtot!AH3</f>
        <v>111352.9327442448</v>
      </c>
      <c r="I6" s="6">
        <f>Mtot!AI3</f>
        <v>112674.14123678789</v>
      </c>
      <c r="J6" s="6">
        <f>Mtot!AJ3</f>
        <v>114029.6332577826</v>
      </c>
      <c r="K6" s="6">
        <f>Mtot!AK3</f>
        <v>120528.9335030966</v>
      </c>
      <c r="L6" s="6">
        <f>Mtot!AL3</f>
        <v>124582.6848558948</v>
      </c>
      <c r="M6" s="6">
        <f>Mtot!AM3</f>
        <v>125432.26700068259</v>
      </c>
      <c r="N6" s="6">
        <f>Mtot!AN3</f>
        <v>128358.3491913005</v>
      </c>
      <c r="O6" s="6">
        <f>Mtot!AO3</f>
        <v>129842.13552610359</v>
      </c>
      <c r="P6" s="6">
        <f>Mtot!AP3</f>
        <v>128854.41564512761</v>
      </c>
      <c r="Q6" s="6">
        <f>Mtot!AQ3</f>
        <v>128455.78086456</v>
      </c>
      <c r="R6" s="6">
        <f>Mtot!AR3</f>
        <v>121554.5086638997</v>
      </c>
      <c r="S6" s="6">
        <f>Mtot!AS3</f>
        <v>115038.1839447962</v>
      </c>
      <c r="T6" s="6">
        <f>Mtot!AT3</f>
        <v>116451.8645273275</v>
      </c>
      <c r="U6" s="6">
        <f>Mtot!AU3</f>
        <v>114000.8443448364</v>
      </c>
      <c r="V6" s="6">
        <f>Mtot!AV3</f>
        <v>115688.25954607521</v>
      </c>
      <c r="W6" s="6">
        <f>Mtot!AW3</f>
        <v>116298.8123549375</v>
      </c>
      <c r="X6" s="6">
        <f>Mtot!AX3</f>
        <v>120274.32356613369</v>
      </c>
      <c r="Y6" s="6">
        <f>Mtot!AY3</f>
        <v>120429.90981403321</v>
      </c>
      <c r="Z6" s="6">
        <f>Mtot!AZ3</f>
        <v>123525.11453028351</v>
      </c>
      <c r="AA6" s="6">
        <f>Mtot!BA3</f>
        <v>125198.6570707067</v>
      </c>
      <c r="AB6" s="6">
        <f>Mtot!BB3</f>
        <v>124712.77715192649</v>
      </c>
      <c r="AC6" s="6">
        <f>Mtot!BC3</f>
        <v>130185.31200000001</v>
      </c>
      <c r="AD6" s="6">
        <f>Mtot!BD3</f>
        <v>130242.3661927264</v>
      </c>
      <c r="AE6" s="6">
        <f>Mtot!BE3</f>
        <v>129268.2328162467</v>
      </c>
    </row>
    <row r="7" spans="1:32" x14ac:dyDescent="0.2">
      <c r="A7" s="6" t="s">
        <v>28</v>
      </c>
      <c r="B7" s="6">
        <f>J!M3</f>
        <v>0</v>
      </c>
      <c r="C7" s="6">
        <f>J!N3</f>
        <v>0</v>
      </c>
      <c r="D7" s="6">
        <f>J!O3</f>
        <v>0</v>
      </c>
      <c r="E7" s="6">
        <f>J!P3</f>
        <v>0</v>
      </c>
      <c r="F7" s="6">
        <f>J!Q3</f>
        <v>0</v>
      </c>
      <c r="G7" s="6">
        <f>J!R3</f>
        <v>0</v>
      </c>
      <c r="H7" s="6">
        <f>J!S3</f>
        <v>0</v>
      </c>
      <c r="I7" s="6">
        <f>J!T3</f>
        <v>0</v>
      </c>
      <c r="J7" s="6">
        <f>J!U3</f>
        <v>0</v>
      </c>
      <c r="K7" s="6">
        <f>J!V3</f>
        <v>0</v>
      </c>
      <c r="L7" s="6">
        <f>J!W3</f>
        <v>0</v>
      </c>
      <c r="M7" s="6">
        <f>J!X3</f>
        <v>0</v>
      </c>
      <c r="N7" s="6">
        <f>J!Y3</f>
        <v>0</v>
      </c>
      <c r="O7" s="6">
        <f>J!Z3</f>
        <v>0</v>
      </c>
      <c r="P7" s="6">
        <f>J!AA3</f>
        <v>0</v>
      </c>
      <c r="Q7" s="6">
        <f>J!AB3</f>
        <v>0</v>
      </c>
      <c r="R7" s="6">
        <f>J!AC3</f>
        <v>0</v>
      </c>
      <c r="S7" s="6">
        <f>J!AD3</f>
        <v>0</v>
      </c>
      <c r="T7" s="6">
        <f>J!AE3</f>
        <v>0</v>
      </c>
      <c r="U7" s="6">
        <f>J!AF3</f>
        <v>0</v>
      </c>
      <c r="V7" s="6">
        <f>J!AG3</f>
        <v>0</v>
      </c>
      <c r="W7" s="6">
        <f>J!AH3</f>
        <v>0</v>
      </c>
      <c r="X7" s="6">
        <f>J!AI3</f>
        <v>0</v>
      </c>
      <c r="Y7" s="6">
        <f>J!AJ3</f>
        <v>0</v>
      </c>
      <c r="Z7" s="6">
        <f>J!AK3</f>
        <v>0</v>
      </c>
      <c r="AA7" s="6">
        <f>J!AL3</f>
        <v>0</v>
      </c>
      <c r="AB7" s="6">
        <f>J!AM3</f>
        <v>0</v>
      </c>
      <c r="AC7" s="6">
        <f>J!AN3</f>
        <v>0</v>
      </c>
      <c r="AD7" s="6">
        <f>J!AO3</f>
        <v>0</v>
      </c>
      <c r="AE7" s="6">
        <f>J!AP3</f>
        <v>0</v>
      </c>
    </row>
    <row r="8" spans="1:32" x14ac:dyDescent="0.2">
      <c r="A8" s="6" t="s">
        <v>29</v>
      </c>
      <c r="B8" s="6">
        <f>I!B3</f>
        <v>6200.0000000000018</v>
      </c>
      <c r="C8" s="6">
        <f>I!C3</f>
        <v>6403.0000000000018</v>
      </c>
      <c r="D8" s="6">
        <f>I!D3</f>
        <v>6422.0000000000018</v>
      </c>
      <c r="E8" s="6">
        <f>I!E3</f>
        <v>8467.0000000000018</v>
      </c>
      <c r="F8" s="6">
        <f>I!F3</f>
        <v>6945.0000000000018</v>
      </c>
      <c r="G8" s="6">
        <f>I!G3</f>
        <v>7452.0000000000036</v>
      </c>
      <c r="H8" s="6">
        <f>I!H3</f>
        <v>6764.0000000000036</v>
      </c>
      <c r="I8" s="6">
        <f>I!I3</f>
        <v>9085.0000000000036</v>
      </c>
      <c r="J8" s="6">
        <f>I!J3</f>
        <v>8940.0000000000055</v>
      </c>
      <c r="K8" s="6">
        <f>I!K3</f>
        <v>8872.0000000000055</v>
      </c>
      <c r="L8" s="6">
        <f>I!L3</f>
        <v>9786.0000000000073</v>
      </c>
      <c r="M8" s="6">
        <f>I!M3</f>
        <v>10159</v>
      </c>
      <c r="N8" s="6">
        <f>I!N3</f>
        <v>7977.0000000000027</v>
      </c>
      <c r="O8" s="6">
        <f>I!O3</f>
        <v>7682.0000000000009</v>
      </c>
      <c r="P8" s="6">
        <f>I!P3</f>
        <v>8309</v>
      </c>
      <c r="Q8" s="6">
        <f>I!Q3</f>
        <v>10157</v>
      </c>
      <c r="R8" s="6">
        <f>I!R3</f>
        <v>9554</v>
      </c>
      <c r="S8" s="6">
        <f>I!S3</f>
        <v>5055</v>
      </c>
      <c r="T8" s="6">
        <f>I!T3</f>
        <v>5742</v>
      </c>
      <c r="U8" s="6">
        <f>I!U3</f>
        <v>7822</v>
      </c>
      <c r="V8" s="6">
        <f>I!V3</f>
        <v>6584</v>
      </c>
      <c r="W8" s="6">
        <f>I!W3</f>
        <v>6501</v>
      </c>
      <c r="X8" s="6">
        <f>I!X3</f>
        <v>5929</v>
      </c>
      <c r="Y8" s="6">
        <f>I!Y3</f>
        <v>6149</v>
      </c>
      <c r="Z8" s="6">
        <f>I!Z3</f>
        <v>6629</v>
      </c>
      <c r="AA8" s="6">
        <f>I!AA3</f>
        <v>8630</v>
      </c>
      <c r="AB8" s="6">
        <f>I!AB3</f>
        <v>7652.0000000000009</v>
      </c>
      <c r="AC8" s="6">
        <f>I!AC3</f>
        <v>6167</v>
      </c>
      <c r="AD8" s="6">
        <f>I!AD3</f>
        <v>6949</v>
      </c>
      <c r="AE8" s="6">
        <f>I!AE3</f>
        <v>7506.9999999999991</v>
      </c>
    </row>
    <row r="10" spans="1:32" x14ac:dyDescent="0.2">
      <c r="A10" s="13" t="s">
        <v>30</v>
      </c>
    </row>
    <row r="11" spans="1:32" x14ac:dyDescent="0.2">
      <c r="A11" s="6" t="s">
        <v>31</v>
      </c>
      <c r="B11" s="6">
        <f>P!AB3</f>
        <v>0.75479963688720897</v>
      </c>
      <c r="C11" s="6">
        <f>P!AC3</f>
        <v>0.76114401218648087</v>
      </c>
      <c r="D11" s="6">
        <f>P!AD3</f>
        <v>0.76856145841574952</v>
      </c>
      <c r="E11" s="6">
        <f>P!AE3</f>
        <v>0.78565486303200116</v>
      </c>
      <c r="F11" s="6">
        <f>P!AF3</f>
        <v>0.79803585579875247</v>
      </c>
      <c r="G11" s="6">
        <f>P!AG3</f>
        <v>0.7540223703857325</v>
      </c>
      <c r="H11" s="6">
        <f>P!AH3</f>
        <v>0.73069725320117307</v>
      </c>
      <c r="I11" s="6">
        <f>P!AI3</f>
        <v>0.78026275417389768</v>
      </c>
      <c r="J11" s="6">
        <f>P!AJ3</f>
        <v>0.81970008705132291</v>
      </c>
      <c r="K11" s="6">
        <f>P!AK3</f>
        <v>0.82018067011615825</v>
      </c>
      <c r="L11" s="6">
        <f>P!AL3</f>
        <v>0.80459867231295679</v>
      </c>
      <c r="M11" s="6">
        <f>P!AM3</f>
        <v>0.81073777724869345</v>
      </c>
      <c r="N11" s="6">
        <f>P!AN3</f>
        <v>0.81833700679032217</v>
      </c>
      <c r="O11" s="6">
        <f>P!AO3</f>
        <v>0.83200361367525622</v>
      </c>
      <c r="P11" s="6">
        <f>P!AP3</f>
        <v>0.86051449012430659</v>
      </c>
      <c r="Q11" s="6">
        <f>P!AQ3</f>
        <v>0.92183343371052939</v>
      </c>
      <c r="R11" s="6">
        <f>P!AR3</f>
        <v>0.88637582674968962</v>
      </c>
      <c r="S11" s="6">
        <f>P!AS3</f>
        <v>0.91582157165535916</v>
      </c>
      <c r="T11" s="6">
        <f>P!AT3</f>
        <v>0.95976415455456365</v>
      </c>
      <c r="U11" s="6">
        <f>P!AU3</f>
        <v>0.99275845871800361</v>
      </c>
      <c r="V11" s="6">
        <f>P!AV3</f>
        <v>1.009094739816772</v>
      </c>
      <c r="W11" s="6">
        <f>P!AW3</f>
        <v>0.98179215019433685</v>
      </c>
      <c r="X11" s="6">
        <f>P!AX3</f>
        <v>0.96693148798389839</v>
      </c>
      <c r="Y11" s="6">
        <f>P!AY3</f>
        <v>0.97212258925255923</v>
      </c>
      <c r="Z11" s="6">
        <f>P!AZ3</f>
        <v>0.98167363521099882</v>
      </c>
      <c r="AA11" s="6">
        <f>P!BA3</f>
        <v>0.97215030403335978</v>
      </c>
      <c r="AB11" s="6">
        <f>P!BB3</f>
        <v>0.99724660492147565</v>
      </c>
      <c r="AC11" s="6">
        <f>P!BC3</f>
        <v>1</v>
      </c>
      <c r="AD11" s="6">
        <f>P!BD3</f>
        <v>0.99145650534176577</v>
      </c>
      <c r="AE11" s="6">
        <f>P!BE3</f>
        <v>1.14727594879914</v>
      </c>
    </row>
    <row r="12" spans="1:32" x14ac:dyDescent="0.2">
      <c r="A12" s="6" t="s">
        <v>32</v>
      </c>
      <c r="B12" s="6">
        <f>P_K!AC3</f>
        <v>0</v>
      </c>
      <c r="C12" s="6">
        <f>P_K!AD3</f>
        <v>0.102035384485007</v>
      </c>
      <c r="D12" s="6">
        <f>P_K!AE3</f>
        <v>0.10777478538937831</v>
      </c>
      <c r="E12" s="6">
        <f>P_K!AF3</f>
        <v>0.118773275694326</v>
      </c>
      <c r="F12" s="6">
        <f>P_K!AG3</f>
        <v>0.1116450723910383</v>
      </c>
      <c r="G12" s="6">
        <f>P_K!AH3</f>
        <v>0.10658308421400491</v>
      </c>
      <c r="H12" s="6">
        <f>P_K!AI3</f>
        <v>9.6346800140179253E-2</v>
      </c>
      <c r="I12" s="6">
        <f>P_K!AJ3</f>
        <v>0.1108574399228473</v>
      </c>
      <c r="J12" s="6">
        <f>P_K!AK3</f>
        <v>8.6690043346899767E-2</v>
      </c>
      <c r="K12" s="6">
        <f>P_K!AL3</f>
        <v>9.3857836159856406E-2</v>
      </c>
      <c r="L12" s="6">
        <f>P_K!AM3</f>
        <v>9.6542730320023529E-2</v>
      </c>
      <c r="M12" s="6">
        <f>P_K!AN3</f>
        <v>0.10400685379172731</v>
      </c>
      <c r="N12" s="6">
        <f>P_K!AO3</f>
        <v>8.336590856138601E-2</v>
      </c>
      <c r="O12" s="6">
        <f>P_K!AP3</f>
        <v>0.1027803265946198</v>
      </c>
      <c r="P12" s="6">
        <f>P_K!AQ3</f>
        <v>7.4265195082944088E-2</v>
      </c>
      <c r="Q12" s="6">
        <f>P_K!AR3</f>
        <v>9.8188280547886406E-2</v>
      </c>
      <c r="R12" s="6">
        <f>P_K!AS3</f>
        <v>0.1032565829165594</v>
      </c>
      <c r="S12" s="6">
        <f>P_K!AT3</f>
        <v>0.1076011574568646</v>
      </c>
      <c r="T12" s="6">
        <f>P_K!AU3</f>
        <v>0.10489537933906019</v>
      </c>
      <c r="U12" s="6">
        <f>P_K!AV3</f>
        <v>9.5932698225373661E-2</v>
      </c>
      <c r="V12" s="6">
        <f>P_K!AW3</f>
        <v>9.5640065833606333E-2</v>
      </c>
      <c r="W12" s="6">
        <f>P_K!AX3</f>
        <v>7.8553792998359059E-2</v>
      </c>
      <c r="X12" s="6">
        <f>P_K!AY3</f>
        <v>7.951903952722307E-2</v>
      </c>
      <c r="Y12" s="6">
        <f>P_K!AZ3</f>
        <v>7.7908112001619109E-2</v>
      </c>
      <c r="Z12" s="6">
        <f>P_K!BA3</f>
        <v>9.4663323885291153E-2</v>
      </c>
      <c r="AA12" s="6">
        <f>P_K!BB3</f>
        <v>9.5160056337947163E-2</v>
      </c>
      <c r="AB12" s="6">
        <f>P_K!BC3</f>
        <v>8.3019974523129411E-2</v>
      </c>
      <c r="AC12" s="6">
        <f>P_K!BD3</f>
        <v>8.3904178108588842E-2</v>
      </c>
      <c r="AD12" s="6">
        <f>P_K!BE3</f>
        <v>8.6398922362418765E-2</v>
      </c>
      <c r="AE12" s="6">
        <f>P_K!BF3</f>
        <v>8.2330124439343635E-2</v>
      </c>
    </row>
    <row r="13" spans="1:32" x14ac:dyDescent="0.2">
      <c r="A13" s="6" t="s">
        <v>12</v>
      </c>
      <c r="B13" s="6">
        <f>w!AC3</f>
        <v>142.0781036127587</v>
      </c>
      <c r="C13" s="6">
        <f>w!AD3</f>
        <v>146.61712435299219</v>
      </c>
      <c r="D13" s="6">
        <f>w!AE3</f>
        <v>147.38063091219729</v>
      </c>
      <c r="E13" s="6">
        <f>w!AF3</f>
        <v>152.6893305170984</v>
      </c>
      <c r="F13" s="6">
        <f>w!AG3</f>
        <v>157.86554093030571</v>
      </c>
      <c r="G13" s="6">
        <f>w!AH3</f>
        <v>168.62298782618041</v>
      </c>
      <c r="H13" s="6">
        <f>w!AI3</f>
        <v>166.71729384354711</v>
      </c>
      <c r="I13" s="6">
        <f>w!AJ3</f>
        <v>171.25747283202631</v>
      </c>
      <c r="J13" s="6">
        <f>w!AK3</f>
        <v>177.9146408767181</v>
      </c>
      <c r="K13" s="6">
        <f>w!AL3</f>
        <v>186.38921856510501</v>
      </c>
      <c r="L13" s="6">
        <f>w!AM3</f>
        <v>198.10179248503181</v>
      </c>
      <c r="M13" s="6">
        <f>w!AN3</f>
        <v>204.59416349118209</v>
      </c>
      <c r="N13" s="6">
        <f>w!AO3</f>
        <v>215.89703895460971</v>
      </c>
      <c r="O13" s="6">
        <f>w!AP3</f>
        <v>225.25355310649149</v>
      </c>
      <c r="P13" s="6">
        <f>w!AQ3</f>
        <v>239.93269923457899</v>
      </c>
      <c r="Q13" s="6">
        <f>w!AR3</f>
        <v>247.39117861371719</v>
      </c>
      <c r="R13" s="6">
        <f>w!AS3</f>
        <v>252.6525123417567</v>
      </c>
      <c r="S13" s="6">
        <f>w!AT3</f>
        <v>262.04288646568313</v>
      </c>
      <c r="T13" s="6">
        <f>w!AU3</f>
        <v>260.51514388012203</v>
      </c>
      <c r="U13" s="6">
        <f>w!AV3</f>
        <v>266.62836280851769</v>
      </c>
      <c r="V13" s="6">
        <f>w!AW3</f>
        <v>271.52410047522062</v>
      </c>
      <c r="W13" s="6">
        <f>w!AX3</f>
        <v>276.05940700808628</v>
      </c>
      <c r="X13" s="6">
        <f>w!AY3</f>
        <v>277.41872805429148</v>
      </c>
      <c r="Y13" s="6">
        <f>w!AZ3</f>
        <v>294.32352986871751</v>
      </c>
      <c r="Z13" s="6">
        <f>w!BA3</f>
        <v>299.88461129103382</v>
      </c>
      <c r="AA13" s="6">
        <f>w!BB3</f>
        <v>309.84822083782223</v>
      </c>
      <c r="AB13" s="6">
        <f>w!BC3</f>
        <v>316.77175330724799</v>
      </c>
      <c r="AC13" s="6">
        <f>w!BD3</f>
        <v>314.17492618537602</v>
      </c>
      <c r="AD13" s="6">
        <f>w!BE3</f>
        <v>326.18734705107232</v>
      </c>
      <c r="AE13" s="6">
        <f>w!BF3</f>
        <v>333.3415445878386</v>
      </c>
    </row>
    <row r="14" spans="1:32" x14ac:dyDescent="0.2">
      <c r="A14" s="6" t="s">
        <v>33</v>
      </c>
      <c r="B14" s="6">
        <f>P_Mtot!AB3</f>
        <v>0.74878709991742898</v>
      </c>
      <c r="C14" s="6">
        <f>P_Mtot!AC3</f>
        <v>0.761626293664453</v>
      </c>
      <c r="D14" s="6">
        <f>P_Mtot!AD3</f>
        <v>0.7719590090705436</v>
      </c>
      <c r="E14" s="6">
        <f>P_Mtot!AE3</f>
        <v>0.78289225228799009</v>
      </c>
      <c r="F14" s="6">
        <f>P_Mtot!AF3</f>
        <v>0.79729797428007654</v>
      </c>
      <c r="G14" s="6">
        <f>P_Mtot!AG3</f>
        <v>0.74853080078937484</v>
      </c>
      <c r="H14" s="6">
        <f>P_Mtot!AH3</f>
        <v>0.71806287476638198</v>
      </c>
      <c r="I14" s="6">
        <f>P_Mtot!AI3</f>
        <v>0.76666593640561009</v>
      </c>
      <c r="J14" s="6">
        <f>P_Mtot!AJ3</f>
        <v>0.81488182804146736</v>
      </c>
      <c r="K14" s="6">
        <f>P_Mtot!AK3</f>
        <v>0.76839920762777347</v>
      </c>
      <c r="L14" s="6">
        <f>P_Mtot!AL3</f>
        <v>0.74264049700821844</v>
      </c>
      <c r="M14" s="6">
        <f>P_Mtot!AM3</f>
        <v>0.75812351378040943</v>
      </c>
      <c r="N14" s="6">
        <f>P_Mtot!AN3</f>
        <v>0.77664629241551819</v>
      </c>
      <c r="O14" s="6">
        <f>P_Mtot!AO3</f>
        <v>0.79292381924280553</v>
      </c>
      <c r="P14" s="6">
        <f>P_Mtot!AP3</f>
        <v>0.82548708530829562</v>
      </c>
      <c r="Q14" s="6">
        <f>P_Mtot!AQ3</f>
        <v>0.89339304333061609</v>
      </c>
      <c r="R14" s="6">
        <f>P_Mtot!AR3</f>
        <v>0.8434307219609376</v>
      </c>
      <c r="S14" s="6">
        <f>P_Mtot!AS3</f>
        <v>0.89384387404223631</v>
      </c>
      <c r="T14" s="6">
        <f>P_Mtot!AT3</f>
        <v>0.96075543705652722</v>
      </c>
      <c r="U14" s="6">
        <f>P_Mtot!AU3</f>
        <v>1.006503659331863</v>
      </c>
      <c r="V14" s="6">
        <f>P_Mtot!AV3</f>
        <v>1.0181518804255889</v>
      </c>
      <c r="W14" s="6">
        <f>P_Mtot!AW3</f>
        <v>0.98434532289649646</v>
      </c>
      <c r="X14" s="6">
        <f>P_Mtot!AX3</f>
        <v>0.92977862343586837</v>
      </c>
      <c r="Y14" s="6">
        <f>P_Mtot!AY3</f>
        <v>0.93126966692232238</v>
      </c>
      <c r="Z14" s="6">
        <f>P_Mtot!AZ3</f>
        <v>0.98252805076530103</v>
      </c>
      <c r="AA14" s="6">
        <f>P_Mtot!BA3</f>
        <v>0.95379117311586303</v>
      </c>
      <c r="AB14" s="6">
        <f>P_Mtot!BB3</f>
        <v>0.98815179017201682</v>
      </c>
      <c r="AC14" s="6">
        <f>P_Mtot!BC3</f>
        <v>1</v>
      </c>
      <c r="AD14" s="6">
        <f>P_Mtot!BD3</f>
        <v>1.0227590675286671</v>
      </c>
      <c r="AE14" s="6">
        <f>P_Mtot!BE3</f>
        <v>1.2453425369312181</v>
      </c>
    </row>
    <row r="15" spans="1:32" x14ac:dyDescent="0.2">
      <c r="A15" s="6" t="s">
        <v>34</v>
      </c>
      <c r="B15" s="6">
        <f>P_J!AC3</f>
        <v>0</v>
      </c>
      <c r="C15" s="6">
        <f>P_J!AD3</f>
        <v>0</v>
      </c>
      <c r="D15" s="6">
        <f>P_J!AE3</f>
        <v>0</v>
      </c>
      <c r="E15" s="6">
        <f>P_J!AF3</f>
        <v>0</v>
      </c>
      <c r="F15" s="6">
        <f>P_J!AG3</f>
        <v>0</v>
      </c>
      <c r="G15" s="6">
        <f>P_J!AH3</f>
        <v>0</v>
      </c>
      <c r="H15" s="6">
        <f>P_J!AI3</f>
        <v>0</v>
      </c>
      <c r="I15" s="6">
        <f>P_J!AJ3</f>
        <v>0</v>
      </c>
      <c r="J15" s="6">
        <f>P_J!AK3</f>
        <v>0</v>
      </c>
      <c r="K15" s="6">
        <f>P_J!AL3</f>
        <v>0</v>
      </c>
      <c r="L15" s="6">
        <f>P_J!AM3</f>
        <v>0</v>
      </c>
      <c r="M15" s="6">
        <f>P_J!AN3</f>
        <v>0</v>
      </c>
      <c r="N15" s="6">
        <f>P_J!AO3</f>
        <v>0</v>
      </c>
      <c r="O15" s="6">
        <f>P_J!AP3</f>
        <v>0</v>
      </c>
      <c r="P15" s="6">
        <f>P_J!AQ3</f>
        <v>0</v>
      </c>
      <c r="Q15" s="6">
        <f>P_J!AR3</f>
        <v>0</v>
      </c>
      <c r="R15" s="6">
        <f>P_J!AS3</f>
        <v>0</v>
      </c>
      <c r="S15" s="6">
        <f>P_J!AT3</f>
        <v>0</v>
      </c>
      <c r="T15" s="6">
        <f>P_J!AU3</f>
        <v>0</v>
      </c>
      <c r="U15" s="6">
        <f>P_J!AV3</f>
        <v>0</v>
      </c>
      <c r="V15" s="6">
        <f>P_J!AW3</f>
        <v>0</v>
      </c>
      <c r="W15" s="6">
        <f>P_J!AX3</f>
        <v>0</v>
      </c>
      <c r="X15" s="6">
        <f>P_J!AY3</f>
        <v>0</v>
      </c>
      <c r="Y15" s="6">
        <f>P_J!AZ3</f>
        <v>0</v>
      </c>
      <c r="Z15" s="6">
        <f>P_J!BA3</f>
        <v>0</v>
      </c>
      <c r="AA15" s="6">
        <f>P_J!BB3</f>
        <v>0</v>
      </c>
      <c r="AB15" s="6">
        <f>P_J!BC3</f>
        <v>0</v>
      </c>
      <c r="AC15" s="6">
        <f>P_J!BD3</f>
        <v>0</v>
      </c>
      <c r="AD15" s="6">
        <f>P_J!BE3</f>
        <v>0</v>
      </c>
      <c r="AE15" s="6">
        <f>P_J!BF3</f>
        <v>0</v>
      </c>
    </row>
    <row r="16" spans="1:32" x14ac:dyDescent="0.2">
      <c r="A16" s="6" t="s">
        <v>35</v>
      </c>
      <c r="B16" s="6">
        <f>P_I!C3</f>
        <v>0.70532258064516107</v>
      </c>
      <c r="C16" s="6">
        <f>P_I!D3</f>
        <v>0.72013118850538793</v>
      </c>
      <c r="D16" s="6">
        <f>P_I!E3</f>
        <v>0.72734350669573322</v>
      </c>
      <c r="E16" s="6">
        <f>P_I!F3</f>
        <v>0.71465690327152454</v>
      </c>
      <c r="F16" s="6">
        <f>P_I!G3</f>
        <v>0.73621310295176368</v>
      </c>
      <c r="G16" s="6">
        <f>P_I!H3</f>
        <v>0.74597423510466954</v>
      </c>
      <c r="H16" s="6">
        <f>P_I!I3</f>
        <v>0.75458308693080978</v>
      </c>
      <c r="I16" s="6">
        <f>P_I!J3</f>
        <v>0.76224545954870626</v>
      </c>
      <c r="J16" s="6">
        <f>P_I!K3</f>
        <v>0.78232662192393687</v>
      </c>
      <c r="K16" s="6">
        <f>P_I!L3</f>
        <v>0.8073715058611356</v>
      </c>
      <c r="L16" s="6">
        <f>P_I!M3</f>
        <v>0.8192315552830568</v>
      </c>
      <c r="M16" s="6">
        <f>P_I!N3</f>
        <v>0.82065163894084026</v>
      </c>
      <c r="N16" s="6">
        <f>P_I!O3</f>
        <v>0.84041619656512445</v>
      </c>
      <c r="O16" s="6">
        <f>P_I!P3</f>
        <v>0.85732882061963023</v>
      </c>
      <c r="P16" s="6">
        <f>P_I!Q3</f>
        <v>0.89336863641834163</v>
      </c>
      <c r="Q16" s="6">
        <f>P_I!R3</f>
        <v>0.92665157034557444</v>
      </c>
      <c r="R16" s="6">
        <f>P_I!S3</f>
        <v>0.91563742934896397</v>
      </c>
      <c r="S16" s="6">
        <f>P_I!T3</f>
        <v>0.89871414441147379</v>
      </c>
      <c r="T16" s="6">
        <f>P_I!U3</f>
        <v>0.90978753047718564</v>
      </c>
      <c r="U16" s="6">
        <f>P_I!V3</f>
        <v>0.92316543083610325</v>
      </c>
      <c r="V16" s="6">
        <f>P_I!W3</f>
        <v>0.92755164034021875</v>
      </c>
      <c r="W16" s="6">
        <f>P_I!X3</f>
        <v>0.96092908783264119</v>
      </c>
      <c r="X16" s="6">
        <f>P_I!Y3</f>
        <v>0.96474953617810755</v>
      </c>
      <c r="Y16" s="6">
        <f>P_I!Z3</f>
        <v>0.97544316148967325</v>
      </c>
      <c r="Z16" s="6">
        <f>P_I!AA3</f>
        <v>0.96605822899381499</v>
      </c>
      <c r="AA16" s="6">
        <f>P_I!AB3</f>
        <v>0.96732329084588642</v>
      </c>
      <c r="AB16" s="6">
        <f>P_I!AC3</f>
        <v>0.99242028227914258</v>
      </c>
      <c r="AC16" s="6">
        <f>P_I!AD3</f>
        <v>1</v>
      </c>
      <c r="AD16" s="6">
        <f>P_I!AE3</f>
        <v>1.0012951503813501</v>
      </c>
      <c r="AE16" s="6">
        <f>P_I!AF3</f>
        <v>1.0655388304249369</v>
      </c>
    </row>
    <row r="17" spans="1:31" x14ac:dyDescent="0.2">
      <c r="A17" s="6" t="s">
        <v>36</v>
      </c>
      <c r="B17" s="6">
        <f>P_Jord!M3</f>
        <v>0</v>
      </c>
      <c r="C17" s="6">
        <f>P_Jord!N3</f>
        <v>0</v>
      </c>
      <c r="D17" s="6">
        <f>P_Jord!O3</f>
        <v>0</v>
      </c>
      <c r="E17" s="6">
        <f>P_Jord!P3</f>
        <v>0</v>
      </c>
      <c r="F17" s="6">
        <f>P_Jord!Q3</f>
        <v>0</v>
      </c>
      <c r="G17" s="6">
        <f>P_Jord!R3</f>
        <v>0</v>
      </c>
      <c r="H17" s="6">
        <f>P_Jord!S3</f>
        <v>0</v>
      </c>
      <c r="I17" s="6">
        <f>P_Jord!T3</f>
        <v>0</v>
      </c>
      <c r="J17" s="6">
        <f>P_Jord!U3</f>
        <v>0</v>
      </c>
      <c r="K17" s="6">
        <f>P_Jord!V3</f>
        <v>0</v>
      </c>
      <c r="L17" s="6">
        <f>P_Jord!W3</f>
        <v>0</v>
      </c>
      <c r="M17" s="6">
        <f>P_Jord!X3</f>
        <v>0</v>
      </c>
      <c r="N17" s="6">
        <f>P_Jord!Y3</f>
        <v>0</v>
      </c>
      <c r="O17" s="6">
        <f>P_Jord!Z3</f>
        <v>0</v>
      </c>
      <c r="P17" s="6">
        <f>P_Jord!AA3</f>
        <v>0</v>
      </c>
      <c r="Q17" s="6">
        <f>P_Jord!AB3</f>
        <v>0</v>
      </c>
      <c r="R17" s="6">
        <f>P_Jord!AC3</f>
        <v>0</v>
      </c>
      <c r="S17" s="6">
        <f>P_Jord!AD3</f>
        <v>0</v>
      </c>
      <c r="T17" s="6">
        <f>P_Jord!AE3</f>
        <v>0</v>
      </c>
      <c r="U17" s="6">
        <f>P_Jord!AF3</f>
        <v>0</v>
      </c>
      <c r="V17" s="6">
        <f>P_Jord!AG3</f>
        <v>0</v>
      </c>
      <c r="W17" s="6">
        <f>P_Jord!AH3</f>
        <v>0</v>
      </c>
      <c r="X17" s="6">
        <f>P_Jord!AI3</f>
        <v>0</v>
      </c>
      <c r="Y17" s="6">
        <f>P_Jord!AJ3</f>
        <v>0</v>
      </c>
      <c r="Z17" s="6">
        <f>P_Jord!AK3</f>
        <v>0</v>
      </c>
      <c r="AA17" s="6">
        <f>P_Jord!AL3</f>
        <v>0</v>
      </c>
      <c r="AB17" s="6">
        <f>P_Jord!AM3</f>
        <v>0</v>
      </c>
      <c r="AC17" s="6">
        <f>P_Jord!AN3</f>
        <v>0</v>
      </c>
      <c r="AD17" s="6">
        <f>P_Jord!AO3</f>
        <v>0</v>
      </c>
      <c r="AE17" s="6">
        <f>P_Jord!AP3</f>
        <v>0</v>
      </c>
    </row>
    <row r="19" spans="1:31" x14ac:dyDescent="0.2">
      <c r="A19" s="13" t="s">
        <v>37</v>
      </c>
    </row>
    <row r="20" spans="1:31" x14ac:dyDescent="0.2">
      <c r="A20" s="6" t="s">
        <v>38</v>
      </c>
      <c r="B20" s="6">
        <f>tau_Y!AC3</f>
        <v>-5.2241545159983794E-3</v>
      </c>
      <c r="C20" s="6">
        <f>tau_Y!AD3</f>
        <v>-6.2216068309577273E-3</v>
      </c>
      <c r="D20" s="6">
        <f>tau_Y!AE3</f>
        <v>-4.1188068824273933E-3</v>
      </c>
      <c r="E20" s="6">
        <f>tau_Y!AF3</f>
        <v>-4.6475990748502507E-3</v>
      </c>
      <c r="F20" s="6">
        <f>tau_Y!AG3</f>
        <v>-2.9108785470643109E-3</v>
      </c>
      <c r="G20" s="6">
        <f>tau_Y!AH3</f>
        <v>-1.2037650756194329E-3</v>
      </c>
      <c r="H20" s="6">
        <f>tau_Y!AI3</f>
        <v>-3.9389257031713842E-4</v>
      </c>
      <c r="I20" s="6">
        <f>tau_Y!AJ3</f>
        <v>4.4346782196543727E-5</v>
      </c>
      <c r="J20" s="6">
        <f>tau_Y!AK3</f>
        <v>-6.5092919484374727E-5</v>
      </c>
      <c r="K20" s="6">
        <f>tau_Y!AL3</f>
        <v>4.1169577607569319E-4</v>
      </c>
      <c r="L20" s="6">
        <f>tau_Y!AM3</f>
        <v>-3.6625352320866252E-4</v>
      </c>
      <c r="M20" s="6">
        <f>tau_Y!AN3</f>
        <v>-5.8862540674198347E-4</v>
      </c>
      <c r="N20" s="6">
        <f>tau_Y!AO3</f>
        <v>-1.777198684085362E-4</v>
      </c>
      <c r="O20" s="6">
        <f>tau_Y!AP3</f>
        <v>7.8099854627878477E-4</v>
      </c>
      <c r="P20" s="6">
        <f>tau_Y!AQ3</f>
        <v>4.0504779045653994E-3</v>
      </c>
      <c r="Q20" s="6">
        <f>tau_Y!AR3</f>
        <v>4.8448433380127833E-3</v>
      </c>
      <c r="R20" s="6">
        <f>tau_Y!AS3</f>
        <v>2.8710353955886951E-3</v>
      </c>
      <c r="S20" s="6">
        <f>tau_Y!AT3</f>
        <v>1.0130423433119191E-3</v>
      </c>
      <c r="T20" s="6">
        <f>tau_Y!AU3</f>
        <v>1.3831387072705979E-3</v>
      </c>
      <c r="U20" s="6">
        <f>tau_Y!AV3</f>
        <v>1.602717167401356E-3</v>
      </c>
      <c r="V20" s="6">
        <f>tau_Y!AW3</f>
        <v>1.525949533081192E-3</v>
      </c>
      <c r="W20" s="6">
        <f>tau_Y!AX3</f>
        <v>2.204479743370103E-3</v>
      </c>
      <c r="X20" s="6">
        <f>tau_Y!AY3</f>
        <v>2.9296401355315819E-3</v>
      </c>
      <c r="Y20" s="6">
        <f>tau_Y!AZ3</f>
        <v>3.2627853744707442E-3</v>
      </c>
      <c r="Z20" s="6">
        <f>tau_Y!BA3</f>
        <v>3.115715064891974E-3</v>
      </c>
      <c r="AA20" s="6">
        <f>tau_Y!BB3</f>
        <v>3.3003264641704418E-3</v>
      </c>
      <c r="AB20" s="6">
        <f>tau_Y!BC3</f>
        <v>3.4660138222027469E-3</v>
      </c>
      <c r="AC20" s="6">
        <f>tau_Y!BD3</f>
        <v>7.8839333495354295E-4</v>
      </c>
      <c r="AD20" s="6">
        <f>tau_Y!BE3</f>
        <v>2.3061279446375629E-3</v>
      </c>
      <c r="AE20" s="6">
        <f>tau_Y!BF3</f>
        <v>2.856070605641259E-3</v>
      </c>
    </row>
    <row r="21" spans="1:31" x14ac:dyDescent="0.2">
      <c r="A21" s="6" t="s">
        <v>39</v>
      </c>
      <c r="B21" s="6">
        <f>tau_MD!AB3</f>
        <v>-3.105084143071834E-3</v>
      </c>
      <c r="C21" s="6">
        <f>tau_MD!AC3</f>
        <v>-2.7029361570624582E-4</v>
      </c>
      <c r="D21" s="6">
        <f>tau_MD!AD3</f>
        <v>-2.3572128372520498E-3</v>
      </c>
      <c r="E21" s="6">
        <f>tau_MD!AE3</f>
        <v>-2.7298841724066802E-3</v>
      </c>
      <c r="F21" s="6">
        <f>tau_MD!AF3</f>
        <v>-2.5350967705464488E-3</v>
      </c>
      <c r="G21" s="6">
        <f>tau_MD!AG3</f>
        <v>-4.3101845074922042E-4</v>
      </c>
      <c r="H21" s="6">
        <f>tau_MD!AH3</f>
        <v>2.8970078254330709E-3</v>
      </c>
      <c r="I21" s="6">
        <f>tau_MD!AI3</f>
        <v>4.4174752329808947E-3</v>
      </c>
      <c r="J21" s="6">
        <f>tau_MD!AJ3</f>
        <v>3.7580368316017022E-3</v>
      </c>
      <c r="K21" s="6">
        <f>tau_MD!AK3</f>
        <v>-1.242554700368086E-2</v>
      </c>
      <c r="L21" s="6">
        <f>tau_MD!AL3</f>
        <v>-1.9315907569668809E-2</v>
      </c>
      <c r="M21" s="6">
        <f>tau_MD!AM3</f>
        <v>-1.623094965894175E-2</v>
      </c>
      <c r="N21" s="6">
        <f>tau_MD!AN3</f>
        <v>1.8559468825775881E-2</v>
      </c>
      <c r="O21" s="6">
        <f>tau_MD!AO3</f>
        <v>1.4062022537629891E-2</v>
      </c>
      <c r="P21" s="6">
        <f>tau_MD!AP3</f>
        <v>1.4694934302991691E-2</v>
      </c>
      <c r="Q21" s="6">
        <f>tau_MD!AQ3</f>
        <v>1.7760676239327079E-2</v>
      </c>
      <c r="R21" s="6">
        <f>tau_MD!AR3</f>
        <v>1.524955637040549E-2</v>
      </c>
      <c r="S21" s="6">
        <f>tau_MD!AS3</f>
        <v>1.546160376076553E-2</v>
      </c>
      <c r="T21" s="6">
        <f>tau_MD!AT3</f>
        <v>1.7062291113538419E-2</v>
      </c>
      <c r="U21" s="6">
        <f>tau_MD!AU3</f>
        <v>2.2838766951109681E-2</v>
      </c>
      <c r="V21" s="6">
        <f>tau_MD!AV3</f>
        <v>1.63298630318786E-2</v>
      </c>
      <c r="W21" s="6">
        <f>tau_MD!AW3</f>
        <v>1.346903919929565E-2</v>
      </c>
      <c r="X21" s="6">
        <f>tau_MD!AX3</f>
        <v>1.1907844559451991E-2</v>
      </c>
      <c r="Y21" s="6">
        <f>tau_MD!AY3</f>
        <v>1.1420180166394289E-2</v>
      </c>
      <c r="Z21" s="6">
        <f>tau_MD!AZ3</f>
        <v>8.6934294545017009E-3</v>
      </c>
      <c r="AA21" s="6">
        <f>tau_MD!BA3</f>
        <v>9.2794034528719486E-3</v>
      </c>
      <c r="AB21" s="6">
        <f>tau_MD!BB3</f>
        <v>4.9286323230328093E-3</v>
      </c>
      <c r="AC21" s="6">
        <f>tau_MD!BC3</f>
        <v>5.0627682582888066E-3</v>
      </c>
      <c r="AD21" s="6">
        <f>tau_MD!BD3</f>
        <v>6.2260740464780478E-3</v>
      </c>
      <c r="AE21" s="6">
        <f>tau_MD!BE3</f>
        <v>6.1585632527472681E-3</v>
      </c>
    </row>
    <row r="22" spans="1:31" x14ac:dyDescent="0.2">
      <c r="A22" s="6" t="s">
        <v>40</v>
      </c>
      <c r="B22" s="6">
        <f>markup!AC3</f>
        <v>0</v>
      </c>
      <c r="C22" s="6">
        <f>markup!AD3</f>
        <v>9.0350963762251268E-3</v>
      </c>
      <c r="D22" s="6">
        <f>markup!AE3</f>
        <v>9.6512526260135179E-3</v>
      </c>
      <c r="E22" s="6">
        <f>markup!AF3</f>
        <v>-2.4480986338367709E-3</v>
      </c>
      <c r="F22" s="6">
        <f>markup!AG3</f>
        <v>1.6953187055160909E-2</v>
      </c>
      <c r="G22" s="6">
        <f>markup!AH3</f>
        <v>2.3614807032970031E-3</v>
      </c>
      <c r="H22" s="6">
        <f>markup!AI3</f>
        <v>1.8553578313986518E-2</v>
      </c>
      <c r="I22" s="6">
        <f>markup!AJ3</f>
        <v>1.0080434593839451E-2</v>
      </c>
      <c r="J22" s="6">
        <f>markup!AK3</f>
        <v>3.3563659072786127E-2</v>
      </c>
      <c r="K22" s="6">
        <f>markup!AL3</f>
        <v>4.1184757124781417E-2</v>
      </c>
      <c r="L22" s="6">
        <f>markup!AM3</f>
        <v>2.8304692320160418E-2</v>
      </c>
      <c r="M22" s="6">
        <f>markup!AN3</f>
        <v>2.461704331305925E-2</v>
      </c>
      <c r="N22" s="6">
        <f>markup!AO3</f>
        <v>3.8601959612932342E-2</v>
      </c>
      <c r="O22" s="6">
        <f>markup!AP3</f>
        <v>4.291223785736431E-3</v>
      </c>
      <c r="P22" s="6">
        <f>markup!AQ3</f>
        <v>1.457963489607739E-2</v>
      </c>
      <c r="Q22" s="6">
        <f>markup!AR3</f>
        <v>-8.8109161624415622E-3</v>
      </c>
      <c r="R22" s="6">
        <f>markup!AS3</f>
        <v>-3.7750044051086951E-3</v>
      </c>
      <c r="S22" s="6">
        <f>markup!AT3</f>
        <v>-1.625041532240179E-2</v>
      </c>
      <c r="T22" s="6">
        <f>markup!AU3</f>
        <v>-1.8723769561204251E-2</v>
      </c>
      <c r="U22" s="6">
        <f>markup!AV3</f>
        <v>-1.676148629997742E-2</v>
      </c>
      <c r="V22" s="6">
        <f>markup!AW3</f>
        <v>-5.8992821875104573E-3</v>
      </c>
      <c r="W22" s="6">
        <f>markup!AX3</f>
        <v>1.3701536285955161E-2</v>
      </c>
      <c r="X22" s="6">
        <f>markup!AY3</f>
        <v>2.8024269301412771E-2</v>
      </c>
      <c r="Y22" s="6">
        <f>markup!AZ3</f>
        <v>3.1365628377848058E-2</v>
      </c>
      <c r="Z22" s="6">
        <f>markup!BA3</f>
        <v>-3.596250689631542E-3</v>
      </c>
      <c r="AA22" s="6">
        <f>markup!BB3</f>
        <v>-7.3499608004357064E-4</v>
      </c>
      <c r="AB22" s="6">
        <f>markup!BC3</f>
        <v>1.5220474193009309E-2</v>
      </c>
      <c r="AC22" s="6">
        <f>markup!BD3</f>
        <v>3.1585642404285959E-3</v>
      </c>
      <c r="AD22" s="6">
        <f>markup!BE3</f>
        <v>-8.522884400435915E-3</v>
      </c>
      <c r="AE22" s="6">
        <f>markup!BF3</f>
        <v>2.221530857627219E-3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B2">
        <v>44352.253241368038</v>
      </c>
      <c r="C2">
        <v>44088.473930801127</v>
      </c>
      <c r="D2">
        <v>44065.484849968147</v>
      </c>
      <c r="E2">
        <v>41076.955038310502</v>
      </c>
      <c r="F2">
        <v>44428.588145175861</v>
      </c>
      <c r="G2">
        <v>45125.516330327402</v>
      </c>
      <c r="H2">
        <v>45687.594258645942</v>
      </c>
      <c r="I2">
        <v>47792.365671342268</v>
      </c>
      <c r="J2">
        <v>45353.080033726801</v>
      </c>
      <c r="K2">
        <v>45360.613617916948</v>
      </c>
      <c r="L2">
        <v>48300.747789579233</v>
      </c>
      <c r="M2">
        <v>50462.617775300379</v>
      </c>
      <c r="N2">
        <v>51681.032340644771</v>
      </c>
      <c r="O2">
        <v>51506.403503585447</v>
      </c>
      <c r="P2">
        <v>52624.818035979391</v>
      </c>
      <c r="Q2">
        <v>55228.202025928993</v>
      </c>
      <c r="R2">
        <v>53482.361339502109</v>
      </c>
      <c r="S2">
        <v>58750.74407098013</v>
      </c>
      <c r="T2">
        <v>58588.025536273759</v>
      </c>
      <c r="U2">
        <v>58742.299267179878</v>
      </c>
      <c r="V2">
        <v>56961.096861013117</v>
      </c>
      <c r="W2">
        <v>56075.446418327963</v>
      </c>
      <c r="X2">
        <v>58852.663263313552</v>
      </c>
      <c r="Y2">
        <v>62263.479486125318</v>
      </c>
      <c r="Z2">
        <v>60786.474715925979</v>
      </c>
      <c r="AA2">
        <v>60399.717777272192</v>
      </c>
      <c r="AB2">
        <v>69638.689572260249</v>
      </c>
      <c r="AC2">
        <v>68856.806908451705</v>
      </c>
      <c r="AD2">
        <v>69737.095968804773</v>
      </c>
      <c r="AE2">
        <v>70280.702002011021</v>
      </c>
      <c r="AF2">
        <v>72177.731285034228</v>
      </c>
      <c r="AG2">
        <v>73158.19867719349</v>
      </c>
      <c r="AH2">
        <v>73173.611249589492</v>
      </c>
      <c r="AI2">
        <v>74464.209688590723</v>
      </c>
      <c r="AJ2">
        <v>73547.402456328302</v>
      </c>
      <c r="AK2">
        <v>74587.448324573168</v>
      </c>
      <c r="AL2">
        <v>74719.00507601726</v>
      </c>
      <c r="AM2">
        <v>75618.654931992802</v>
      </c>
      <c r="AN2">
        <v>74196.060047108986</v>
      </c>
      <c r="AO2">
        <v>75618.960159657348</v>
      </c>
      <c r="AP2">
        <v>79159.853919334666</v>
      </c>
      <c r="AQ2">
        <v>73126.390632535287</v>
      </c>
      <c r="AR2">
        <v>73444.220018816093</v>
      </c>
      <c r="AS2">
        <v>77334.769541123635</v>
      </c>
      <c r="AT2">
        <v>75869.896342791748</v>
      </c>
      <c r="AU2">
        <v>77617.492609522931</v>
      </c>
      <c r="AV2">
        <v>76593.509825901638</v>
      </c>
      <c r="AW2">
        <v>80374.731541917907</v>
      </c>
      <c r="AX2">
        <v>79210.578859237561</v>
      </c>
      <c r="AY2">
        <v>76984.409514864368</v>
      </c>
      <c r="AZ2">
        <v>80708.048478401717</v>
      </c>
      <c r="BA2">
        <v>79724.539434005725</v>
      </c>
      <c r="BB2">
        <v>78394.569391386394</v>
      </c>
      <c r="BC2">
        <v>80503.510999999999</v>
      </c>
      <c r="BD2">
        <v>82678.532999999996</v>
      </c>
      <c r="BE2">
        <v>81481.018200916878</v>
      </c>
    </row>
    <row r="3" spans="1:57" ht="15" x14ac:dyDescent="0.2">
      <c r="A3" s="12" t="s">
        <v>20</v>
      </c>
      <c r="B3">
        <v>83186.189152039587</v>
      </c>
      <c r="C3">
        <v>86476.233845201758</v>
      </c>
      <c r="D3">
        <v>85557.501356497436</v>
      </c>
      <c r="E3">
        <v>89270.715867995532</v>
      </c>
      <c r="F3">
        <v>92244.746867510403</v>
      </c>
      <c r="G3">
        <v>94861.982376980042</v>
      </c>
      <c r="H3">
        <v>96469.273124805462</v>
      </c>
      <c r="I3">
        <v>98731.169807308237</v>
      </c>
      <c r="J3">
        <v>96574.474386362097</v>
      </c>
      <c r="K3">
        <v>100366.0400220507</v>
      </c>
      <c r="L3">
        <v>105550.6922790394</v>
      </c>
      <c r="M3">
        <v>108622.24238578641</v>
      </c>
      <c r="N3">
        <v>118817.6574903217</v>
      </c>
      <c r="O3">
        <v>124261.62725938611</v>
      </c>
      <c r="P3">
        <v>125155.2759814342</v>
      </c>
      <c r="Q3">
        <v>121655.96511782811</v>
      </c>
      <c r="R3">
        <v>119434.53980791281</v>
      </c>
      <c r="S3">
        <v>120350.91897232211</v>
      </c>
      <c r="T3">
        <v>126590.801685085</v>
      </c>
      <c r="U3">
        <v>133131.09423936749</v>
      </c>
      <c r="V3">
        <v>131489.29470517041</v>
      </c>
      <c r="W3">
        <v>131466.3154790609</v>
      </c>
      <c r="X3">
        <v>131914.2679106165</v>
      </c>
      <c r="Y3">
        <v>138076.58128063579</v>
      </c>
      <c r="Z3">
        <v>139256.11256040091</v>
      </c>
      <c r="AA3">
        <v>142823.71533290271</v>
      </c>
      <c r="AB3">
        <v>150359.82458608321</v>
      </c>
      <c r="AC3">
        <v>151786.73306267129</v>
      </c>
      <c r="AD3">
        <v>151157.9545498834</v>
      </c>
      <c r="AE3">
        <v>144547.0961151224</v>
      </c>
      <c r="AF3">
        <v>146043.78130772981</v>
      </c>
      <c r="AG3">
        <v>150061.66719180541</v>
      </c>
      <c r="AH3">
        <v>149807.4360077864</v>
      </c>
      <c r="AI3">
        <v>149968.463026137</v>
      </c>
      <c r="AJ3">
        <v>152904.38171217669</v>
      </c>
      <c r="AK3">
        <v>155839.86511398511</v>
      </c>
      <c r="AL3">
        <v>157377.12397162369</v>
      </c>
      <c r="AM3">
        <v>159879.98417919889</v>
      </c>
      <c r="AN3">
        <v>163810.68543603999</v>
      </c>
      <c r="AO3">
        <v>162171.85572545399</v>
      </c>
      <c r="AP3">
        <v>160069.2987518459</v>
      </c>
      <c r="AQ3">
        <v>158120.90738918821</v>
      </c>
      <c r="AR3">
        <v>150853.32763453189</v>
      </c>
      <c r="AS3">
        <v>144714.15186306011</v>
      </c>
      <c r="AT3">
        <v>145739.45311066299</v>
      </c>
      <c r="AU3">
        <v>142580.8823455286</v>
      </c>
      <c r="AV3">
        <v>144480.43503474491</v>
      </c>
      <c r="AW3">
        <v>145446.78929418439</v>
      </c>
      <c r="AX3">
        <v>146833.766160653</v>
      </c>
      <c r="AY3">
        <v>148098.44004416649</v>
      </c>
      <c r="AZ3">
        <v>153499.94193091651</v>
      </c>
      <c r="BA3">
        <v>153657.7876695022</v>
      </c>
      <c r="BB3">
        <v>155602.5733596943</v>
      </c>
      <c r="BC3">
        <v>161377.85800000001</v>
      </c>
      <c r="BD3">
        <v>165261.179</v>
      </c>
      <c r="BE3">
        <v>168806.14136704651</v>
      </c>
    </row>
    <row r="4" spans="1:57" ht="15" x14ac:dyDescent="0.2">
      <c r="A4" s="12" t="s">
        <v>21</v>
      </c>
      <c r="B4">
        <v>1026759.76284039</v>
      </c>
      <c r="C4">
        <v>1060228.0002710221</v>
      </c>
      <c r="D4">
        <v>1128335.270459949</v>
      </c>
      <c r="E4">
        <v>1163036.9079764751</v>
      </c>
      <c r="F4">
        <v>1190367.4970553471</v>
      </c>
      <c r="G4">
        <v>1245135.477998425</v>
      </c>
      <c r="H4">
        <v>1301826.305386534</v>
      </c>
      <c r="I4">
        <v>1283839.640364693</v>
      </c>
      <c r="J4">
        <v>1247791.4699440231</v>
      </c>
      <c r="K4">
        <v>1341368.248983053</v>
      </c>
      <c r="L4">
        <v>1369531.1866148261</v>
      </c>
      <c r="M4">
        <v>1399200.801486904</v>
      </c>
      <c r="N4">
        <v>1458076.4281226969</v>
      </c>
      <c r="O4">
        <v>1444205.0137756311</v>
      </c>
      <c r="P4">
        <v>1413996.150588504</v>
      </c>
      <c r="Q4">
        <v>1442953.7827979589</v>
      </c>
      <c r="R4">
        <v>1470393.717360547</v>
      </c>
      <c r="S4">
        <v>1563352.8705069521</v>
      </c>
      <c r="T4">
        <v>1649454.7539497369</v>
      </c>
      <c r="U4">
        <v>1767725.1545823871</v>
      </c>
      <c r="V4">
        <v>1790231.432906725</v>
      </c>
      <c r="W4">
        <v>1812075.3788698739</v>
      </c>
      <c r="X4">
        <v>1823885.11900442</v>
      </c>
      <c r="Y4">
        <v>1869398.4359312269</v>
      </c>
      <c r="Z4">
        <v>1883903.053786058</v>
      </c>
      <c r="AA4">
        <v>1910380.053556829</v>
      </c>
      <c r="AB4">
        <v>1925612.637887348</v>
      </c>
      <c r="AC4">
        <v>2029748.849963848</v>
      </c>
      <c r="AD4">
        <v>2102984.8140832242</v>
      </c>
      <c r="AE4">
        <v>2163214.2316202112</v>
      </c>
      <c r="AF4">
        <v>2238321.6905013602</v>
      </c>
      <c r="AG4">
        <v>2303787.6310905511</v>
      </c>
      <c r="AH4">
        <v>2405520.3164187171</v>
      </c>
      <c r="AI4">
        <v>2534870.3165328871</v>
      </c>
      <c r="AJ4">
        <v>2597762.642182339</v>
      </c>
      <c r="AK4">
        <v>2626560.6873345962</v>
      </c>
      <c r="AL4">
        <v>2633042.7588255419</v>
      </c>
      <c r="AM4">
        <v>2696369.9514662051</v>
      </c>
      <c r="AN4">
        <v>2860107.9094907092</v>
      </c>
      <c r="AO4">
        <v>3027807.3609772078</v>
      </c>
      <c r="AP4">
        <v>3135857.7439166522</v>
      </c>
      <c r="AQ4">
        <v>3148473.7322147712</v>
      </c>
      <c r="AR4">
        <v>2893995.6020055828</v>
      </c>
      <c r="AS4">
        <v>2888940.4249964911</v>
      </c>
      <c r="AT4">
        <v>2982891.4579893202</v>
      </c>
      <c r="AU4">
        <v>3003146.712852452</v>
      </c>
      <c r="AV4">
        <v>3008539.6071022782</v>
      </c>
      <c r="AW4">
        <v>3070703.6324576158</v>
      </c>
      <c r="AX4">
        <v>3147783.9093750631</v>
      </c>
      <c r="AY4">
        <v>3280295.107330163</v>
      </c>
      <c r="AZ4">
        <v>3379204.804747263</v>
      </c>
      <c r="BA4">
        <v>3448242.5755444341</v>
      </c>
      <c r="BB4">
        <v>3504899.4085326758</v>
      </c>
      <c r="BC4">
        <v>3423588.9920000001</v>
      </c>
      <c r="BD4">
        <v>3653418.804</v>
      </c>
      <c r="BE4">
        <v>3780880.1397178099</v>
      </c>
    </row>
    <row r="5" spans="1:57" ht="15" x14ac:dyDescent="0.2">
      <c r="A5" s="12" t="s">
        <v>22</v>
      </c>
      <c r="B5">
        <v>1109665.213340058</v>
      </c>
      <c r="C5">
        <v>1150467.1933431239</v>
      </c>
      <c r="D5">
        <v>1244272.400438901</v>
      </c>
      <c r="E5">
        <v>1296967.2772803421</v>
      </c>
      <c r="F5">
        <v>1323255.2329059441</v>
      </c>
      <c r="G5">
        <v>1389078.7702400819</v>
      </c>
      <c r="H5">
        <v>1455464.8299443149</v>
      </c>
      <c r="I5">
        <v>1429114.245668934</v>
      </c>
      <c r="J5">
        <v>1395556.684293183</v>
      </c>
      <c r="K5">
        <v>1504518.1191974769</v>
      </c>
      <c r="L5">
        <v>1524849.2950614661</v>
      </c>
      <c r="M5">
        <v>1565128.5342623929</v>
      </c>
      <c r="N5">
        <v>1624836.986971996</v>
      </c>
      <c r="O5">
        <v>1610111.1697227401</v>
      </c>
      <c r="P5">
        <v>1578283.3960326819</v>
      </c>
      <c r="Q5">
        <v>1618114.617567447</v>
      </c>
      <c r="R5">
        <v>1656903.9700102769</v>
      </c>
      <c r="S5">
        <v>1747167.823515828</v>
      </c>
      <c r="T5">
        <v>1838273.014954977</v>
      </c>
      <c r="U5">
        <v>1959928.7734041519</v>
      </c>
      <c r="V5">
        <v>1995809.245998322</v>
      </c>
      <c r="W5">
        <v>2024259.280030638</v>
      </c>
      <c r="X5">
        <v>2032213.677335962</v>
      </c>
      <c r="Y5">
        <v>2061376.4384691</v>
      </c>
      <c r="Z5">
        <v>2081193.2096290139</v>
      </c>
      <c r="AA5">
        <v>2112919.206116003</v>
      </c>
      <c r="AB5">
        <v>2121405.330408786</v>
      </c>
      <c r="AC5">
        <v>2237038.3601887929</v>
      </c>
      <c r="AD5">
        <v>2322092.5663696262</v>
      </c>
      <c r="AE5">
        <v>2404761.9899626938</v>
      </c>
      <c r="AF5">
        <v>2483498.239260253</v>
      </c>
      <c r="AG5">
        <v>2556756.604345683</v>
      </c>
      <c r="AH5">
        <v>2672884.7803104492</v>
      </c>
      <c r="AI5">
        <v>2814342.6662378712</v>
      </c>
      <c r="AJ5">
        <v>2887124.865219376</v>
      </c>
      <c r="AK5">
        <v>2919063.570854669</v>
      </c>
      <c r="AL5">
        <v>2924155.734951382</v>
      </c>
      <c r="AM5">
        <v>2993388.0030213711</v>
      </c>
      <c r="AN5">
        <v>3163125.5580108971</v>
      </c>
      <c r="AO5">
        <v>3345591.1949158162</v>
      </c>
      <c r="AP5">
        <v>3450061.5836840258</v>
      </c>
      <c r="AQ5">
        <v>3489091.0481750658</v>
      </c>
      <c r="AR5">
        <v>3255992.6579964422</v>
      </c>
      <c r="AS5">
        <v>3260982.0134801152</v>
      </c>
      <c r="AT5">
        <v>3349605.5606052098</v>
      </c>
      <c r="AU5">
        <v>3379079.5327336029</v>
      </c>
      <c r="AV5">
        <v>3383461.5393682169</v>
      </c>
      <c r="AW5">
        <v>3454295.9787515532</v>
      </c>
      <c r="AX5">
        <v>3545031.5170629001</v>
      </c>
      <c r="AY5">
        <v>3681621.5697390051</v>
      </c>
      <c r="AZ5">
        <v>3775390.7573285871</v>
      </c>
      <c r="BA5">
        <v>3850118.5330522968</v>
      </c>
      <c r="BB5">
        <v>3911961.7297349232</v>
      </c>
      <c r="BC5">
        <v>3813550.26</v>
      </c>
      <c r="BD5">
        <v>4064668.8220000002</v>
      </c>
      <c r="BE5">
        <v>4180703.9438266158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B2">
        <v>39158.518099845191</v>
      </c>
      <c r="C2">
        <v>38650.312137175897</v>
      </c>
      <c r="D2">
        <v>37599.570308054666</v>
      </c>
      <c r="E2">
        <v>39477.463204515043</v>
      </c>
      <c r="F2">
        <v>39989.894499480652</v>
      </c>
      <c r="G2">
        <v>39968.77955072937</v>
      </c>
      <c r="H2">
        <v>43203.206719762537</v>
      </c>
      <c r="I2">
        <v>40624.801067991983</v>
      </c>
      <c r="J2">
        <v>41184.027594191568</v>
      </c>
      <c r="K2">
        <v>45049.756391421877</v>
      </c>
      <c r="L2">
        <v>44518.694769594091</v>
      </c>
      <c r="M2">
        <v>47531.523794229339</v>
      </c>
      <c r="N2">
        <v>49980.48185371569</v>
      </c>
      <c r="O2">
        <v>48731.852198434717</v>
      </c>
      <c r="P2">
        <v>47712.4301603114</v>
      </c>
      <c r="Q2">
        <v>48749.415516300709</v>
      </c>
      <c r="R2">
        <v>49280.81161518403</v>
      </c>
      <c r="S2">
        <v>49178.903143430187</v>
      </c>
      <c r="T2">
        <v>50055.651232899443</v>
      </c>
      <c r="U2">
        <v>48856.275748735963</v>
      </c>
      <c r="V2">
        <v>51127.725274462253</v>
      </c>
      <c r="W2">
        <v>47936.374278701609</v>
      </c>
      <c r="X2">
        <v>46717.146022505607</v>
      </c>
      <c r="Y2">
        <v>48397.555150070257</v>
      </c>
      <c r="Z2">
        <v>46713.689287514921</v>
      </c>
      <c r="AA2">
        <v>48453.714940197802</v>
      </c>
      <c r="AB2">
        <v>53357.676708692641</v>
      </c>
      <c r="AC2">
        <v>51317.847750724672</v>
      </c>
      <c r="AD2">
        <v>50103.636703366552</v>
      </c>
      <c r="AE2">
        <v>49306.556907572813</v>
      </c>
      <c r="AF2">
        <v>51012.219364980658</v>
      </c>
      <c r="AG2">
        <v>52253.578291108774</v>
      </c>
      <c r="AH2">
        <v>53068.529863388962</v>
      </c>
      <c r="AI2">
        <v>51370.952269999398</v>
      </c>
      <c r="AJ2">
        <v>49577.560692492872</v>
      </c>
      <c r="AK2">
        <v>51738.253421076151</v>
      </c>
      <c r="AL2">
        <v>50336.363796916783</v>
      </c>
      <c r="AM2">
        <v>50593.93632867124</v>
      </c>
      <c r="AN2">
        <v>49993.303825033778</v>
      </c>
      <c r="AO2">
        <v>50482.30723194241</v>
      </c>
      <c r="AP2">
        <v>50622.980532475667</v>
      </c>
      <c r="AQ2">
        <v>51288.072373775372</v>
      </c>
      <c r="AR2">
        <v>52138.985079145663</v>
      </c>
      <c r="AS2">
        <v>51115.380622223318</v>
      </c>
      <c r="AT2">
        <v>51939.369428616686</v>
      </c>
      <c r="AU2">
        <v>51132.975418184302</v>
      </c>
      <c r="AV2">
        <v>51962.319671972997</v>
      </c>
      <c r="AW2">
        <v>51260.314077712646</v>
      </c>
      <c r="AX2">
        <v>53815.232370718477</v>
      </c>
      <c r="AY2">
        <v>54109.513571974931</v>
      </c>
      <c r="AZ2">
        <v>54622.468970697257</v>
      </c>
      <c r="BA2">
        <v>54318.847468132801</v>
      </c>
      <c r="BB2">
        <v>51561.032516128202</v>
      </c>
      <c r="BC2">
        <v>53402.835000000006</v>
      </c>
      <c r="BD2">
        <v>53643.955233388369</v>
      </c>
      <c r="BE2">
        <v>54314.360997654367</v>
      </c>
    </row>
    <row r="3" spans="1:57" ht="15" x14ac:dyDescent="0.2">
      <c r="A3" s="12" t="s">
        <v>20</v>
      </c>
      <c r="B3">
        <v>61168.908027263627</v>
      </c>
      <c r="C3">
        <v>63366.11164077276</v>
      </c>
      <c r="D3">
        <v>62908.686682576998</v>
      </c>
      <c r="E3">
        <v>66315.86479355453</v>
      </c>
      <c r="F3">
        <v>69522.091182645498</v>
      </c>
      <c r="G3">
        <v>70582.373571151038</v>
      </c>
      <c r="H3">
        <v>71085.546999611819</v>
      </c>
      <c r="I3">
        <v>72967.319850446205</v>
      </c>
      <c r="J3">
        <v>72152.639894890934</v>
      </c>
      <c r="K3">
        <v>75759.771718763601</v>
      </c>
      <c r="L3">
        <v>77865.085955178292</v>
      </c>
      <c r="M3">
        <v>81362.000487063211</v>
      </c>
      <c r="N3">
        <v>89053.18805803248</v>
      </c>
      <c r="O3">
        <v>93553.418276028475</v>
      </c>
      <c r="P3">
        <v>94169.025736204043</v>
      </c>
      <c r="Q3">
        <v>90833.077187828327</v>
      </c>
      <c r="R3">
        <v>87704.506972407515</v>
      </c>
      <c r="S3">
        <v>89727.18563983214</v>
      </c>
      <c r="T3">
        <v>94513.238505917514</v>
      </c>
      <c r="U3">
        <v>100591.64104239309</v>
      </c>
      <c r="V3">
        <v>100836.8241795517</v>
      </c>
      <c r="W3">
        <v>98946.674162290961</v>
      </c>
      <c r="X3">
        <v>98253.018346571844</v>
      </c>
      <c r="Y3">
        <v>103669.595103801</v>
      </c>
      <c r="Z3">
        <v>104457.9028444436</v>
      </c>
      <c r="AA3">
        <v>109206.9347760167</v>
      </c>
      <c r="AB3">
        <v>115836.7351808876</v>
      </c>
      <c r="AC3">
        <v>117252.9070265316</v>
      </c>
      <c r="AD3">
        <v>114809.7152291941</v>
      </c>
      <c r="AE3">
        <v>110282.6867269082</v>
      </c>
      <c r="AF3">
        <v>109138.62170360021</v>
      </c>
      <c r="AG3">
        <v>113121.1379821712</v>
      </c>
      <c r="AH3">
        <v>111352.9327442448</v>
      </c>
      <c r="AI3">
        <v>112674.14123678789</v>
      </c>
      <c r="AJ3">
        <v>114029.6332577826</v>
      </c>
      <c r="AK3">
        <v>120528.9335030966</v>
      </c>
      <c r="AL3">
        <v>124582.6848558948</v>
      </c>
      <c r="AM3">
        <v>125432.26700068259</v>
      </c>
      <c r="AN3">
        <v>128358.3491913005</v>
      </c>
      <c r="AO3">
        <v>129842.13552610359</v>
      </c>
      <c r="AP3">
        <v>128854.41564512761</v>
      </c>
      <c r="AQ3">
        <v>128455.78086456</v>
      </c>
      <c r="AR3">
        <v>121554.5086638997</v>
      </c>
      <c r="AS3">
        <v>115038.1839447962</v>
      </c>
      <c r="AT3">
        <v>116451.8645273275</v>
      </c>
      <c r="AU3">
        <v>114000.8443448364</v>
      </c>
      <c r="AV3">
        <v>115688.25954607521</v>
      </c>
      <c r="AW3">
        <v>116298.8123549375</v>
      </c>
      <c r="AX3">
        <v>120274.32356613369</v>
      </c>
      <c r="AY3">
        <v>120429.90981403321</v>
      </c>
      <c r="AZ3">
        <v>123525.11453028351</v>
      </c>
      <c r="BA3">
        <v>125198.6570707067</v>
      </c>
      <c r="BB3">
        <v>124712.77715192649</v>
      </c>
      <c r="BC3">
        <v>130185.31200000001</v>
      </c>
      <c r="BD3">
        <v>130242.3661927264</v>
      </c>
      <c r="BE3">
        <v>129268.2328162467</v>
      </c>
    </row>
    <row r="4" spans="1:57" ht="15" x14ac:dyDescent="0.2">
      <c r="A4" s="12" t="s">
        <v>21</v>
      </c>
      <c r="B4">
        <v>489183.39086024812</v>
      </c>
      <c r="C4">
        <v>497803.42239954532</v>
      </c>
      <c r="D4">
        <v>531106.11908136529</v>
      </c>
      <c r="E4">
        <v>560532.25633508444</v>
      </c>
      <c r="F4">
        <v>566577.19080761087</v>
      </c>
      <c r="G4">
        <v>592048.13377165375</v>
      </c>
      <c r="H4">
        <v>622281.5979106914</v>
      </c>
      <c r="I4">
        <v>608316.32592191326</v>
      </c>
      <c r="J4">
        <v>588619.40694703348</v>
      </c>
      <c r="K4">
        <v>640041.42350038397</v>
      </c>
      <c r="L4">
        <v>650211.49154485215</v>
      </c>
      <c r="M4">
        <v>669190.42756417743</v>
      </c>
      <c r="N4">
        <v>699957.72148913529</v>
      </c>
      <c r="O4">
        <v>694794.77243297559</v>
      </c>
      <c r="P4">
        <v>673091.6551981807</v>
      </c>
      <c r="Q4">
        <v>670003.8479511831</v>
      </c>
      <c r="R4">
        <v>680531.56815002288</v>
      </c>
      <c r="S4">
        <v>734884.47411110066</v>
      </c>
      <c r="T4">
        <v>782277.13226052409</v>
      </c>
      <c r="U4">
        <v>846029.51712110394</v>
      </c>
      <c r="V4">
        <v>857565.26626780024</v>
      </c>
      <c r="W4">
        <v>861698.99032056856</v>
      </c>
      <c r="X4">
        <v>855473.89571454946</v>
      </c>
      <c r="Y4">
        <v>870566.77071183838</v>
      </c>
      <c r="Z4">
        <v>867837.43433947023</v>
      </c>
      <c r="AA4">
        <v>880672.57394790568</v>
      </c>
      <c r="AB4">
        <v>890368.65313091804</v>
      </c>
      <c r="AC4">
        <v>933914.19959066459</v>
      </c>
      <c r="AD4">
        <v>971154.1935304316</v>
      </c>
      <c r="AE4">
        <v>998547.17661261884</v>
      </c>
      <c r="AF4">
        <v>1027281.143598548</v>
      </c>
      <c r="AG4">
        <v>1064664.3618910559</v>
      </c>
      <c r="AH4">
        <v>1120096.698218852</v>
      </c>
      <c r="AI4">
        <v>1167078.205253782</v>
      </c>
      <c r="AJ4">
        <v>1212130.168825214</v>
      </c>
      <c r="AK4">
        <v>1239178.103245094</v>
      </c>
      <c r="AL4">
        <v>1226530.889366834</v>
      </c>
      <c r="AM4">
        <v>1253237.881118577</v>
      </c>
      <c r="AN4">
        <v>1365646.995949799</v>
      </c>
      <c r="AO4">
        <v>1456220.3508723411</v>
      </c>
      <c r="AP4">
        <v>1516413.0889176021</v>
      </c>
      <c r="AQ4">
        <v>1526217.776667458</v>
      </c>
      <c r="AR4">
        <v>1376908.8432758129</v>
      </c>
      <c r="AS4">
        <v>1356348.317156414</v>
      </c>
      <c r="AT4">
        <v>1400960.04881056</v>
      </c>
      <c r="AU4">
        <v>1418591.130330395</v>
      </c>
      <c r="AV4">
        <v>1411060.1921962651</v>
      </c>
      <c r="AW4">
        <v>1453357.8608296621</v>
      </c>
      <c r="AX4">
        <v>1510304.90021907</v>
      </c>
      <c r="AY4">
        <v>1569022.9511902069</v>
      </c>
      <c r="AZ4">
        <v>1605494.3930269729</v>
      </c>
      <c r="BA4">
        <v>1637654.5763938639</v>
      </c>
      <c r="BB4">
        <v>1666062.967799966</v>
      </c>
      <c r="BC4">
        <v>1642472.1440000001</v>
      </c>
      <c r="BD4">
        <v>1742584.2903224591</v>
      </c>
      <c r="BE4">
        <v>1839305.996558212</v>
      </c>
    </row>
    <row r="5" spans="1:57" ht="15" x14ac:dyDescent="0.2">
      <c r="A5" s="12" t="s">
        <v>22</v>
      </c>
      <c r="B5">
        <v>429425.77119817497</v>
      </c>
      <c r="C5">
        <v>438104.29155607219</v>
      </c>
      <c r="D5">
        <v>481460.67930294678</v>
      </c>
      <c r="E5">
        <v>508854.09056177072</v>
      </c>
      <c r="F5">
        <v>510244.46268220711</v>
      </c>
      <c r="G5">
        <v>540634.97007237154</v>
      </c>
      <c r="H5">
        <v>570883.72175622126</v>
      </c>
      <c r="I5">
        <v>556252.43396060041</v>
      </c>
      <c r="J5">
        <v>535578.3810539908</v>
      </c>
      <c r="K5">
        <v>583106.24174081406</v>
      </c>
      <c r="L5">
        <v>591924.47664462938</v>
      </c>
      <c r="M5">
        <v>608211.11052368139</v>
      </c>
      <c r="N5">
        <v>628418.80141540582</v>
      </c>
      <c r="O5">
        <v>618325.33350649476</v>
      </c>
      <c r="P5">
        <v>593573.52129299752</v>
      </c>
      <c r="Q5">
        <v>593445.70361717418</v>
      </c>
      <c r="R5">
        <v>609143.42884735251</v>
      </c>
      <c r="S5">
        <v>667096.98148905369</v>
      </c>
      <c r="T5">
        <v>710926.2769409602</v>
      </c>
      <c r="U5">
        <v>775663.2381503121</v>
      </c>
      <c r="V5">
        <v>789733.13255677442</v>
      </c>
      <c r="W5">
        <v>796441.77993871178</v>
      </c>
      <c r="X5">
        <v>793487.57739691925</v>
      </c>
      <c r="Y5">
        <v>800866.81597102596</v>
      </c>
      <c r="Z5">
        <v>801200.15192384203</v>
      </c>
      <c r="AA5">
        <v>809276.39608744555</v>
      </c>
      <c r="AB5">
        <v>814819.28889768547</v>
      </c>
      <c r="AC5">
        <v>864082.9324207129</v>
      </c>
      <c r="AD5">
        <v>912068.79864054243</v>
      </c>
      <c r="AE5">
        <v>951107.77582625218</v>
      </c>
      <c r="AF5">
        <v>981114.46665897081</v>
      </c>
      <c r="AG5">
        <v>1017067.559457513</v>
      </c>
      <c r="AH5">
        <v>1081882.8346471679</v>
      </c>
      <c r="AI5">
        <v>1133494.0377503959</v>
      </c>
      <c r="AJ5">
        <v>1185092.268805217</v>
      </c>
      <c r="AK5">
        <v>1205063.840492957</v>
      </c>
      <c r="AL5">
        <v>1191577.410021048</v>
      </c>
      <c r="AM5">
        <v>1223673.4222742161</v>
      </c>
      <c r="AN5">
        <v>1342969.9891879801</v>
      </c>
      <c r="AO5">
        <v>1437216.564939779</v>
      </c>
      <c r="AP5">
        <v>1499775.8752689669</v>
      </c>
      <c r="AQ5">
        <v>1517743.1565801571</v>
      </c>
      <c r="AR5">
        <v>1379351.5808080109</v>
      </c>
      <c r="AS5">
        <v>1364739.9319185319</v>
      </c>
      <c r="AT5">
        <v>1400676.105936134</v>
      </c>
      <c r="AU5">
        <v>1427973.948709822</v>
      </c>
      <c r="AV5">
        <v>1417020.81121062</v>
      </c>
      <c r="AW5">
        <v>1463315.2555529349</v>
      </c>
      <c r="AX5">
        <v>1517724.395020711</v>
      </c>
      <c r="AY5">
        <v>1581461.0941896031</v>
      </c>
      <c r="AZ5">
        <v>1617080.4858793819</v>
      </c>
      <c r="BA5">
        <v>1650726.8821730569</v>
      </c>
      <c r="BB5">
        <v>1681786.1525171041</v>
      </c>
      <c r="BC5">
        <v>1658028.5919999999</v>
      </c>
      <c r="BD5">
        <v>1767698.2305935069</v>
      </c>
      <c r="BE5">
        <v>1864350.304398566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5"/>
  <sheetViews>
    <sheetView topLeftCell="P1" workbookViewId="0">
      <selection activeCell="B3" sqref="B3"/>
    </sheetView>
  </sheetViews>
  <sheetFormatPr defaultRowHeight="14.25" x14ac:dyDescent="0.2"/>
  <sheetData>
    <row r="1" spans="1:60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</row>
    <row r="2" spans="1:60" ht="15" x14ac:dyDescent="0.2">
      <c r="A2" s="12" t="s">
        <v>19</v>
      </c>
      <c r="B2">
        <v>222779</v>
      </c>
      <c r="C2">
        <v>224430</v>
      </c>
      <c r="D2">
        <v>224282</v>
      </c>
      <c r="E2">
        <v>225092</v>
      </c>
      <c r="F2">
        <v>225532</v>
      </c>
      <c r="G2">
        <v>226385</v>
      </c>
      <c r="H2">
        <v>229269</v>
      </c>
      <c r="I2">
        <v>235171</v>
      </c>
      <c r="J2">
        <v>240479</v>
      </c>
      <c r="K2">
        <v>244016</v>
      </c>
      <c r="L2">
        <v>249923</v>
      </c>
      <c r="M2">
        <v>257543</v>
      </c>
      <c r="N2">
        <v>265709</v>
      </c>
      <c r="O2">
        <v>273950</v>
      </c>
      <c r="P2">
        <v>274839</v>
      </c>
      <c r="Q2">
        <v>271574</v>
      </c>
      <c r="R2">
        <v>269172</v>
      </c>
      <c r="S2">
        <v>265387</v>
      </c>
      <c r="T2">
        <v>264710</v>
      </c>
      <c r="U2">
        <v>266226</v>
      </c>
      <c r="V2">
        <v>266885</v>
      </c>
      <c r="W2">
        <v>266110</v>
      </c>
      <c r="X2">
        <v>264303</v>
      </c>
      <c r="Y2">
        <v>267224</v>
      </c>
      <c r="Z2">
        <v>270771</v>
      </c>
      <c r="AA2">
        <v>270977</v>
      </c>
      <c r="AB2">
        <v>269956</v>
      </c>
      <c r="AC2">
        <v>265165</v>
      </c>
      <c r="AD2">
        <v>261404</v>
      </c>
      <c r="AE2">
        <v>258846</v>
      </c>
      <c r="AF2">
        <v>255722</v>
      </c>
      <c r="AG2">
        <v>253481</v>
      </c>
      <c r="AH2">
        <v>250903</v>
      </c>
      <c r="AI2">
        <v>243755</v>
      </c>
      <c r="AJ2">
        <v>242098</v>
      </c>
      <c r="AK2">
        <v>242131</v>
      </c>
      <c r="AL2">
        <v>240161</v>
      </c>
      <c r="AM2">
        <v>238063</v>
      </c>
      <c r="AN2">
        <v>236088</v>
      </c>
      <c r="AO2">
        <v>234687</v>
      </c>
      <c r="AP2">
        <v>235845</v>
      </c>
      <c r="AQ2">
        <v>239330</v>
      </c>
      <c r="AR2">
        <v>242244</v>
      </c>
      <c r="AS2">
        <v>239024</v>
      </c>
      <c r="AT2">
        <v>234064</v>
      </c>
      <c r="AU2">
        <v>229103</v>
      </c>
      <c r="AV2">
        <v>225090</v>
      </c>
      <c r="AW2">
        <v>222016</v>
      </c>
      <c r="AX2">
        <v>218477</v>
      </c>
      <c r="AY2">
        <v>215268</v>
      </c>
      <c r="AZ2">
        <v>211288</v>
      </c>
      <c r="BA2">
        <v>208278</v>
      </c>
      <c r="BB2">
        <v>204256</v>
      </c>
      <c r="BC2">
        <v>200726</v>
      </c>
      <c r="BD2">
        <v>196514</v>
      </c>
      <c r="BE2">
        <v>194470</v>
      </c>
      <c r="BF2">
        <v>190650</v>
      </c>
      <c r="BG2">
        <v>187393</v>
      </c>
      <c r="BH2">
        <v>184590</v>
      </c>
    </row>
    <row r="3" spans="1:60" ht="15" x14ac:dyDescent="0.2">
      <c r="A3" s="12" t="s">
        <v>20</v>
      </c>
      <c r="B3">
        <v>34654</v>
      </c>
      <c r="C3">
        <v>36904</v>
      </c>
      <c r="D3">
        <v>38025</v>
      </c>
      <c r="E3">
        <v>39447</v>
      </c>
      <c r="F3">
        <v>40346</v>
      </c>
      <c r="G3">
        <v>41710</v>
      </c>
      <c r="H3">
        <v>42921</v>
      </c>
      <c r="I3">
        <v>44127</v>
      </c>
      <c r="J3">
        <v>46869</v>
      </c>
      <c r="K3">
        <v>48514</v>
      </c>
      <c r="L3">
        <v>50580</v>
      </c>
      <c r="M3">
        <v>52444</v>
      </c>
      <c r="N3">
        <v>54643</v>
      </c>
      <c r="O3">
        <v>57092</v>
      </c>
      <c r="P3">
        <v>58318</v>
      </c>
      <c r="Q3">
        <v>59085</v>
      </c>
      <c r="R3">
        <v>59216</v>
      </c>
      <c r="S3">
        <v>59268</v>
      </c>
      <c r="T3">
        <v>60351</v>
      </c>
      <c r="U3">
        <v>61829</v>
      </c>
      <c r="V3">
        <v>63940</v>
      </c>
      <c r="W3">
        <v>66178</v>
      </c>
      <c r="X3">
        <v>68823</v>
      </c>
      <c r="Y3">
        <v>71028</v>
      </c>
      <c r="Z3">
        <v>72698</v>
      </c>
      <c r="AA3">
        <v>75678</v>
      </c>
      <c r="AB3">
        <v>78426</v>
      </c>
      <c r="AC3">
        <v>79444</v>
      </c>
      <c r="AD3">
        <v>80168</v>
      </c>
      <c r="AE3">
        <v>80875</v>
      </c>
      <c r="AF3">
        <v>83394</v>
      </c>
      <c r="AG3">
        <v>83779</v>
      </c>
      <c r="AH3">
        <v>84571</v>
      </c>
      <c r="AI3">
        <v>84521</v>
      </c>
      <c r="AJ3">
        <v>86866</v>
      </c>
      <c r="AK3">
        <v>88848</v>
      </c>
      <c r="AL3">
        <v>90559</v>
      </c>
      <c r="AM3">
        <v>93051</v>
      </c>
      <c r="AN3">
        <v>95676</v>
      </c>
      <c r="AO3">
        <v>95904</v>
      </c>
      <c r="AP3">
        <v>95868</v>
      </c>
      <c r="AQ3">
        <v>96614</v>
      </c>
      <c r="AR3">
        <v>99622</v>
      </c>
      <c r="AS3">
        <v>102062</v>
      </c>
      <c r="AT3">
        <v>99903</v>
      </c>
      <c r="AU3">
        <v>98584</v>
      </c>
      <c r="AV3">
        <v>99448</v>
      </c>
      <c r="AW3">
        <v>99126</v>
      </c>
      <c r="AX3">
        <v>98817</v>
      </c>
      <c r="AY3">
        <v>98167</v>
      </c>
      <c r="AZ3">
        <v>97863</v>
      </c>
      <c r="BA3">
        <v>98143</v>
      </c>
      <c r="BB3">
        <v>100338</v>
      </c>
      <c r="BC3">
        <v>101517</v>
      </c>
      <c r="BD3">
        <v>101385</v>
      </c>
      <c r="BE3">
        <v>101864</v>
      </c>
      <c r="BF3">
        <v>102660</v>
      </c>
      <c r="BG3">
        <v>103486</v>
      </c>
      <c r="BH3">
        <v>104607</v>
      </c>
    </row>
    <row r="4" spans="1:60" ht="15" x14ac:dyDescent="0.2">
      <c r="A4" s="12" t="s">
        <v>21</v>
      </c>
      <c r="B4">
        <v>2328289</v>
      </c>
      <c r="C4">
        <v>2420953</v>
      </c>
      <c r="D4">
        <v>2512851</v>
      </c>
      <c r="E4">
        <v>2625053</v>
      </c>
      <c r="F4">
        <v>2731578</v>
      </c>
      <c r="G4">
        <v>2833885</v>
      </c>
      <c r="H4">
        <v>2968039</v>
      </c>
      <c r="I4">
        <v>3113691</v>
      </c>
      <c r="J4">
        <v>3216009</v>
      </c>
      <c r="K4">
        <v>3292020</v>
      </c>
      <c r="L4">
        <v>3408556</v>
      </c>
      <c r="M4">
        <v>3511869</v>
      </c>
      <c r="N4">
        <v>3615136</v>
      </c>
      <c r="O4">
        <v>3713343</v>
      </c>
      <c r="P4">
        <v>3780940</v>
      </c>
      <c r="Q4">
        <v>3807718</v>
      </c>
      <c r="R4">
        <v>3850841</v>
      </c>
      <c r="S4">
        <v>3900678</v>
      </c>
      <c r="T4">
        <v>3969100</v>
      </c>
      <c r="U4">
        <v>4059681</v>
      </c>
      <c r="V4">
        <v>4195239</v>
      </c>
      <c r="W4">
        <v>4321877</v>
      </c>
      <c r="X4">
        <v>4413324</v>
      </c>
      <c r="Y4">
        <v>4504518</v>
      </c>
      <c r="Z4">
        <v>4595977</v>
      </c>
      <c r="AA4">
        <v>4658767</v>
      </c>
      <c r="AB4">
        <v>4707856</v>
      </c>
      <c r="AC4">
        <v>4740237</v>
      </c>
      <c r="AD4">
        <v>4773036</v>
      </c>
      <c r="AE4">
        <v>4825957</v>
      </c>
      <c r="AF4">
        <v>4885502</v>
      </c>
      <c r="AG4">
        <v>4955736</v>
      </c>
      <c r="AH4">
        <v>5039873</v>
      </c>
      <c r="AI4">
        <v>5107743</v>
      </c>
      <c r="AJ4">
        <v>5203157</v>
      </c>
      <c r="AK4">
        <v>5285017</v>
      </c>
      <c r="AL4">
        <v>5356277</v>
      </c>
      <c r="AM4">
        <v>5425441</v>
      </c>
      <c r="AN4">
        <v>5498539</v>
      </c>
      <c r="AO4">
        <v>5587189</v>
      </c>
      <c r="AP4">
        <v>5723562</v>
      </c>
      <c r="AQ4">
        <v>5850835</v>
      </c>
      <c r="AR4">
        <v>5942911</v>
      </c>
      <c r="AS4">
        <v>5987917</v>
      </c>
      <c r="AT4">
        <v>5990758</v>
      </c>
      <c r="AU4">
        <v>5995379</v>
      </c>
      <c r="AV4">
        <v>6010959</v>
      </c>
      <c r="AW4">
        <v>6036155</v>
      </c>
      <c r="AX4">
        <v>6077431</v>
      </c>
      <c r="AY4">
        <v>6133100</v>
      </c>
      <c r="AZ4">
        <v>6213595</v>
      </c>
      <c r="BA4">
        <v>6311588</v>
      </c>
      <c r="BB4">
        <v>6417049</v>
      </c>
      <c r="BC4">
        <v>6501720</v>
      </c>
      <c r="BD4">
        <v>6591703</v>
      </c>
      <c r="BE4">
        <v>6734739</v>
      </c>
      <c r="BF4">
        <v>6874669</v>
      </c>
      <c r="BG4">
        <v>6992400</v>
      </c>
      <c r="BH4">
        <v>7114398</v>
      </c>
    </row>
    <row r="5" spans="1:60" ht="15" x14ac:dyDescent="0.2">
      <c r="A5" s="12" t="s">
        <v>22</v>
      </c>
      <c r="B5">
        <v>2618163</v>
      </c>
      <c r="C5">
        <v>2738303</v>
      </c>
      <c r="D5">
        <v>2867006</v>
      </c>
      <c r="E5">
        <v>3015495</v>
      </c>
      <c r="F5">
        <v>3161059</v>
      </c>
      <c r="G5">
        <v>3302298</v>
      </c>
      <c r="H5">
        <v>3467494</v>
      </c>
      <c r="I5">
        <v>3631240</v>
      </c>
      <c r="J5">
        <v>3755637</v>
      </c>
      <c r="K5">
        <v>3856260</v>
      </c>
      <c r="L5">
        <v>3992820</v>
      </c>
      <c r="M5">
        <v>4114787</v>
      </c>
      <c r="N5">
        <v>4233512</v>
      </c>
      <c r="O5">
        <v>4350333</v>
      </c>
      <c r="P5">
        <v>4435830</v>
      </c>
      <c r="Q5">
        <v>4471498</v>
      </c>
      <c r="R5">
        <v>4517509</v>
      </c>
      <c r="S5">
        <v>4564886</v>
      </c>
      <c r="T5">
        <v>4625448</v>
      </c>
      <c r="U5">
        <v>4710206</v>
      </c>
      <c r="V5">
        <v>4837386</v>
      </c>
      <c r="W5">
        <v>4962141</v>
      </c>
      <c r="X5">
        <v>5055391</v>
      </c>
      <c r="Y5">
        <v>5137935</v>
      </c>
      <c r="Z5">
        <v>5217291</v>
      </c>
      <c r="AA5">
        <v>5264800</v>
      </c>
      <c r="AB5">
        <v>5305384</v>
      </c>
      <c r="AC5">
        <v>5328639</v>
      </c>
      <c r="AD5">
        <v>5354683</v>
      </c>
      <c r="AE5">
        <v>5403081</v>
      </c>
      <c r="AF5">
        <v>5462484</v>
      </c>
      <c r="AG5">
        <v>5531111</v>
      </c>
      <c r="AH5">
        <v>5612542</v>
      </c>
      <c r="AI5">
        <v>5682056</v>
      </c>
      <c r="AJ5">
        <v>5773271</v>
      </c>
      <c r="AK5">
        <v>5852073</v>
      </c>
      <c r="AL5">
        <v>5918328</v>
      </c>
      <c r="AM5">
        <v>5980902</v>
      </c>
      <c r="AN5">
        <v>6046439</v>
      </c>
      <c r="AO5">
        <v>6132550</v>
      </c>
      <c r="AP5">
        <v>6270696</v>
      </c>
      <c r="AQ5">
        <v>6395005</v>
      </c>
      <c r="AR5">
        <v>6486901</v>
      </c>
      <c r="AS5">
        <v>6533631</v>
      </c>
      <c r="AT5">
        <v>6550770</v>
      </c>
      <c r="AU5">
        <v>6568622</v>
      </c>
      <c r="AV5">
        <v>6599838</v>
      </c>
      <c r="AW5">
        <v>6638025</v>
      </c>
      <c r="AX5">
        <v>6696875</v>
      </c>
      <c r="AY5">
        <v>6769376</v>
      </c>
      <c r="AZ5">
        <v>6870825</v>
      </c>
      <c r="BA5">
        <v>6985059</v>
      </c>
      <c r="BB5">
        <v>7107156</v>
      </c>
      <c r="BC5">
        <v>7209258</v>
      </c>
      <c r="BD5">
        <v>7324959</v>
      </c>
      <c r="BE5">
        <v>7488001</v>
      </c>
      <c r="BF5">
        <v>7648052</v>
      </c>
      <c r="BG5">
        <v>7786450</v>
      </c>
      <c r="BH5">
        <v>7930718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5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2" t="s">
        <v>19</v>
      </c>
      <c r="B2">
        <v>630.077</v>
      </c>
      <c r="C2">
        <v>595.97400000000005</v>
      </c>
      <c r="D2">
        <v>561.95299999999997</v>
      </c>
      <c r="E2">
        <v>532.91999999999996</v>
      </c>
      <c r="F2">
        <v>505.49200000000002</v>
      </c>
      <c r="G2">
        <v>472.53800000000001</v>
      </c>
      <c r="H2">
        <v>463.15</v>
      </c>
      <c r="I2">
        <v>454.50900000000001</v>
      </c>
      <c r="J2">
        <v>433.26299999999998</v>
      </c>
      <c r="K2">
        <v>415.44</v>
      </c>
      <c r="L2">
        <v>408.08600000000001</v>
      </c>
      <c r="M2">
        <v>393.84399999999999</v>
      </c>
      <c r="N2">
        <v>380.02100000000002</v>
      </c>
      <c r="O2">
        <v>361.6</v>
      </c>
      <c r="P2">
        <v>342.43900000000002</v>
      </c>
      <c r="Q2">
        <v>325.52499999999998</v>
      </c>
      <c r="R2">
        <v>314.70800000000003</v>
      </c>
      <c r="S2">
        <v>305.71699999999998</v>
      </c>
      <c r="T2">
        <v>297.005</v>
      </c>
      <c r="U2">
        <v>286.29199999999997</v>
      </c>
      <c r="V2">
        <v>277.37299999999999</v>
      </c>
      <c r="W2">
        <v>272.733</v>
      </c>
      <c r="X2">
        <v>247.52699999999999</v>
      </c>
      <c r="Y2">
        <v>239.83199999999999</v>
      </c>
      <c r="Z2">
        <v>229.64</v>
      </c>
      <c r="AA2">
        <v>224.577</v>
      </c>
      <c r="AB2">
        <v>216.74600000000001</v>
      </c>
      <c r="AC2">
        <v>205.929</v>
      </c>
      <c r="AD2">
        <v>187.30600000000001</v>
      </c>
      <c r="AE2">
        <v>180.88900000000001</v>
      </c>
      <c r="AF2">
        <v>173.04900000000001</v>
      </c>
      <c r="AG2">
        <v>162.33199999999999</v>
      </c>
      <c r="AH2">
        <v>160.81</v>
      </c>
      <c r="AI2">
        <v>152.28</v>
      </c>
      <c r="AJ2">
        <v>149.02000000000001</v>
      </c>
      <c r="AK2">
        <v>145.34299999999999</v>
      </c>
      <c r="AL2">
        <v>145.637</v>
      </c>
      <c r="AM2">
        <v>134.39099999999999</v>
      </c>
      <c r="AN2">
        <v>133.30099999999999</v>
      </c>
      <c r="AO2">
        <v>125.58799999999999</v>
      </c>
      <c r="AP2">
        <v>117.953</v>
      </c>
      <c r="AQ2">
        <v>114.771</v>
      </c>
      <c r="AR2">
        <v>109.39700000000001</v>
      </c>
      <c r="AS2">
        <v>101.938</v>
      </c>
      <c r="AT2">
        <v>98.593999999999994</v>
      </c>
      <c r="AU2">
        <v>97.135000000000005</v>
      </c>
      <c r="AV2">
        <v>95.701999999999998</v>
      </c>
      <c r="AW2">
        <v>94.813999999999993</v>
      </c>
      <c r="AX2">
        <v>95.677999999999997</v>
      </c>
      <c r="AY2">
        <v>97.466999999999999</v>
      </c>
      <c r="AZ2">
        <v>91.694000000000003</v>
      </c>
      <c r="BA2">
        <v>92.463999999999999</v>
      </c>
      <c r="BB2">
        <v>89.981999999999999</v>
      </c>
      <c r="BC2">
        <v>85.013999999999996</v>
      </c>
      <c r="BD2">
        <v>85.49</v>
      </c>
      <c r="BE2">
        <v>86.997</v>
      </c>
      <c r="BF2">
        <v>84.49</v>
      </c>
    </row>
    <row r="3" spans="1:58" ht="15" x14ac:dyDescent="0.2">
      <c r="A3" s="12" t="s">
        <v>20</v>
      </c>
      <c r="B3">
        <v>232.125</v>
      </c>
      <c r="C3">
        <v>220.32599999999999</v>
      </c>
      <c r="D3">
        <v>210.20500000000001</v>
      </c>
      <c r="E3">
        <v>204.42</v>
      </c>
      <c r="F3">
        <v>202.642</v>
      </c>
      <c r="G3">
        <v>194.114</v>
      </c>
      <c r="H3">
        <v>187.292</v>
      </c>
      <c r="I3">
        <v>179.90199999999999</v>
      </c>
      <c r="J3">
        <v>174.334</v>
      </c>
      <c r="K3">
        <v>156.33000000000001</v>
      </c>
      <c r="L3">
        <v>155.21600000000001</v>
      </c>
      <c r="M3">
        <v>152.58799999999999</v>
      </c>
      <c r="N3">
        <v>149.102</v>
      </c>
      <c r="O3">
        <v>150.15100000000001</v>
      </c>
      <c r="P3">
        <v>147.911</v>
      </c>
      <c r="Q3">
        <v>145.98500000000001</v>
      </c>
      <c r="R3">
        <v>146.12100000000001</v>
      </c>
      <c r="S3">
        <v>147.45699999999999</v>
      </c>
      <c r="T3">
        <v>147.55199999999999</v>
      </c>
      <c r="U3">
        <v>145.08199999999999</v>
      </c>
      <c r="V3">
        <v>148.494</v>
      </c>
      <c r="W3">
        <v>140.33600000000001</v>
      </c>
      <c r="X3">
        <v>138.84399999999999</v>
      </c>
      <c r="Y3">
        <v>133.495</v>
      </c>
      <c r="Z3">
        <v>129.95699999999999</v>
      </c>
      <c r="AA3">
        <v>129.1</v>
      </c>
      <c r="AB3">
        <v>127.46599999999999</v>
      </c>
      <c r="AC3">
        <v>124.69499999999999</v>
      </c>
      <c r="AD3">
        <v>121.438</v>
      </c>
      <c r="AE3">
        <v>123.97199999999999</v>
      </c>
      <c r="AF3">
        <v>120.697</v>
      </c>
      <c r="AG3">
        <v>117.90600000000001</v>
      </c>
      <c r="AH3">
        <v>115.14</v>
      </c>
      <c r="AI3">
        <v>116.399</v>
      </c>
      <c r="AJ3">
        <v>117.301</v>
      </c>
      <c r="AK3">
        <v>117.036</v>
      </c>
      <c r="AL3">
        <v>116.729</v>
      </c>
      <c r="AM3">
        <v>110.661</v>
      </c>
      <c r="AN3">
        <v>106.601</v>
      </c>
      <c r="AO3">
        <v>99.25</v>
      </c>
      <c r="AP3">
        <v>95.156000000000006</v>
      </c>
      <c r="AQ3">
        <v>90.557000000000002</v>
      </c>
      <c r="AR3">
        <v>89.331999999999994</v>
      </c>
      <c r="AS3">
        <v>83.22</v>
      </c>
      <c r="AT3">
        <v>79.289000000000001</v>
      </c>
      <c r="AU3">
        <v>76.718999999999994</v>
      </c>
      <c r="AV3">
        <v>73.253</v>
      </c>
      <c r="AW3">
        <v>70.478999999999999</v>
      </c>
      <c r="AX3">
        <v>66.266999999999996</v>
      </c>
      <c r="AY3">
        <v>64.948999999999998</v>
      </c>
      <c r="AZ3">
        <v>65.698999999999998</v>
      </c>
      <c r="BA3">
        <v>67.126000000000005</v>
      </c>
      <c r="BB3">
        <v>65.334999999999994</v>
      </c>
      <c r="BC3">
        <v>65.519000000000005</v>
      </c>
      <c r="BD3">
        <v>70.152000000000001</v>
      </c>
      <c r="BE3">
        <v>70.239999999999995</v>
      </c>
      <c r="BF3">
        <v>69.951999999999998</v>
      </c>
    </row>
    <row r="4" spans="1:58" ht="15" x14ac:dyDescent="0.2">
      <c r="A4" s="12" t="s">
        <v>21</v>
      </c>
      <c r="B4">
        <v>4005.2750000000001</v>
      </c>
      <c r="C4">
        <v>3893.8670000000002</v>
      </c>
      <c r="D4">
        <v>3812.7890000000002</v>
      </c>
      <c r="E4">
        <v>3762.9690000000001</v>
      </c>
      <c r="F4">
        <v>3723.123</v>
      </c>
      <c r="G4">
        <v>3604.5320000000002</v>
      </c>
      <c r="H4">
        <v>3514.1509999999998</v>
      </c>
      <c r="I4">
        <v>3435.6320000000001</v>
      </c>
      <c r="J4">
        <v>3343.3609999999999</v>
      </c>
      <c r="K4">
        <v>3118.2559999999999</v>
      </c>
      <c r="L4">
        <v>3174.0120000000002</v>
      </c>
      <c r="M4">
        <v>3109.71</v>
      </c>
      <c r="N4">
        <v>3055.2559999999999</v>
      </c>
      <c r="O4">
        <v>3029.4749999999999</v>
      </c>
      <c r="P4">
        <v>2953.509</v>
      </c>
      <c r="Q4">
        <v>2789.2379999999998</v>
      </c>
      <c r="R4">
        <v>2784.6439999999998</v>
      </c>
      <c r="S4">
        <v>2764.5479999999998</v>
      </c>
      <c r="T4">
        <v>2820.4560000000001</v>
      </c>
      <c r="U4">
        <v>2867.4229999999998</v>
      </c>
      <c r="V4">
        <v>2957.498</v>
      </c>
      <c r="W4">
        <v>2898.7730000000001</v>
      </c>
      <c r="X4">
        <v>2814.2310000000002</v>
      </c>
      <c r="Y4">
        <v>2765.4290000000001</v>
      </c>
      <c r="Z4">
        <v>2727.54</v>
      </c>
      <c r="AA4">
        <v>2699.07</v>
      </c>
      <c r="AB4">
        <v>2699.99</v>
      </c>
      <c r="AC4">
        <v>2627.877</v>
      </c>
      <c r="AD4">
        <v>2599.0360000000001</v>
      </c>
      <c r="AE4">
        <v>2654.04</v>
      </c>
      <c r="AF4">
        <v>2676.0149999999999</v>
      </c>
      <c r="AG4">
        <v>2731.9160000000002</v>
      </c>
      <c r="AH4">
        <v>2792.2809999999999</v>
      </c>
      <c r="AI4">
        <v>2859.6129999999998</v>
      </c>
      <c r="AJ4">
        <v>2929.8560000000002</v>
      </c>
      <c r="AK4">
        <v>2953.9050000000002</v>
      </c>
      <c r="AL4">
        <v>2933.7359999999999</v>
      </c>
      <c r="AM4">
        <v>2869.431</v>
      </c>
      <c r="AN4">
        <v>2852.4650000000001</v>
      </c>
      <c r="AO4">
        <v>2866.7429999999999</v>
      </c>
      <c r="AP4">
        <v>2937.49</v>
      </c>
      <c r="AQ4">
        <v>2976.6060000000002</v>
      </c>
      <c r="AR4">
        <v>3006.8220000000001</v>
      </c>
      <c r="AS4">
        <v>2803.28</v>
      </c>
      <c r="AT4">
        <v>2719.1640000000002</v>
      </c>
      <c r="AU4">
        <v>2768.0680000000002</v>
      </c>
      <c r="AV4">
        <v>2722.9609999999998</v>
      </c>
      <c r="AW4">
        <v>2725.009</v>
      </c>
      <c r="AX4">
        <v>2724.1979999999999</v>
      </c>
      <c r="AY4">
        <v>2766.634</v>
      </c>
      <c r="AZ4">
        <v>2847.098</v>
      </c>
      <c r="BA4">
        <v>2885.3009999999999</v>
      </c>
      <c r="BB4">
        <v>2877.8760000000002</v>
      </c>
      <c r="BC4">
        <v>2901.0129999999999</v>
      </c>
      <c r="BD4">
        <v>2776.337</v>
      </c>
      <c r="BE4">
        <v>2946.7669999999998</v>
      </c>
      <c r="BF4">
        <v>3099.8130000000001</v>
      </c>
    </row>
    <row r="5" spans="1:58" ht="15" x14ac:dyDescent="0.2">
      <c r="A5" s="12" t="s">
        <v>22</v>
      </c>
      <c r="B5">
        <v>3742.1819999999998</v>
      </c>
      <c r="C5">
        <v>3720.8670000000002</v>
      </c>
      <c r="D5">
        <v>3695.2539999999999</v>
      </c>
      <c r="E5">
        <v>3716.009</v>
      </c>
      <c r="F5">
        <v>3741.1010000000001</v>
      </c>
      <c r="G5">
        <v>3694.8890000000001</v>
      </c>
      <c r="H5">
        <v>3653.8820000000001</v>
      </c>
      <c r="I5">
        <v>3614.3359999999998</v>
      </c>
      <c r="J5">
        <v>3566.6979999999999</v>
      </c>
      <c r="K5">
        <v>3379.346</v>
      </c>
      <c r="L5">
        <v>3472.797</v>
      </c>
      <c r="M5">
        <v>3418.194</v>
      </c>
      <c r="N5">
        <v>3410.7809999999999</v>
      </c>
      <c r="O5">
        <v>3444.395</v>
      </c>
      <c r="P5">
        <v>3477.2829999999999</v>
      </c>
      <c r="Q5">
        <v>3356.998</v>
      </c>
      <c r="R5">
        <v>3400.9679999999998</v>
      </c>
      <c r="S5">
        <v>3394.252</v>
      </c>
      <c r="T5">
        <v>3445.5650000000001</v>
      </c>
      <c r="U5">
        <v>3514.7</v>
      </c>
      <c r="V5">
        <v>3625.8890000000001</v>
      </c>
      <c r="W5">
        <v>3568.13</v>
      </c>
      <c r="X5">
        <v>3517.672</v>
      </c>
      <c r="Y5">
        <v>3475.337</v>
      </c>
      <c r="Z5">
        <v>3434.81</v>
      </c>
      <c r="AA5">
        <v>3395.6089999999999</v>
      </c>
      <c r="AB5">
        <v>3413.7440000000001</v>
      </c>
      <c r="AC5">
        <v>3357.2809999999999</v>
      </c>
      <c r="AD5">
        <v>3342.6970000000001</v>
      </c>
      <c r="AE5">
        <v>3401.971</v>
      </c>
      <c r="AF5">
        <v>3431.7620000000002</v>
      </c>
      <c r="AG5">
        <v>3539.0720000000001</v>
      </c>
      <c r="AH5">
        <v>3632.5819999999999</v>
      </c>
      <c r="AI5">
        <v>3714.509</v>
      </c>
      <c r="AJ5">
        <v>3772.5569999999998</v>
      </c>
      <c r="AK5">
        <v>3824.1709999999998</v>
      </c>
      <c r="AL5">
        <v>3809.7620000000002</v>
      </c>
      <c r="AM5">
        <v>3776.5880000000002</v>
      </c>
      <c r="AN5">
        <v>3761.2750000000001</v>
      </c>
      <c r="AO5">
        <v>3814.54</v>
      </c>
      <c r="AP5">
        <v>3929.7289999999998</v>
      </c>
      <c r="AQ5">
        <v>3967.4879999999998</v>
      </c>
      <c r="AR5">
        <v>4018.058</v>
      </c>
      <c r="AS5">
        <v>3861.8850000000002</v>
      </c>
      <c r="AT5">
        <v>3790.107</v>
      </c>
      <c r="AU5">
        <v>3830.0749999999998</v>
      </c>
      <c r="AV5">
        <v>3769.4540000000002</v>
      </c>
      <c r="AW5">
        <v>3781.5329999999999</v>
      </c>
      <c r="AX5">
        <v>3776.7950000000001</v>
      </c>
      <c r="AY5">
        <v>3815.08</v>
      </c>
      <c r="AZ5">
        <v>3899.913</v>
      </c>
      <c r="BA5">
        <v>3935.5909999999999</v>
      </c>
      <c r="BB5">
        <v>3934.3020000000001</v>
      </c>
      <c r="BC5">
        <v>3972.38</v>
      </c>
      <c r="BD5">
        <v>3827.0659999999998</v>
      </c>
      <c r="BE5">
        <v>4062.261</v>
      </c>
      <c r="BF5">
        <v>4225.3980000000001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B2">
        <v>0.25607391214583708</v>
      </c>
      <c r="C2">
        <v>0.25834003730491639</v>
      </c>
      <c r="D2">
        <v>0.28105257532435729</v>
      </c>
      <c r="E2">
        <v>0.30430120704765162</v>
      </c>
      <c r="F2">
        <v>0.29811966918057847</v>
      </c>
      <c r="G2">
        <v>0.3339359020225236</v>
      </c>
      <c r="H2">
        <v>0.4305279872834995</v>
      </c>
      <c r="I2">
        <v>0.44414888658102769</v>
      </c>
      <c r="J2">
        <v>0.48715191963963472</v>
      </c>
      <c r="K2">
        <v>0.56408820249938729</v>
      </c>
      <c r="L2">
        <v>0.5951435602038827</v>
      </c>
      <c r="M2">
        <v>0.63451720127908895</v>
      </c>
      <c r="N2">
        <v>0.65096350588070084</v>
      </c>
      <c r="O2">
        <v>0.72318176898930764</v>
      </c>
      <c r="P2">
        <v>0.81190980975531313</v>
      </c>
      <c r="Q2">
        <v>0.91041812254532162</v>
      </c>
      <c r="R2">
        <v>0.95466564529357645</v>
      </c>
      <c r="S2">
        <v>0.99197673019407839</v>
      </c>
      <c r="T2">
        <v>0.98749151333287322</v>
      </c>
      <c r="U2">
        <v>0.95475842280037015</v>
      </c>
      <c r="V2">
        <v>0.95360647869086479</v>
      </c>
      <c r="W2">
        <v>0.932897985505861</v>
      </c>
      <c r="X2">
        <v>0.97239891666336642</v>
      </c>
      <c r="Y2">
        <v>0.90614873222066761</v>
      </c>
      <c r="Z2">
        <v>0.89339056515103155</v>
      </c>
      <c r="AA2">
        <v>0.90270640338184716</v>
      </c>
      <c r="AB2">
        <v>0.80025434628796999</v>
      </c>
      <c r="AC2">
        <v>0.80089487845872021</v>
      </c>
      <c r="AD2">
        <v>0.8356474583637411</v>
      </c>
      <c r="AE2">
        <v>0.84700115827381273</v>
      </c>
      <c r="AF2">
        <v>0.84671658296735308</v>
      </c>
      <c r="AG2">
        <v>0.75191860918725217</v>
      </c>
      <c r="AH2">
        <v>0.73512718699258917</v>
      </c>
      <c r="AI2">
        <v>0.80247948980993089</v>
      </c>
      <c r="AJ2">
        <v>0.85718238706573779</v>
      </c>
      <c r="AK2">
        <v>0.78091773225080785</v>
      </c>
      <c r="AL2">
        <v>0.75515379176416053</v>
      </c>
      <c r="AM2">
        <v>0.77755657056951677</v>
      </c>
      <c r="AN2">
        <v>0.71833854743984793</v>
      </c>
      <c r="AO2">
        <v>0.73132552845527765</v>
      </c>
      <c r="AP2">
        <v>0.76268103098727191</v>
      </c>
      <c r="AQ2">
        <v>0.83607121138012508</v>
      </c>
      <c r="AR2">
        <v>0.79607803017066459</v>
      </c>
      <c r="AS2">
        <v>0.84462464151090499</v>
      </c>
      <c r="AT2">
        <v>0.94835462374842117</v>
      </c>
      <c r="AU2">
        <v>1.029352267303177</v>
      </c>
      <c r="AV2">
        <v>0.97792070333706316</v>
      </c>
      <c r="AW2">
        <v>0.93853410833053441</v>
      </c>
      <c r="AX2">
        <v>0.86804806870795082</v>
      </c>
      <c r="AY2">
        <v>0.88136659653015903</v>
      </c>
      <c r="AZ2">
        <v>0.95609390209267642</v>
      </c>
      <c r="BA2">
        <v>0.91154158450995537</v>
      </c>
      <c r="BB2">
        <v>0.98517616206826075</v>
      </c>
      <c r="BC2">
        <v>1</v>
      </c>
      <c r="BD2">
        <v>0.97836786726731118</v>
      </c>
      <c r="BE2">
        <v>1.17552286550737</v>
      </c>
    </row>
    <row r="3" spans="1:57" ht="15" x14ac:dyDescent="0.2">
      <c r="A3" s="12" t="s">
        <v>20</v>
      </c>
      <c r="B3">
        <v>0.21736725993002959</v>
      </c>
      <c r="C3">
        <v>0.21710019233269021</v>
      </c>
      <c r="D3">
        <v>0.23343466888754891</v>
      </c>
      <c r="E3">
        <v>0.2501914069225834</v>
      </c>
      <c r="F3">
        <v>0.25792978796042459</v>
      </c>
      <c r="G3">
        <v>0.2766724070313018</v>
      </c>
      <c r="H3">
        <v>0.35413553863728142</v>
      </c>
      <c r="I3">
        <v>0.3836503717511528</v>
      </c>
      <c r="J3">
        <v>0.41428954446010469</v>
      </c>
      <c r="K3">
        <v>0.4527399107309284</v>
      </c>
      <c r="L3">
        <v>0.48772051502899427</v>
      </c>
      <c r="M3">
        <v>0.5174875123674979</v>
      </c>
      <c r="N3">
        <v>0.52452862913137743</v>
      </c>
      <c r="O3">
        <v>0.57813656222318255</v>
      </c>
      <c r="P3">
        <v>0.65156257585254973</v>
      </c>
      <c r="Q3">
        <v>0.72420845878513151</v>
      </c>
      <c r="R3">
        <v>0.74937648810759094</v>
      </c>
      <c r="S3">
        <v>0.80712270275509435</v>
      </c>
      <c r="T3">
        <v>0.80627524781704218</v>
      </c>
      <c r="U3">
        <v>0.7677319756437212</v>
      </c>
      <c r="V3">
        <v>0.75546495418302606</v>
      </c>
      <c r="W3">
        <v>0.76477539994656429</v>
      </c>
      <c r="X3">
        <v>0.81507701708851088</v>
      </c>
      <c r="Y3">
        <v>0.79434010447491954</v>
      </c>
      <c r="Z3">
        <v>0.79175995202492089</v>
      </c>
      <c r="AA3">
        <v>0.8113853972352395</v>
      </c>
      <c r="AB3">
        <v>0.75479963688720897</v>
      </c>
      <c r="AC3">
        <v>0.76114401218648087</v>
      </c>
      <c r="AD3">
        <v>0.76856145841574952</v>
      </c>
      <c r="AE3">
        <v>0.78565486303200116</v>
      </c>
      <c r="AF3">
        <v>0.79803585579875247</v>
      </c>
      <c r="AG3">
        <v>0.7540223703857325</v>
      </c>
      <c r="AH3">
        <v>0.73069725320117307</v>
      </c>
      <c r="AI3">
        <v>0.78026275417389768</v>
      </c>
      <c r="AJ3">
        <v>0.81970008705132291</v>
      </c>
      <c r="AK3">
        <v>0.82018067011615825</v>
      </c>
      <c r="AL3">
        <v>0.80459867231295679</v>
      </c>
      <c r="AM3">
        <v>0.81073777724869345</v>
      </c>
      <c r="AN3">
        <v>0.81833700679032217</v>
      </c>
      <c r="AO3">
        <v>0.83200361367525622</v>
      </c>
      <c r="AP3">
        <v>0.86051449012430659</v>
      </c>
      <c r="AQ3">
        <v>0.92183343371052939</v>
      </c>
      <c r="AR3">
        <v>0.88637582674968962</v>
      </c>
      <c r="AS3">
        <v>0.91582157165535916</v>
      </c>
      <c r="AT3">
        <v>0.95976415455456365</v>
      </c>
      <c r="AU3">
        <v>0.99275845871800361</v>
      </c>
      <c r="AV3">
        <v>1.009094739816772</v>
      </c>
      <c r="AW3">
        <v>0.98179215019433685</v>
      </c>
      <c r="AX3">
        <v>0.96693148798389839</v>
      </c>
      <c r="AY3">
        <v>0.97212258925255923</v>
      </c>
      <c r="AZ3">
        <v>0.98167363521099882</v>
      </c>
      <c r="BA3">
        <v>0.97215030403335978</v>
      </c>
      <c r="BB3">
        <v>0.99724660492147565</v>
      </c>
      <c r="BC3">
        <v>1</v>
      </c>
      <c r="BD3">
        <v>0.99145650534176577</v>
      </c>
      <c r="BE3">
        <v>1.14727594879914</v>
      </c>
    </row>
    <row r="4" spans="1:57" ht="15" x14ac:dyDescent="0.2">
      <c r="A4" s="12" t="s">
        <v>21</v>
      </c>
      <c r="B4">
        <v>0.1338521638399694</v>
      </c>
      <c r="C4">
        <v>0.13861822642151631</v>
      </c>
      <c r="D4">
        <v>0.14731477722241429</v>
      </c>
      <c r="E4">
        <v>0.15908530136151319</v>
      </c>
      <c r="F4">
        <v>0.1679589030232938</v>
      </c>
      <c r="G4">
        <v>0.1803653337073125</v>
      </c>
      <c r="H4">
        <v>0.2050028171160356</v>
      </c>
      <c r="I4">
        <v>0.24010783068860089</v>
      </c>
      <c r="J4">
        <v>0.26491165067415379</v>
      </c>
      <c r="K4">
        <v>0.28756020078187589</v>
      </c>
      <c r="L4">
        <v>0.31038808692682479</v>
      </c>
      <c r="M4">
        <v>0.33191038663391348</v>
      </c>
      <c r="N4">
        <v>0.35422797395126471</v>
      </c>
      <c r="O4">
        <v>0.39293269417229848</v>
      </c>
      <c r="P4">
        <v>0.44186123048493647</v>
      </c>
      <c r="Q4">
        <v>0.48892587441851759</v>
      </c>
      <c r="R4">
        <v>0.52199306208800755</v>
      </c>
      <c r="S4">
        <v>0.55185748673633406</v>
      </c>
      <c r="T4">
        <v>0.57285027900122276</v>
      </c>
      <c r="U4">
        <v>0.56338292885540575</v>
      </c>
      <c r="V4">
        <v>0.5727161210298225</v>
      </c>
      <c r="W4">
        <v>0.58460041638040039</v>
      </c>
      <c r="X4">
        <v>0.62083014176796736</v>
      </c>
      <c r="Y4">
        <v>0.63107736388595193</v>
      </c>
      <c r="Z4">
        <v>0.6447665576839936</v>
      </c>
      <c r="AA4">
        <v>0.65310670757738032</v>
      </c>
      <c r="AB4">
        <v>0.64842101180322964</v>
      </c>
      <c r="AC4">
        <v>0.65986451576206362</v>
      </c>
      <c r="AD4">
        <v>0.67220349549516833</v>
      </c>
      <c r="AE4">
        <v>0.68180567899432276</v>
      </c>
      <c r="AF4">
        <v>0.69630637839679799</v>
      </c>
      <c r="AG4">
        <v>0.6948944557195067</v>
      </c>
      <c r="AH4">
        <v>0.69990147599607277</v>
      </c>
      <c r="AI4">
        <v>0.73354178786679414</v>
      </c>
      <c r="AJ4">
        <v>0.75226470704740878</v>
      </c>
      <c r="AK4">
        <v>0.75724342239293918</v>
      </c>
      <c r="AL4">
        <v>0.76103765207892293</v>
      </c>
      <c r="AM4">
        <v>0.77517331064434869</v>
      </c>
      <c r="AN4">
        <v>0.79725781339699031</v>
      </c>
      <c r="AO4">
        <v>0.81982153686252501</v>
      </c>
      <c r="AP4">
        <v>0.84299681869442034</v>
      </c>
      <c r="AQ4">
        <v>0.88342792685248461</v>
      </c>
      <c r="AR4">
        <v>0.861156195355957</v>
      </c>
      <c r="AS4">
        <v>0.89703601243461017</v>
      </c>
      <c r="AT4">
        <v>0.91765697966265081</v>
      </c>
      <c r="AU4">
        <v>0.94171381168181623</v>
      </c>
      <c r="AV4">
        <v>0.94899261530743717</v>
      </c>
      <c r="AW4">
        <v>0.95127779676416535</v>
      </c>
      <c r="AX4">
        <v>0.95218358861077435</v>
      </c>
      <c r="AY4">
        <v>0.94081603149169879</v>
      </c>
      <c r="AZ4">
        <v>0.96222828797829862</v>
      </c>
      <c r="BA4">
        <v>0.97624078302220418</v>
      </c>
      <c r="BB4">
        <v>0.99192192635721621</v>
      </c>
      <c r="BC4">
        <v>1</v>
      </c>
      <c r="BD4">
        <v>1.0513890290361581</v>
      </c>
      <c r="BE4">
        <v>1.206870429206615</v>
      </c>
    </row>
    <row r="5" spans="1:57" ht="15" x14ac:dyDescent="0.2">
      <c r="A5" s="12" t="s">
        <v>22</v>
      </c>
      <c r="B5">
        <v>0.11367524320269359</v>
      </c>
      <c r="C5">
        <v>0.11970203304956591</v>
      </c>
      <c r="D5">
        <v>0.12712091576105561</v>
      </c>
      <c r="E5">
        <v>0.13794340083518439</v>
      </c>
      <c r="F5">
        <v>0.14817805901995401</v>
      </c>
      <c r="G5">
        <v>0.15925596498877129</v>
      </c>
      <c r="H5">
        <v>0.1759983365656457</v>
      </c>
      <c r="I5">
        <v>0.2107790527684528</v>
      </c>
      <c r="J5">
        <v>0.23578933246030051</v>
      </c>
      <c r="K5">
        <v>0.25474409520866248</v>
      </c>
      <c r="L5">
        <v>0.27537930755515982</v>
      </c>
      <c r="M5">
        <v>0.29513295354856728</v>
      </c>
      <c r="N5">
        <v>0.3184311553395956</v>
      </c>
      <c r="O5">
        <v>0.3532929481496323</v>
      </c>
      <c r="P5">
        <v>0.39662562159212972</v>
      </c>
      <c r="Q5">
        <v>0.43949181737761378</v>
      </c>
      <c r="R5">
        <v>0.47188152672188388</v>
      </c>
      <c r="S5">
        <v>0.49739374106103268</v>
      </c>
      <c r="T5">
        <v>0.51982295623449803</v>
      </c>
      <c r="U5">
        <v>0.51672073023398912</v>
      </c>
      <c r="V5">
        <v>0.53285897594288145</v>
      </c>
      <c r="W5">
        <v>0.54884824486672701</v>
      </c>
      <c r="X5">
        <v>0.58187566405425373</v>
      </c>
      <c r="Y5">
        <v>0.59855472439392365</v>
      </c>
      <c r="Z5">
        <v>0.61564212830984322</v>
      </c>
      <c r="AA5">
        <v>0.62424256553782598</v>
      </c>
      <c r="AB5">
        <v>0.62877082039902632</v>
      </c>
      <c r="AC5">
        <v>0.64020325913371201</v>
      </c>
      <c r="AD5">
        <v>0.65076452286418474</v>
      </c>
      <c r="AE5">
        <v>0.66043460875919702</v>
      </c>
      <c r="AF5">
        <v>0.67617658327802932</v>
      </c>
      <c r="AG5">
        <v>0.68328877415654032</v>
      </c>
      <c r="AH5">
        <v>0.69275442197883863</v>
      </c>
      <c r="AI5">
        <v>0.72089397866823945</v>
      </c>
      <c r="AJ5">
        <v>0.7383961413244986</v>
      </c>
      <c r="AK5">
        <v>0.74851574450647085</v>
      </c>
      <c r="AL5">
        <v>0.75647840898486862</v>
      </c>
      <c r="AM5">
        <v>0.77184924696295876</v>
      </c>
      <c r="AN5">
        <v>0.79589363489671727</v>
      </c>
      <c r="AO5">
        <v>0.81825640746549277</v>
      </c>
      <c r="AP5">
        <v>0.84085022502766038</v>
      </c>
      <c r="AQ5">
        <v>0.8782255503486226</v>
      </c>
      <c r="AR5">
        <v>0.86662997137602371</v>
      </c>
      <c r="AS5">
        <v>0.89841805685809428</v>
      </c>
      <c r="AT5">
        <v>0.91182114453146434</v>
      </c>
      <c r="AU5">
        <v>0.93274208389237079</v>
      </c>
      <c r="AV5">
        <v>0.94063556625924505</v>
      </c>
      <c r="AW5">
        <v>0.94452562463370315</v>
      </c>
      <c r="AX5">
        <v>0.94667600946478536</v>
      </c>
      <c r="AY5">
        <v>0.93774848924647836</v>
      </c>
      <c r="AZ5">
        <v>0.95693455756520618</v>
      </c>
      <c r="BA5">
        <v>0.9734433248808998</v>
      </c>
      <c r="BB5">
        <v>0.98632641359235695</v>
      </c>
      <c r="BC5">
        <v>1</v>
      </c>
      <c r="BD5">
        <v>1.0496921197876621</v>
      </c>
      <c r="BE5">
        <v>1.187597937742398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5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2" t="s">
        <v>19</v>
      </c>
      <c r="B2">
        <v>4.9614658561507419</v>
      </c>
      <c r="C2">
        <v>5.3261862766713213</v>
      </c>
      <c r="D2">
        <v>5.6442060842810768</v>
      </c>
      <c r="E2">
        <v>6.0123326504852361</v>
      </c>
      <c r="F2">
        <v>5.8437461320596729</v>
      </c>
      <c r="G2">
        <v>6.8602799671002721</v>
      </c>
      <c r="H2">
        <v>7.0786710899408014</v>
      </c>
      <c r="I2">
        <v>7.9727202315437609</v>
      </c>
      <c r="J2">
        <v>9.6403693364827152</v>
      </c>
      <c r="K2">
        <v>11.50581698993282</v>
      </c>
      <c r="L2">
        <v>12.85365745699843</v>
      </c>
      <c r="M2">
        <v>14.34634550721398</v>
      </c>
      <c r="N2">
        <v>16.749786014483689</v>
      </c>
      <c r="O2">
        <v>19.344179113317999</v>
      </c>
      <c r="P2">
        <v>22.662031202008109</v>
      </c>
      <c r="Q2">
        <v>25.41239116915423</v>
      </c>
      <c r="R2">
        <v>28.234243816334381</v>
      </c>
      <c r="S2">
        <v>32.004413042742179</v>
      </c>
      <c r="T2">
        <v>35.982724954630037</v>
      </c>
      <c r="U2">
        <v>39.726702004116312</v>
      </c>
      <c r="V2">
        <v>43.975964489776644</v>
      </c>
      <c r="W2">
        <v>49.244808965138233</v>
      </c>
      <c r="X2">
        <v>54.206254472785211</v>
      </c>
      <c r="Y2">
        <v>57.80975101458813</v>
      </c>
      <c r="Z2">
        <v>61.150908042663588</v>
      </c>
      <c r="AA2">
        <v>62.964671850610763</v>
      </c>
      <c r="AB2">
        <v>68.243047269389621</v>
      </c>
      <c r="AC2">
        <v>70.472784831106836</v>
      </c>
      <c r="AD2">
        <v>72.40197125400465</v>
      </c>
      <c r="AE2">
        <v>73.668418966200719</v>
      </c>
      <c r="AF2">
        <v>77.60292760823279</v>
      </c>
      <c r="AG2">
        <v>82.112148382559766</v>
      </c>
      <c r="AH2">
        <v>85.654427452175625</v>
      </c>
      <c r="AI2">
        <v>87.363624462315315</v>
      </c>
      <c r="AJ2">
        <v>90.147711984666699</v>
      </c>
      <c r="AK2">
        <v>91.297341311229445</v>
      </c>
      <c r="AL2">
        <v>97.14543015199132</v>
      </c>
      <c r="AM2">
        <v>103.0156194928302</v>
      </c>
      <c r="AN2">
        <v>108.3957151617354</v>
      </c>
      <c r="AO2">
        <v>109.3107302675426</v>
      </c>
      <c r="AP2">
        <v>113.52155257642271</v>
      </c>
      <c r="AQ2">
        <v>120.938515391743</v>
      </c>
      <c r="AR2">
        <v>127.1319296478519</v>
      </c>
      <c r="AS2">
        <v>132.90638670166231</v>
      </c>
      <c r="AT2">
        <v>140.4118988187661</v>
      </c>
      <c r="AU2">
        <v>143.61531569201361</v>
      </c>
      <c r="AV2">
        <v>146.40799646565051</v>
      </c>
      <c r="AW2">
        <v>150.45915068768201</v>
      </c>
      <c r="AX2">
        <v>156.52284047522139</v>
      </c>
      <c r="AY2">
        <v>175.97839095083791</v>
      </c>
      <c r="AZ2">
        <v>179.46352361297559</v>
      </c>
      <c r="BA2">
        <v>182.1442515646232</v>
      </c>
      <c r="BB2">
        <v>189.67170475877151</v>
      </c>
      <c r="BC2">
        <v>197.71025641025639</v>
      </c>
      <c r="BD2">
        <v>205.68693868070611</v>
      </c>
      <c r="BE2">
        <v>203.39063969425939</v>
      </c>
      <c r="BF2">
        <v>217.89114626587531</v>
      </c>
    </row>
    <row r="3" spans="1:58" ht="15" x14ac:dyDescent="0.2">
      <c r="A3" s="12" t="s">
        <v>20</v>
      </c>
      <c r="B3">
        <v>10.64216620739119</v>
      </c>
      <c r="C3">
        <v>11.953693105473221</v>
      </c>
      <c r="D3">
        <v>13.27020935825669</v>
      </c>
      <c r="E3">
        <v>14.8176410113623</v>
      </c>
      <c r="F3">
        <v>16.770804044190921</v>
      </c>
      <c r="G3">
        <v>19.717799939218619</v>
      </c>
      <c r="H3">
        <v>22.357043422547111</v>
      </c>
      <c r="I3">
        <v>26.961596276002521</v>
      </c>
      <c r="J3">
        <v>32.740297928514678</v>
      </c>
      <c r="K3">
        <v>40.098082203294858</v>
      </c>
      <c r="L3">
        <v>44.334283803287917</v>
      </c>
      <c r="M3">
        <v>49.171518137035378</v>
      </c>
      <c r="N3">
        <v>54.381386335475312</v>
      </c>
      <c r="O3">
        <v>60.086146433255401</v>
      </c>
      <c r="P3">
        <v>65.502648616833426</v>
      </c>
      <c r="Q3">
        <v>72.561178559779648</v>
      </c>
      <c r="R3">
        <v>78.850416991313878</v>
      </c>
      <c r="S3">
        <v>85.204956301420552</v>
      </c>
      <c r="T3">
        <v>90.681675400095017</v>
      </c>
      <c r="U3">
        <v>95.7264969564404</v>
      </c>
      <c r="V3">
        <v>100.1481759243035</v>
      </c>
      <c r="W3">
        <v>113.0042401464778</v>
      </c>
      <c r="X3">
        <v>118.64511710417</v>
      </c>
      <c r="Y3">
        <v>124.3335745409275</v>
      </c>
      <c r="Z3">
        <v>131.58691682680421</v>
      </c>
      <c r="AA3">
        <v>136.4621986236545</v>
      </c>
      <c r="AB3">
        <v>140.12418236924</v>
      </c>
      <c r="AC3">
        <v>142.0781036127587</v>
      </c>
      <c r="AD3">
        <v>146.61712435299219</v>
      </c>
      <c r="AE3">
        <v>147.38063091219729</v>
      </c>
      <c r="AF3">
        <v>152.6893305170984</v>
      </c>
      <c r="AG3">
        <v>157.86554093030571</v>
      </c>
      <c r="AH3">
        <v>168.62298782618041</v>
      </c>
      <c r="AI3">
        <v>166.71729384354711</v>
      </c>
      <c r="AJ3">
        <v>171.25747283202631</v>
      </c>
      <c r="AK3">
        <v>177.9146408767181</v>
      </c>
      <c r="AL3">
        <v>186.38921856510501</v>
      </c>
      <c r="AM3">
        <v>198.10179248503181</v>
      </c>
      <c r="AN3">
        <v>204.59416349118209</v>
      </c>
      <c r="AO3">
        <v>215.89703895460971</v>
      </c>
      <c r="AP3">
        <v>225.25355310649149</v>
      </c>
      <c r="AQ3">
        <v>239.93269923457899</v>
      </c>
      <c r="AR3">
        <v>247.39117861371719</v>
      </c>
      <c r="AS3">
        <v>252.6525123417567</v>
      </c>
      <c r="AT3">
        <v>262.04288646568313</v>
      </c>
      <c r="AU3">
        <v>260.51514388012203</v>
      </c>
      <c r="AV3">
        <v>266.62836280851769</v>
      </c>
      <c r="AW3">
        <v>271.52410047522062</v>
      </c>
      <c r="AX3">
        <v>276.05940700808628</v>
      </c>
      <c r="AY3">
        <v>277.41872805429148</v>
      </c>
      <c r="AZ3">
        <v>294.32352986871751</v>
      </c>
      <c r="BA3">
        <v>299.88461129103382</v>
      </c>
      <c r="BB3">
        <v>309.84822083782223</v>
      </c>
      <c r="BC3">
        <v>316.77175330724799</v>
      </c>
      <c r="BD3">
        <v>314.17492618537602</v>
      </c>
      <c r="BE3">
        <v>326.18734705107232</v>
      </c>
      <c r="BF3">
        <v>333.3415445878386</v>
      </c>
    </row>
    <row r="4" spans="1:58" ht="15" x14ac:dyDescent="0.2">
      <c r="A4" s="12" t="s">
        <v>21</v>
      </c>
      <c r="B4">
        <v>10.31298717716939</v>
      </c>
      <c r="C4">
        <v>11.60026867611491</v>
      </c>
      <c r="D4">
        <v>12.96981619185029</v>
      </c>
      <c r="E4">
        <v>14.721626394422721</v>
      </c>
      <c r="F4">
        <v>16.419399572716721</v>
      </c>
      <c r="G4">
        <v>18.753253158652289</v>
      </c>
      <c r="H4">
        <v>21.059298224967559</v>
      </c>
      <c r="I4">
        <v>24.7257908441963</v>
      </c>
      <c r="J4">
        <v>29.597820799427009</v>
      </c>
      <c r="K4">
        <v>35.416865874722639</v>
      </c>
      <c r="L4">
        <v>39.478798131645277</v>
      </c>
      <c r="M4">
        <v>44.582484969574828</v>
      </c>
      <c r="N4">
        <v>49.83736232064291</v>
      </c>
      <c r="O4">
        <v>55.340123537695497</v>
      </c>
      <c r="P4">
        <v>61.534723055282207</v>
      </c>
      <c r="Q4">
        <v>68.695138412956496</v>
      </c>
      <c r="R4">
        <v>76.37832547848393</v>
      </c>
      <c r="S4">
        <v>84.173786575994157</v>
      </c>
      <c r="T4">
        <v>90.062285259903931</v>
      </c>
      <c r="U4">
        <v>96.206133069428446</v>
      </c>
      <c r="V4">
        <v>101.58234168689999</v>
      </c>
      <c r="W4">
        <v>112.58822246428601</v>
      </c>
      <c r="X4">
        <v>120.23262986075309</v>
      </c>
      <c r="Y4">
        <v>127.26407612284051</v>
      </c>
      <c r="Z4">
        <v>134.59332869570969</v>
      </c>
      <c r="AA4">
        <v>139.67843328075099</v>
      </c>
      <c r="AB4">
        <v>143.46638356264521</v>
      </c>
      <c r="AC4">
        <v>146.42297438706129</v>
      </c>
      <c r="AD4">
        <v>152.02627802021689</v>
      </c>
      <c r="AE4">
        <v>155.80511289985409</v>
      </c>
      <c r="AF4">
        <v>162.84914650340301</v>
      </c>
      <c r="AG4">
        <v>166.34018127735641</v>
      </c>
      <c r="AH4">
        <v>171.86196319145751</v>
      </c>
      <c r="AI4">
        <v>175.10932222268329</v>
      </c>
      <c r="AJ4">
        <v>178.99854671277549</v>
      </c>
      <c r="AK4">
        <v>186.12954646013819</v>
      </c>
      <c r="AL4">
        <v>194.66272942053129</v>
      </c>
      <c r="AM4">
        <v>203.37372013238911</v>
      </c>
      <c r="AN4">
        <v>209.08860113570481</v>
      </c>
      <c r="AO4">
        <v>218.66080044124399</v>
      </c>
      <c r="AP4">
        <v>226.92328350734579</v>
      </c>
      <c r="AQ4">
        <v>240.61119601633069</v>
      </c>
      <c r="AR4">
        <v>248.03532080544221</v>
      </c>
      <c r="AS4">
        <v>256.0610673294334</v>
      </c>
      <c r="AT4">
        <v>262.59156802052479</v>
      </c>
      <c r="AU4">
        <v>264.19393490806448</v>
      </c>
      <c r="AV4">
        <v>270.42135933345958</v>
      </c>
      <c r="AW4">
        <v>272.95610949403891</v>
      </c>
      <c r="AX4">
        <v>278.91267073811389</v>
      </c>
      <c r="AY4">
        <v>286.52096449796102</v>
      </c>
      <c r="AZ4">
        <v>287.36456151846522</v>
      </c>
      <c r="BA4">
        <v>293.97477756431869</v>
      </c>
      <c r="BB4">
        <v>305.19847819435017</v>
      </c>
      <c r="BC4">
        <v>311.10504049330763</v>
      </c>
      <c r="BD4">
        <v>327.95565649550127</v>
      </c>
      <c r="BE4">
        <v>328.06869644471351</v>
      </c>
      <c r="BF4">
        <v>336.69936239670159</v>
      </c>
    </row>
    <row r="5" spans="1:58" ht="15" x14ac:dyDescent="0.2">
      <c r="A5" s="12" t="s">
        <v>22</v>
      </c>
      <c r="B5">
        <v>11.578430489454851</v>
      </c>
      <c r="C5">
        <v>12.994332119470741</v>
      </c>
      <c r="D5">
        <v>14.604468711975359</v>
      </c>
      <c r="E5">
        <v>16.579907383159298</v>
      </c>
      <c r="F5">
        <v>18.656783145694661</v>
      </c>
      <c r="G5">
        <v>21.37933917844056</v>
      </c>
      <c r="H5">
        <v>23.970373760042381</v>
      </c>
      <c r="I5">
        <v>27.73401805357857</v>
      </c>
      <c r="J5">
        <v>33.053165001512617</v>
      </c>
      <c r="K5">
        <v>39.415989962027233</v>
      </c>
      <c r="L5">
        <v>43.800474345389958</v>
      </c>
      <c r="M5">
        <v>49.329404986538371</v>
      </c>
      <c r="N5">
        <v>54.723885799888613</v>
      </c>
      <c r="O5">
        <v>60.128074624558842</v>
      </c>
      <c r="P5">
        <v>65.237130422311111</v>
      </c>
      <c r="Q5">
        <v>72.806233102884107</v>
      </c>
      <c r="R5">
        <v>81.36663875934515</v>
      </c>
      <c r="S5">
        <v>88.756503655290857</v>
      </c>
      <c r="T5">
        <v>94.018265968104643</v>
      </c>
      <c r="U5">
        <v>99.50681840527912</v>
      </c>
      <c r="V5">
        <v>103.77431114203959</v>
      </c>
      <c r="W5">
        <v>114.8677385863438</v>
      </c>
      <c r="X5">
        <v>123.0457870980697</v>
      </c>
      <c r="Y5">
        <v>129.65539790458749</v>
      </c>
      <c r="Z5">
        <v>136.0127686173775</v>
      </c>
      <c r="AA5">
        <v>142.22567293893161</v>
      </c>
      <c r="AB5">
        <v>146.13481264184099</v>
      </c>
      <c r="AC5">
        <v>149.7015153603457</v>
      </c>
      <c r="AD5">
        <v>155.14169301642639</v>
      </c>
      <c r="AE5">
        <v>159.2887034440829</v>
      </c>
      <c r="AF5">
        <v>166.9252936921896</v>
      </c>
      <c r="AG5">
        <v>169.26071762248321</v>
      </c>
      <c r="AH5">
        <v>174.4424077979281</v>
      </c>
      <c r="AI5">
        <v>179.20910777649669</v>
      </c>
      <c r="AJ5">
        <v>184.59864250368369</v>
      </c>
      <c r="AK5">
        <v>191.20660435615559</v>
      </c>
      <c r="AL5">
        <v>199.7988002332321</v>
      </c>
      <c r="AM5">
        <v>207.22356066827831</v>
      </c>
      <c r="AN5">
        <v>213.51148967279909</v>
      </c>
      <c r="AO5">
        <v>220.49601537622831</v>
      </c>
      <c r="AP5">
        <v>227.05593440778699</v>
      </c>
      <c r="AQ5">
        <v>238.42066292501491</v>
      </c>
      <c r="AR5">
        <v>247.31225108646689</v>
      </c>
      <c r="AS5">
        <v>256.32684785380911</v>
      </c>
      <c r="AT5">
        <v>263.3988228486777</v>
      </c>
      <c r="AU5">
        <v>264.6343520010405</v>
      </c>
      <c r="AV5">
        <v>271.66129681882512</v>
      </c>
      <c r="AW5">
        <v>275.58602248963291</v>
      </c>
      <c r="AX5">
        <v>281.98288755026039</v>
      </c>
      <c r="AY5">
        <v>288.79274168099448</v>
      </c>
      <c r="AZ5">
        <v>290.27159313226321</v>
      </c>
      <c r="BA5">
        <v>296.43417984258701</v>
      </c>
      <c r="BB5">
        <v>306.32276486939878</v>
      </c>
      <c r="BC5">
        <v>311.95187900233901</v>
      </c>
      <c r="BD5">
        <v>327.73115065952038</v>
      </c>
      <c r="BE5">
        <v>327.7136604764766</v>
      </c>
      <c r="BF5">
        <v>336.59787243283211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5"/>
  <sheetViews>
    <sheetView workbookViewId="0"/>
  </sheetViews>
  <sheetFormatPr defaultRowHeight="14.25" x14ac:dyDescent="0.2"/>
  <sheetData>
    <row r="1" spans="1:60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</row>
    <row r="2" spans="1:60" ht="15" x14ac:dyDescent="0.2">
      <c r="A2" s="12" t="s">
        <v>19</v>
      </c>
      <c r="AD2">
        <v>6.0751278455100623E-2</v>
      </c>
      <c r="AE2">
        <v>6.9791080598797822E-2</v>
      </c>
      <c r="AF2">
        <v>8.5026535504650211E-2</v>
      </c>
      <c r="AG2">
        <v>7.0368963218723185E-2</v>
      </c>
      <c r="AH2">
        <v>6.7863341899283891E-2</v>
      </c>
      <c r="AI2">
        <v>8.8871605851530089E-2</v>
      </c>
      <c r="AJ2">
        <v>6.2415609137284903E-2</v>
      </c>
      <c r="AK2">
        <v>5.6085129227212788E-2</v>
      </c>
      <c r="AL2">
        <v>5.9875373536920018E-2</v>
      </c>
      <c r="AM2">
        <v>6.363606750636322E-2</v>
      </c>
      <c r="AN2">
        <v>7.0909566739439128E-2</v>
      </c>
      <c r="AO2">
        <v>4.5636798684503807E-2</v>
      </c>
      <c r="AP2">
        <v>6.3955833767905576E-2</v>
      </c>
      <c r="AQ2">
        <v>5.2150346594938612E-2</v>
      </c>
      <c r="AR2">
        <v>6.6197292893944507E-2</v>
      </c>
      <c r="AS2">
        <v>7.2959481867373707E-2</v>
      </c>
      <c r="AT2">
        <v>7.4747651587580469E-2</v>
      </c>
      <c r="AU2">
        <v>7.4345659157272662E-2</v>
      </c>
      <c r="AV2">
        <v>5.5688748115677998E-2</v>
      </c>
      <c r="AW2">
        <v>6.1650529740600923E-2</v>
      </c>
      <c r="AX2">
        <v>5.8095357265835583E-2</v>
      </c>
      <c r="AY2">
        <v>5.6166674990254718E-2</v>
      </c>
      <c r="AZ2">
        <v>4.6997512258002888E-2</v>
      </c>
      <c r="BA2">
        <v>6.3610903079515668E-2</v>
      </c>
      <c r="BB2">
        <v>9.3953034813928984E-2</v>
      </c>
      <c r="BC2">
        <v>6.9468614598927739E-2</v>
      </c>
      <c r="BD2">
        <v>6.8133567609986262E-2</v>
      </c>
      <c r="BE2">
        <v>0.10072659412143981</v>
      </c>
      <c r="BF2">
        <v>6.5872729171574509E-2</v>
      </c>
    </row>
    <row r="3" spans="1:60" ht="15" x14ac:dyDescent="0.2">
      <c r="A3" s="12" t="s">
        <v>20</v>
      </c>
      <c r="AD3">
        <v>0.102035384485007</v>
      </c>
      <c r="AE3">
        <v>0.10777478538937831</v>
      </c>
      <c r="AF3">
        <v>0.118773275694326</v>
      </c>
      <c r="AG3">
        <v>0.1116450723910383</v>
      </c>
      <c r="AH3">
        <v>0.10658308421400491</v>
      </c>
      <c r="AI3">
        <v>9.6346800140179253E-2</v>
      </c>
      <c r="AJ3">
        <v>0.1108574399228473</v>
      </c>
      <c r="AK3">
        <v>8.6690043346899767E-2</v>
      </c>
      <c r="AL3">
        <v>9.3857836159856406E-2</v>
      </c>
      <c r="AM3">
        <v>9.6542730320023529E-2</v>
      </c>
      <c r="AN3">
        <v>0.10400685379172731</v>
      </c>
      <c r="AO3">
        <v>8.336590856138601E-2</v>
      </c>
      <c r="AP3">
        <v>0.1027803265946198</v>
      </c>
      <c r="AQ3">
        <v>7.4265195082944088E-2</v>
      </c>
      <c r="AR3">
        <v>9.8188280547886406E-2</v>
      </c>
      <c r="AS3">
        <v>0.1032565829165594</v>
      </c>
      <c r="AT3">
        <v>0.1076011574568646</v>
      </c>
      <c r="AU3">
        <v>0.10489537933906019</v>
      </c>
      <c r="AV3">
        <v>9.5932698225373661E-2</v>
      </c>
      <c r="AW3">
        <v>9.5640065833606333E-2</v>
      </c>
      <c r="AX3">
        <v>7.8553792998359059E-2</v>
      </c>
      <c r="AY3">
        <v>7.951903952722307E-2</v>
      </c>
      <c r="AZ3">
        <v>7.7908112001619109E-2</v>
      </c>
      <c r="BA3">
        <v>9.4663323885291153E-2</v>
      </c>
      <c r="BB3">
        <v>9.5160056337947163E-2</v>
      </c>
      <c r="BC3">
        <v>8.3019974523129411E-2</v>
      </c>
      <c r="BD3">
        <v>8.3904178108588842E-2</v>
      </c>
      <c r="BE3">
        <v>8.6398922362418765E-2</v>
      </c>
      <c r="BF3">
        <v>8.2330124439343635E-2</v>
      </c>
    </row>
    <row r="4" spans="1:60" ht="15" x14ac:dyDescent="0.2">
      <c r="A4" s="12" t="s">
        <v>21</v>
      </c>
      <c r="AD4">
        <v>8.6433792583818794E-2</v>
      </c>
      <c r="AE4">
        <v>9.4132987450373865E-2</v>
      </c>
      <c r="AF4">
        <v>9.4800995326491985E-2</v>
      </c>
      <c r="AG4">
        <v>9.7947835266626079E-2</v>
      </c>
      <c r="AH4">
        <v>9.3258046265948802E-2</v>
      </c>
      <c r="AI4">
        <v>9.0793285893797537E-2</v>
      </c>
      <c r="AJ4">
        <v>8.5624726490216685E-2</v>
      </c>
      <c r="AK4">
        <v>7.5434044296967637E-2</v>
      </c>
      <c r="AL4">
        <v>8.0025934594777609E-2</v>
      </c>
      <c r="AM4">
        <v>8.2903004269282501E-2</v>
      </c>
      <c r="AN4">
        <v>8.6110742854907801E-2</v>
      </c>
      <c r="AO4">
        <v>7.2018316688275463E-2</v>
      </c>
      <c r="AP4">
        <v>8.1504575151290268E-2</v>
      </c>
      <c r="AQ4">
        <v>6.6056070875661052E-2</v>
      </c>
      <c r="AR4">
        <v>8.0667378644048035E-2</v>
      </c>
      <c r="AS4">
        <v>9.9280284127868421E-2</v>
      </c>
      <c r="AT4">
        <v>9.7714353737833756E-2</v>
      </c>
      <c r="AU4">
        <v>8.884172601384159E-2</v>
      </c>
      <c r="AV4">
        <v>7.8334471747961723E-2</v>
      </c>
      <c r="AW4">
        <v>8.272447844061083E-2</v>
      </c>
      <c r="AX4">
        <v>8.3205545289659621E-2</v>
      </c>
      <c r="AY4">
        <v>7.8723431624619797E-2</v>
      </c>
      <c r="AZ4">
        <v>7.2903315640458585E-2</v>
      </c>
      <c r="BA4">
        <v>8.0126153925735952E-2</v>
      </c>
      <c r="BB4">
        <v>8.2995408366369344E-2</v>
      </c>
      <c r="BC4">
        <v>8.1217804055388421E-2</v>
      </c>
      <c r="BD4">
        <v>8.3883583831577457E-2</v>
      </c>
      <c r="BE4">
        <v>8.2905144289426982E-2</v>
      </c>
      <c r="BF4">
        <v>6.3548345139211967E-2</v>
      </c>
    </row>
    <row r="5" spans="1:60" ht="15" x14ac:dyDescent="0.2">
      <c r="A5" s="12" t="s">
        <v>22</v>
      </c>
      <c r="AD5">
        <v>8.9550877089963107E-2</v>
      </c>
      <c r="AE5">
        <v>9.5563277520449477E-2</v>
      </c>
      <c r="AF5">
        <v>9.3422144844389335E-2</v>
      </c>
      <c r="AG5">
        <v>9.4739861625452684E-2</v>
      </c>
      <c r="AH5">
        <v>9.1017426930124087E-2</v>
      </c>
      <c r="AI5">
        <v>8.7634851454248805E-2</v>
      </c>
      <c r="AJ5">
        <v>8.31324656857996E-2</v>
      </c>
      <c r="AK5">
        <v>7.3182358990167604E-2</v>
      </c>
      <c r="AL5">
        <v>7.8970329635728961E-2</v>
      </c>
      <c r="AM5">
        <v>8.2359984699249933E-2</v>
      </c>
      <c r="AN5">
        <v>8.5365408592179462E-2</v>
      </c>
      <c r="AO5">
        <v>7.164768631701722E-2</v>
      </c>
      <c r="AP5">
        <v>8.0769119883745397E-2</v>
      </c>
      <c r="AQ5">
        <v>6.6085403645030197E-2</v>
      </c>
      <c r="AR5">
        <v>8.1532433682366429E-2</v>
      </c>
      <c r="AS5">
        <v>9.8867346452659891E-2</v>
      </c>
      <c r="AT5">
        <v>9.819307458043397E-2</v>
      </c>
      <c r="AU5">
        <v>9.0370047907702797E-2</v>
      </c>
      <c r="AV5">
        <v>8.0607895496527068E-2</v>
      </c>
      <c r="AW5">
        <v>8.5510326075911358E-2</v>
      </c>
      <c r="AX5">
        <v>8.5661519631160227E-2</v>
      </c>
      <c r="AY5">
        <v>8.1148774908999771E-2</v>
      </c>
      <c r="AZ5">
        <v>7.5072538043346529E-2</v>
      </c>
      <c r="BA5">
        <v>8.0983121727269139E-2</v>
      </c>
      <c r="BB5">
        <v>8.2669874352733888E-2</v>
      </c>
      <c r="BC5">
        <v>8.0932535522766622E-2</v>
      </c>
      <c r="BD5">
        <v>8.4380497309303235E-2</v>
      </c>
      <c r="BE5">
        <v>8.2775737105275499E-2</v>
      </c>
      <c r="BF5">
        <v>6.3257686031677723E-2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5"/>
  <sheetViews>
    <sheetView workbookViewId="0"/>
  </sheetViews>
  <sheetFormatPr defaultRowHeight="14.25" x14ac:dyDescent="0.2"/>
  <sheetData>
    <row r="1" spans="1:30" ht="15" x14ac:dyDescent="0.2">
      <c r="A1" s="12" t="s">
        <v>9</v>
      </c>
      <c r="B1" s="12">
        <v>1994</v>
      </c>
      <c r="C1" s="12">
        <v>1995</v>
      </c>
      <c r="D1" s="12">
        <v>1996</v>
      </c>
      <c r="E1" s="12">
        <v>1997</v>
      </c>
      <c r="F1" s="12">
        <v>1998</v>
      </c>
      <c r="G1" s="12">
        <v>1999</v>
      </c>
      <c r="H1" s="12">
        <v>2000</v>
      </c>
      <c r="I1" s="12">
        <v>2001</v>
      </c>
      <c r="J1" s="12">
        <v>2002</v>
      </c>
      <c r="K1" s="12">
        <v>2003</v>
      </c>
      <c r="L1" s="12">
        <v>2004</v>
      </c>
      <c r="M1" s="12">
        <v>2005</v>
      </c>
      <c r="N1" s="12">
        <v>2006</v>
      </c>
      <c r="O1" s="12">
        <v>2007</v>
      </c>
      <c r="P1" s="12">
        <v>2008</v>
      </c>
      <c r="Q1" s="12">
        <v>2009</v>
      </c>
      <c r="R1" s="12">
        <v>2010</v>
      </c>
      <c r="S1" s="12">
        <v>2011</v>
      </c>
      <c r="T1" s="12">
        <v>2012</v>
      </c>
      <c r="U1" s="12">
        <v>2013</v>
      </c>
      <c r="V1" s="12">
        <v>2014</v>
      </c>
      <c r="W1" s="12">
        <v>2015</v>
      </c>
      <c r="X1" s="12">
        <v>2016</v>
      </c>
      <c r="Y1" s="12">
        <v>2017</v>
      </c>
      <c r="Z1" s="12">
        <v>2018</v>
      </c>
      <c r="AA1" s="12">
        <v>2019</v>
      </c>
      <c r="AB1" s="12">
        <v>2020</v>
      </c>
      <c r="AC1" s="12">
        <v>2021</v>
      </c>
      <c r="AD1" s="12">
        <v>2022</v>
      </c>
    </row>
    <row r="2" spans="1:30" ht="15" x14ac:dyDescent="0.2">
      <c r="A2" s="12" t="s">
        <v>19</v>
      </c>
      <c r="B2">
        <v>52117.794292039704</v>
      </c>
      <c r="C2">
        <v>50900.44212814769</v>
      </c>
      <c r="D2">
        <v>49681.538104409148</v>
      </c>
      <c r="E2">
        <v>48143.425846145947</v>
      </c>
      <c r="F2">
        <v>47708.980961288107</v>
      </c>
      <c r="G2">
        <v>46314.405174573993</v>
      </c>
      <c r="H2">
        <v>45117.472930700918</v>
      </c>
      <c r="I2">
        <v>44432.633434721312</v>
      </c>
      <c r="J2">
        <v>44480.111157351414</v>
      </c>
      <c r="K2">
        <v>42600.846778689513</v>
      </c>
      <c r="L2">
        <v>42241.349726294087</v>
      </c>
      <c r="M2">
        <v>40925.502707285807</v>
      </c>
      <c r="N2">
        <v>39424.937758642969</v>
      </c>
      <c r="O2">
        <v>39026.410472315998</v>
      </c>
      <c r="P2">
        <v>38328.712838456522</v>
      </c>
      <c r="Q2">
        <v>37355.830242525328</v>
      </c>
      <c r="R2">
        <v>36543.066794634011</v>
      </c>
      <c r="S2">
        <v>35879.711378147891</v>
      </c>
      <c r="T2">
        <v>35222.069013605193</v>
      </c>
      <c r="U2">
        <v>34756.945616249832</v>
      </c>
      <c r="V2">
        <v>34683.365728088524</v>
      </c>
      <c r="W2">
        <v>34775.853636767533</v>
      </c>
      <c r="X2">
        <v>33362.228708932002</v>
      </c>
      <c r="Y2">
        <v>33300.801183419033</v>
      </c>
      <c r="Z2">
        <v>32593.134130244609</v>
      </c>
      <c r="AA2">
        <v>31418.739597216481</v>
      </c>
      <c r="AB2">
        <v>31265.504829560381</v>
      </c>
      <c r="AC2">
        <v>31288.38839371736</v>
      </c>
      <c r="AD2">
        <v>30691.039578486008</v>
      </c>
    </row>
    <row r="3" spans="1:30" ht="15" x14ac:dyDescent="0.2">
      <c r="A3" s="12" t="s">
        <v>20</v>
      </c>
      <c r="B3">
        <v>41053.801847605522</v>
      </c>
      <c r="C3">
        <v>41759.501192591393</v>
      </c>
      <c r="D3">
        <v>41128.758631963137</v>
      </c>
      <c r="E3">
        <v>40942.502520230017</v>
      </c>
      <c r="F3">
        <v>40365.296247999737</v>
      </c>
      <c r="G3">
        <v>40787.837189148973</v>
      </c>
      <c r="H3">
        <v>41003.309876352527</v>
      </c>
      <c r="I3">
        <v>41301.986149763441</v>
      </c>
      <c r="J3">
        <v>41472.716944326101</v>
      </c>
      <c r="K3">
        <v>40135.482181820851</v>
      </c>
      <c r="L3">
        <v>39397.688629252269</v>
      </c>
      <c r="M3">
        <v>37857.533556337759</v>
      </c>
      <c r="N3">
        <v>36744.012924450399</v>
      </c>
      <c r="O3">
        <v>35523.213881610303</v>
      </c>
      <c r="P3">
        <v>35229.502436248127</v>
      </c>
      <c r="Q3">
        <v>33872.476736448443</v>
      </c>
      <c r="R3">
        <v>33070.653111656582</v>
      </c>
      <c r="S3">
        <v>32127.488739262</v>
      </c>
      <c r="T3">
        <v>31029.396188386629</v>
      </c>
      <c r="U3">
        <v>30326.430478595699</v>
      </c>
      <c r="V3">
        <v>29083.171579611539</v>
      </c>
      <c r="W3">
        <v>28650.367178074091</v>
      </c>
      <c r="X3">
        <v>28823.508697548401</v>
      </c>
      <c r="Y3">
        <v>29246.82638033386</v>
      </c>
      <c r="Z3">
        <v>28738.80050365657</v>
      </c>
      <c r="AA3">
        <v>28997.101750770729</v>
      </c>
      <c r="AB3">
        <v>30557.867897643391</v>
      </c>
      <c r="AC3">
        <v>30574.439721156301</v>
      </c>
      <c r="AD3">
        <v>30523.703542157411</v>
      </c>
    </row>
    <row r="4" spans="1:30" ht="15" x14ac:dyDescent="0.2">
      <c r="A4" s="12" t="s">
        <v>21</v>
      </c>
      <c r="B4">
        <v>1225407.6716346899</v>
      </c>
      <c r="C4">
        <v>1242795.650010423</v>
      </c>
      <c r="D4">
        <v>1255462.128681178</v>
      </c>
      <c r="E4">
        <v>1277006.1512992191</v>
      </c>
      <c r="F4">
        <v>1301906.022866783</v>
      </c>
      <c r="G4">
        <v>1330330.7770210169</v>
      </c>
      <c r="H4">
        <v>1356944.2055883331</v>
      </c>
      <c r="I4">
        <v>1375790.717232543</v>
      </c>
      <c r="J4">
        <v>1380125.1601723379</v>
      </c>
      <c r="K4">
        <v>1371087.367349752</v>
      </c>
      <c r="L4">
        <v>1374650.5019989919</v>
      </c>
      <c r="M4">
        <v>1386943.8634888879</v>
      </c>
      <c r="N4">
        <v>1416927.3231336239</v>
      </c>
      <c r="O4">
        <v>1442726.820881011</v>
      </c>
      <c r="P4">
        <v>1463823.9044619079</v>
      </c>
      <c r="Q4">
        <v>1412634.2523449219</v>
      </c>
      <c r="R4">
        <v>1394307.981005471</v>
      </c>
      <c r="S4">
        <v>1408259.198969559</v>
      </c>
      <c r="T4">
        <v>1395263.508549527</v>
      </c>
      <c r="U4">
        <v>1397199.949612211</v>
      </c>
      <c r="V4">
        <v>1399261.886012031</v>
      </c>
      <c r="W4">
        <v>1416234.497794796</v>
      </c>
      <c r="X4">
        <v>1446856.162158713</v>
      </c>
      <c r="Y4">
        <v>1466272.8735414259</v>
      </c>
      <c r="Z4">
        <v>1472584.544208958</v>
      </c>
      <c r="AA4">
        <v>1489320.8106558791</v>
      </c>
      <c r="AB4">
        <v>1455978.126258279</v>
      </c>
      <c r="AC4">
        <v>1519428.7963358059</v>
      </c>
      <c r="AD4">
        <v>1581749.870359126</v>
      </c>
    </row>
    <row r="5" spans="1:30" ht="15" x14ac:dyDescent="0.2">
      <c r="A5" s="12" t="s">
        <v>22</v>
      </c>
      <c r="B5">
        <v>1527969.8687936179</v>
      </c>
      <c r="C5">
        <v>1546477.3272897999</v>
      </c>
      <c r="D5">
        <v>1561291.5634721729</v>
      </c>
      <c r="E5">
        <v>1596610.2327264231</v>
      </c>
      <c r="F5">
        <v>1630908.659550451</v>
      </c>
      <c r="G5">
        <v>1664171.9164742271</v>
      </c>
      <c r="H5">
        <v>1689272.4883562331</v>
      </c>
      <c r="I5">
        <v>1715552.3211600459</v>
      </c>
      <c r="J5">
        <v>1720985.8697059471</v>
      </c>
      <c r="K5">
        <v>1719611.22747197</v>
      </c>
      <c r="L5">
        <v>1722950.178533762</v>
      </c>
      <c r="M5">
        <v>1745689.8766726409</v>
      </c>
      <c r="N5">
        <v>1789467.5303184281</v>
      </c>
      <c r="O5">
        <v>1815573.745068223</v>
      </c>
      <c r="P5">
        <v>1843060.046196965</v>
      </c>
      <c r="Q5">
        <v>1805786.238989478</v>
      </c>
      <c r="R5">
        <v>1790700.519246957</v>
      </c>
      <c r="S5">
        <v>1804084.238049804</v>
      </c>
      <c r="T5">
        <v>1787836.614196785</v>
      </c>
      <c r="U5">
        <v>1794529.656488636</v>
      </c>
      <c r="V5">
        <v>1796799.133844953</v>
      </c>
      <c r="W5">
        <v>1814378.2481548439</v>
      </c>
      <c r="X5">
        <v>1848027.0091511549</v>
      </c>
      <c r="Y5">
        <v>1868512.583610452</v>
      </c>
      <c r="Z5">
        <v>1878314.0283746789</v>
      </c>
      <c r="AA5">
        <v>1901400.2090457091</v>
      </c>
      <c r="AB5">
        <v>1862622.614658504</v>
      </c>
      <c r="AC5">
        <v>1949504.539078136</v>
      </c>
      <c r="AD5">
        <v>2016873.7862908421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"/>
  <sheetViews>
    <sheetView workbookViewId="0"/>
  </sheetViews>
  <sheetFormatPr defaultRowHeight="14.25" x14ac:dyDescent="0.2"/>
  <sheetData>
    <row r="1" spans="1:30" ht="15" x14ac:dyDescent="0.2">
      <c r="A1" s="12" t="s">
        <v>9</v>
      </c>
      <c r="B1" s="12">
        <v>1994</v>
      </c>
      <c r="C1" s="12">
        <v>1995</v>
      </c>
      <c r="D1" s="12">
        <v>1996</v>
      </c>
      <c r="E1" s="12">
        <v>1997</v>
      </c>
      <c r="F1" s="12">
        <v>1998</v>
      </c>
      <c r="G1" s="12">
        <v>1999</v>
      </c>
      <c r="H1" s="12">
        <v>2000</v>
      </c>
      <c r="I1" s="12">
        <v>2001</v>
      </c>
      <c r="J1" s="12">
        <v>2002</v>
      </c>
      <c r="K1" s="12">
        <v>2003</v>
      </c>
      <c r="L1" s="12">
        <v>2004</v>
      </c>
      <c r="M1" s="12">
        <v>2005</v>
      </c>
      <c r="N1" s="12">
        <v>2006</v>
      </c>
      <c r="O1" s="12">
        <v>2007</v>
      </c>
      <c r="P1" s="12">
        <v>2008</v>
      </c>
      <c r="Q1" s="12">
        <v>2009</v>
      </c>
      <c r="R1" s="12">
        <v>2010</v>
      </c>
      <c r="S1" s="12">
        <v>2011</v>
      </c>
      <c r="T1" s="12">
        <v>2012</v>
      </c>
      <c r="U1" s="12">
        <v>2013</v>
      </c>
      <c r="V1" s="12">
        <v>2014</v>
      </c>
      <c r="W1" s="12">
        <v>2015</v>
      </c>
      <c r="X1" s="12">
        <v>2016</v>
      </c>
      <c r="Y1" s="12">
        <v>2017</v>
      </c>
      <c r="Z1" s="12">
        <v>2018</v>
      </c>
      <c r="AA1" s="12">
        <v>2019</v>
      </c>
      <c r="AB1" s="12">
        <v>2020</v>
      </c>
      <c r="AC1" s="12">
        <v>2021</v>
      </c>
      <c r="AD1" s="12">
        <v>2022</v>
      </c>
    </row>
    <row r="2" spans="1:30" ht="15" x14ac:dyDescent="0.2">
      <c r="A2" s="12" t="s">
        <v>19</v>
      </c>
      <c r="B2">
        <v>39615.422638053751</v>
      </c>
      <c r="C2">
        <v>38703.352805387061</v>
      </c>
      <c r="D2">
        <v>37843.79517124431</v>
      </c>
      <c r="E2">
        <v>36756.849367361618</v>
      </c>
      <c r="F2">
        <v>36466.900019254979</v>
      </c>
      <c r="G2">
        <v>35429.09252350832</v>
      </c>
      <c r="H2">
        <v>34504.781153662363</v>
      </c>
      <c r="I2">
        <v>34006.559807043966</v>
      </c>
      <c r="J2">
        <v>34046.775758672957</v>
      </c>
      <c r="K2">
        <v>32626.196705495739</v>
      </c>
      <c r="L2">
        <v>32344.644358147802</v>
      </c>
      <c r="M2">
        <v>31282.764110607899</v>
      </c>
      <c r="N2">
        <v>29799.9498106227</v>
      </c>
      <c r="O2">
        <v>29463.372208429089</v>
      </c>
      <c r="P2">
        <v>28938.182080682451</v>
      </c>
      <c r="Q2">
        <v>28443.199811769638</v>
      </c>
      <c r="R2">
        <v>27834.98211357509</v>
      </c>
      <c r="S2">
        <v>27251.990931349512</v>
      </c>
      <c r="T2">
        <v>26664.952904918431</v>
      </c>
      <c r="U2">
        <v>26233.148702484381</v>
      </c>
      <c r="V2">
        <v>26206.614991905859</v>
      </c>
      <c r="W2">
        <v>26195.869839098988</v>
      </c>
      <c r="X2">
        <v>25089.115481816461</v>
      </c>
      <c r="Y2">
        <v>24975.353681414032</v>
      </c>
      <c r="Z2">
        <v>24306.915526632671</v>
      </c>
      <c r="AA2">
        <v>23237.553087005399</v>
      </c>
      <c r="AB2">
        <v>23089.685923566271</v>
      </c>
      <c r="AC2">
        <v>23204.748301831431</v>
      </c>
      <c r="AD2">
        <v>22673.606527057011</v>
      </c>
    </row>
    <row r="3" spans="1:30" ht="15" x14ac:dyDescent="0.2">
      <c r="A3" s="12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t="15" x14ac:dyDescent="0.2">
      <c r="A4" s="12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5"/>
  <sheetViews>
    <sheetView workbookViewId="0"/>
  </sheetViews>
  <sheetFormatPr defaultRowHeight="14.25" x14ac:dyDescent="0.2"/>
  <sheetData>
    <row r="1" spans="1:30" ht="15" x14ac:dyDescent="0.2">
      <c r="A1" s="12" t="s">
        <v>9</v>
      </c>
      <c r="B1" s="12">
        <v>1994</v>
      </c>
      <c r="C1" s="12">
        <v>1995</v>
      </c>
      <c r="D1" s="12">
        <v>1996</v>
      </c>
      <c r="E1" s="12">
        <v>1997</v>
      </c>
      <c r="F1" s="12">
        <v>1998</v>
      </c>
      <c r="G1" s="12">
        <v>1999</v>
      </c>
      <c r="H1" s="12">
        <v>2000</v>
      </c>
      <c r="I1" s="12">
        <v>2001</v>
      </c>
      <c r="J1" s="12">
        <v>2002</v>
      </c>
      <c r="K1" s="12">
        <v>2003</v>
      </c>
      <c r="L1" s="12">
        <v>2004</v>
      </c>
      <c r="M1" s="12">
        <v>2005</v>
      </c>
      <c r="N1" s="12">
        <v>2006</v>
      </c>
      <c r="O1" s="12">
        <v>2007</v>
      </c>
      <c r="P1" s="12">
        <v>2008</v>
      </c>
      <c r="Q1" s="12">
        <v>2009</v>
      </c>
      <c r="R1" s="12">
        <v>2010</v>
      </c>
      <c r="S1" s="12">
        <v>2011</v>
      </c>
      <c r="T1" s="12">
        <v>2012</v>
      </c>
      <c r="U1" s="12">
        <v>2013</v>
      </c>
      <c r="V1" s="12">
        <v>2014</v>
      </c>
      <c r="W1" s="12">
        <v>2015</v>
      </c>
      <c r="X1" s="12">
        <v>2016</v>
      </c>
      <c r="Y1" s="12">
        <v>2017</v>
      </c>
      <c r="Z1" s="12">
        <v>2018</v>
      </c>
      <c r="AA1" s="12">
        <v>2019</v>
      </c>
      <c r="AB1" s="12">
        <v>2020</v>
      </c>
      <c r="AC1" s="12">
        <v>2021</v>
      </c>
      <c r="AD1" s="12">
        <v>2022</v>
      </c>
    </row>
    <row r="2" spans="1:30" ht="15" x14ac:dyDescent="0.2">
      <c r="A2" s="12" t="s">
        <v>19</v>
      </c>
      <c r="B2">
        <v>0.56941209593152831</v>
      </c>
      <c r="C2">
        <v>0.62035500774430108</v>
      </c>
      <c r="D2">
        <v>0.71346775249118632</v>
      </c>
      <c r="E2">
        <v>0.65078662252107855</v>
      </c>
      <c r="F2">
        <v>0.64940883861204501</v>
      </c>
      <c r="G2">
        <v>0.76888134031430799</v>
      </c>
      <c r="H2">
        <v>0.63509004527639668</v>
      </c>
      <c r="I2">
        <v>0.60434500577790551</v>
      </c>
      <c r="J2">
        <v>0.64413311104911952</v>
      </c>
      <c r="K2">
        <v>0.68386032000607866</v>
      </c>
      <c r="L2">
        <v>0.74184556989704076</v>
      </c>
      <c r="M2">
        <v>0.59880690786581559</v>
      </c>
      <c r="N2">
        <v>0.72049479679607886</v>
      </c>
      <c r="O2">
        <v>0.67093704059332215</v>
      </c>
      <c r="P2">
        <v>0.77635833575358226</v>
      </c>
      <c r="Q2">
        <v>0.83598365107736383</v>
      </c>
      <c r="R2">
        <v>0.86793430526048398</v>
      </c>
      <c r="S2">
        <v>0.87398330905238719</v>
      </c>
      <c r="T2">
        <v>0.76017117838978787</v>
      </c>
      <c r="U2">
        <v>0.80984610972813709</v>
      </c>
      <c r="V2">
        <v>0.80380746037020168</v>
      </c>
      <c r="W2">
        <v>0.84621455014296143</v>
      </c>
      <c r="X2">
        <v>0.79660740745198011</v>
      </c>
      <c r="Y2">
        <v>0.90949966927851356</v>
      </c>
      <c r="Z2">
        <v>1.124247766496554</v>
      </c>
      <c r="AA2">
        <v>0.98676346290652617</v>
      </c>
      <c r="AB2">
        <v>1</v>
      </c>
      <c r="AC2">
        <v>1.198400336086221</v>
      </c>
      <c r="AD2">
        <v>1.0173886873445579</v>
      </c>
    </row>
    <row r="3" spans="1:30" ht="15" x14ac:dyDescent="0.2">
      <c r="A3" s="12" t="s">
        <v>20</v>
      </c>
      <c r="B3">
        <v>0.6311510304369754</v>
      </c>
      <c r="C3">
        <v>0.64443612215575696</v>
      </c>
      <c r="D3">
        <v>0.68164280228803364</v>
      </c>
      <c r="E3">
        <v>0.68202981214710978</v>
      </c>
      <c r="F3">
        <v>0.70220842689589269</v>
      </c>
      <c r="G3">
        <v>0.67554531341470292</v>
      </c>
      <c r="H3">
        <v>0.71844539928318352</v>
      </c>
      <c r="I3">
        <v>0.68647991075116099</v>
      </c>
      <c r="J3">
        <v>0.72568847284998217</v>
      </c>
      <c r="K3">
        <v>0.76404035466435627</v>
      </c>
      <c r="L3">
        <v>0.79923660967727272</v>
      </c>
      <c r="M3">
        <v>0.77670287429416041</v>
      </c>
      <c r="N3">
        <v>0.85160720069572404</v>
      </c>
      <c r="O3">
        <v>0.8120712757254791</v>
      </c>
      <c r="P3">
        <v>0.89659223820599265</v>
      </c>
      <c r="Q3">
        <v>0.92442523604351445</v>
      </c>
      <c r="R3">
        <v>0.96034766200240518</v>
      </c>
      <c r="S3">
        <v>0.94828548153376357</v>
      </c>
      <c r="T3">
        <v>0.93424129078522478</v>
      </c>
      <c r="U3">
        <v>0.94465941154147404</v>
      </c>
      <c r="V3">
        <v>0.89675589694805802</v>
      </c>
      <c r="W3">
        <v>0.90316667658401761</v>
      </c>
      <c r="X3">
        <v>0.93621211676281657</v>
      </c>
      <c r="Y3">
        <v>1.0050414923763511</v>
      </c>
      <c r="Z3">
        <v>1.029389210175087</v>
      </c>
      <c r="AA3">
        <v>1.0030240706082121</v>
      </c>
      <c r="AB3">
        <v>1</v>
      </c>
      <c r="AC3">
        <v>1.035869408802631</v>
      </c>
      <c r="AD3">
        <v>1.038686177688313</v>
      </c>
    </row>
    <row r="4" spans="1:30" ht="15" x14ac:dyDescent="0.2">
      <c r="A4" s="12" t="s">
        <v>21</v>
      </c>
      <c r="B4">
        <v>0.65065848945584659</v>
      </c>
      <c r="C4">
        <v>0.68776721232430216</v>
      </c>
      <c r="D4">
        <v>0.70530553436185417</v>
      </c>
      <c r="E4">
        <v>0.72462161972959449</v>
      </c>
      <c r="F4">
        <v>0.71885116820439199</v>
      </c>
      <c r="G4">
        <v>0.71659640788065149</v>
      </c>
      <c r="H4">
        <v>0.70572373163666136</v>
      </c>
      <c r="I4">
        <v>0.6827824122574524</v>
      </c>
      <c r="J4">
        <v>0.7183996392187797</v>
      </c>
      <c r="K4">
        <v>0.74781134922941128</v>
      </c>
      <c r="L4">
        <v>0.77227611798263929</v>
      </c>
      <c r="M4">
        <v>0.73640232773709002</v>
      </c>
      <c r="N4">
        <v>0.79081995096052826</v>
      </c>
      <c r="O4">
        <v>0.75790761191318545</v>
      </c>
      <c r="P4">
        <v>0.83148030889368763</v>
      </c>
      <c r="Q4">
        <v>0.92568894785963118</v>
      </c>
      <c r="R4">
        <v>0.93170036453106342</v>
      </c>
      <c r="S4">
        <v>0.8971171898578183</v>
      </c>
      <c r="T4">
        <v>0.86414799406851217</v>
      </c>
      <c r="U4">
        <v>0.88796288248226485</v>
      </c>
      <c r="V4">
        <v>0.90163304412235645</v>
      </c>
      <c r="W4">
        <v>0.897277304420247</v>
      </c>
      <c r="X4">
        <v>0.87428375534515612</v>
      </c>
      <c r="Y4">
        <v>0.91788668255143158</v>
      </c>
      <c r="Z4">
        <v>0.95211703530831959</v>
      </c>
      <c r="AA4">
        <v>0.95596257337624624</v>
      </c>
      <c r="AB4">
        <v>1</v>
      </c>
      <c r="AC4">
        <v>0.995973840405457</v>
      </c>
      <c r="AD4">
        <v>0.93045812589858523</v>
      </c>
    </row>
    <row r="5" spans="1:30" ht="15" x14ac:dyDescent="0.2">
      <c r="A5" s="12" t="s">
        <v>22</v>
      </c>
      <c r="B5">
        <v>0.64426936529491874</v>
      </c>
      <c r="C5">
        <v>0.67373434194325721</v>
      </c>
      <c r="D5">
        <v>0.68326909397773039</v>
      </c>
      <c r="E5">
        <v>0.6928643531228923</v>
      </c>
      <c r="F5">
        <v>0.69199507827293283</v>
      </c>
      <c r="G5">
        <v>0.69138756335343499</v>
      </c>
      <c r="H5">
        <v>0.68846436761267171</v>
      </c>
      <c r="I5">
        <v>0.67004359162403027</v>
      </c>
      <c r="J5">
        <v>0.7085810041573789</v>
      </c>
      <c r="K5">
        <v>0.73646720803538679</v>
      </c>
      <c r="L5">
        <v>0.76056081690400568</v>
      </c>
      <c r="M5">
        <v>0.72857669456877638</v>
      </c>
      <c r="N5">
        <v>0.77409188144729479</v>
      </c>
      <c r="O5">
        <v>0.74840171644507147</v>
      </c>
      <c r="P5">
        <v>0.82122481745946263</v>
      </c>
      <c r="Q5">
        <v>0.90265453843186916</v>
      </c>
      <c r="R5">
        <v>0.91516667972735477</v>
      </c>
      <c r="S5">
        <v>0.88942960798280857</v>
      </c>
      <c r="T5">
        <v>0.86843753268241952</v>
      </c>
      <c r="U5">
        <v>0.89470877684882688</v>
      </c>
      <c r="V5">
        <v>0.90871245122176303</v>
      </c>
      <c r="W5">
        <v>0.90639536023131317</v>
      </c>
      <c r="X5">
        <v>0.88728105355997067</v>
      </c>
      <c r="Y5">
        <v>0.92198246036586995</v>
      </c>
      <c r="Z5">
        <v>0.94896591190555357</v>
      </c>
      <c r="AA5">
        <v>0.95423241987896645</v>
      </c>
      <c r="AB5">
        <v>1</v>
      </c>
      <c r="AC5">
        <v>0.99393302754314683</v>
      </c>
      <c r="AD5">
        <v>0.94007068213971878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"/>
  <sheetViews>
    <sheetView workbookViewId="0"/>
  </sheetViews>
  <sheetFormatPr defaultRowHeight="14.25" x14ac:dyDescent="0.2"/>
  <sheetData>
    <row r="1" spans="1:30" ht="15" x14ac:dyDescent="0.2">
      <c r="A1" s="12" t="s">
        <v>9</v>
      </c>
      <c r="B1" s="12">
        <v>1994</v>
      </c>
      <c r="C1" s="12">
        <v>1995</v>
      </c>
      <c r="D1" s="12">
        <v>1996</v>
      </c>
      <c r="E1" s="12">
        <v>1997</v>
      </c>
      <c r="F1" s="12">
        <v>1998</v>
      </c>
      <c r="G1" s="12">
        <v>1999</v>
      </c>
      <c r="H1" s="12">
        <v>2000</v>
      </c>
      <c r="I1" s="12">
        <v>2001</v>
      </c>
      <c r="J1" s="12">
        <v>2002</v>
      </c>
      <c r="K1" s="12">
        <v>2003</v>
      </c>
      <c r="L1" s="12">
        <v>2004</v>
      </c>
      <c r="M1" s="12">
        <v>2005</v>
      </c>
      <c r="N1" s="12">
        <v>2006</v>
      </c>
      <c r="O1" s="12">
        <v>2007</v>
      </c>
      <c r="P1" s="12">
        <v>2008</v>
      </c>
      <c r="Q1" s="12">
        <v>2009</v>
      </c>
      <c r="R1" s="12">
        <v>2010</v>
      </c>
      <c r="S1" s="12">
        <v>2011</v>
      </c>
      <c r="T1" s="12">
        <v>2012</v>
      </c>
      <c r="U1" s="12">
        <v>2013</v>
      </c>
      <c r="V1" s="12">
        <v>2014</v>
      </c>
      <c r="W1" s="12">
        <v>2015</v>
      </c>
      <c r="X1" s="12">
        <v>2016</v>
      </c>
      <c r="Y1" s="12">
        <v>2017</v>
      </c>
      <c r="Z1" s="12">
        <v>2018</v>
      </c>
      <c r="AA1" s="12">
        <v>2019</v>
      </c>
      <c r="AB1" s="12">
        <v>2020</v>
      </c>
      <c r="AC1" s="12">
        <v>2021</v>
      </c>
      <c r="AD1" s="12">
        <v>2022</v>
      </c>
    </row>
    <row r="2" spans="1:30" ht="15" x14ac:dyDescent="0.2">
      <c r="A2" s="12" t="s">
        <v>19</v>
      </c>
      <c r="B2">
        <v>0.78955064801018249</v>
      </c>
      <c r="C2">
        <v>0.86603522890695961</v>
      </c>
      <c r="D2">
        <v>0.98633787657282579</v>
      </c>
      <c r="E2">
        <v>0.89070212678855909</v>
      </c>
      <c r="F2">
        <v>0.87230865693915338</v>
      </c>
      <c r="G2">
        <v>1.060214706037242</v>
      </c>
      <c r="H2">
        <v>0.89728175692673251</v>
      </c>
      <c r="I2">
        <v>0.81573363868310222</v>
      </c>
      <c r="J2">
        <v>0.85435781647850839</v>
      </c>
      <c r="K2">
        <v>0.85378232927151787</v>
      </c>
      <c r="L2">
        <v>0.92075970297318765</v>
      </c>
      <c r="M2">
        <v>0.67131069682888633</v>
      </c>
      <c r="N2">
        <v>0.8918096467143285</v>
      </c>
      <c r="O2">
        <v>0.92796617689508842</v>
      </c>
      <c r="P2">
        <v>1.17127252065956</v>
      </c>
      <c r="Q2">
        <v>1.1292170791204299</v>
      </c>
      <c r="R2">
        <v>1.026624416822616</v>
      </c>
      <c r="S2">
        <v>1.020333096530182</v>
      </c>
      <c r="T2">
        <v>0.76705998448345847</v>
      </c>
      <c r="U2">
        <v>0.81458429436009294</v>
      </c>
      <c r="V2">
        <v>0.82163462700001644</v>
      </c>
      <c r="W2">
        <v>0.86560480769108827</v>
      </c>
      <c r="X2">
        <v>0.78623652609417582</v>
      </c>
      <c r="Y2">
        <v>0.93580080725053905</v>
      </c>
      <c r="Z2">
        <v>1.185218234409293</v>
      </c>
      <c r="AA2">
        <v>0.99639825503531998</v>
      </c>
      <c r="AB2">
        <v>1</v>
      </c>
      <c r="AC2">
        <v>1.294349694822466</v>
      </c>
      <c r="AD2">
        <v>1.194389723963708</v>
      </c>
    </row>
    <row r="3" spans="1:30" ht="15" x14ac:dyDescent="0.2">
      <c r="A3" s="12" t="s">
        <v>20</v>
      </c>
      <c r="B3">
        <v>0.91204468178971665</v>
      </c>
      <c r="C3">
        <v>0.94214976048813881</v>
      </c>
      <c r="D3">
        <v>0.99038458870143398</v>
      </c>
      <c r="E3">
        <v>0.97438182514157601</v>
      </c>
      <c r="F3">
        <v>0.98142971045644656</v>
      </c>
      <c r="G3">
        <v>0.98264567786502599</v>
      </c>
      <c r="H3">
        <v>1.0548165563182039</v>
      </c>
      <c r="I3">
        <v>0.96482556928476637</v>
      </c>
      <c r="J3">
        <v>1.0033153074557579</v>
      </c>
      <c r="K3">
        <v>0.99748008360526896</v>
      </c>
      <c r="L3">
        <v>1.035665037036575</v>
      </c>
      <c r="M3">
        <v>0.93453306252389845</v>
      </c>
      <c r="N3">
        <v>1.1041384770494991</v>
      </c>
      <c r="O3">
        <v>1.166125510364949</v>
      </c>
      <c r="P3">
        <v>1.4004693898338381</v>
      </c>
      <c r="Q3">
        <v>1.300298057058749</v>
      </c>
      <c r="R3">
        <v>1.183088062947719</v>
      </c>
      <c r="S3">
        <v>1.149931762076873</v>
      </c>
      <c r="T3">
        <v>1.008434482154517</v>
      </c>
      <c r="U3">
        <v>1.0009333826510769</v>
      </c>
      <c r="V3">
        <v>0.95270531477320564</v>
      </c>
      <c r="W3">
        <v>0.94581899150140758</v>
      </c>
      <c r="X3">
        <v>0.975679676836402</v>
      </c>
      <c r="Y3">
        <v>1.070392926261865</v>
      </c>
      <c r="Z3">
        <v>1.0588538636427081</v>
      </c>
      <c r="AA3">
        <v>1.018903229312391</v>
      </c>
      <c r="AB3">
        <v>1</v>
      </c>
      <c r="AC3">
        <v>1.076447743689753</v>
      </c>
      <c r="AD3">
        <v>1.226657362745335</v>
      </c>
    </row>
    <row r="4" spans="1:30" ht="15" x14ac:dyDescent="0.2">
      <c r="A4" s="12" t="s">
        <v>21</v>
      </c>
      <c r="B4">
        <v>0.65589991746111642</v>
      </c>
      <c r="C4">
        <v>0.69353211581738783</v>
      </c>
      <c r="D4">
        <v>0.71111879486114271</v>
      </c>
      <c r="E4">
        <v>0.73016093190938736</v>
      </c>
      <c r="F4">
        <v>0.72388762498412518</v>
      </c>
      <c r="G4">
        <v>0.72246915032795611</v>
      </c>
      <c r="H4">
        <v>0.71183592848269384</v>
      </c>
      <c r="I4">
        <v>0.68772130417549571</v>
      </c>
      <c r="J4">
        <v>0.72323068038585825</v>
      </c>
      <c r="K4">
        <v>0.75157124865384128</v>
      </c>
      <c r="L4">
        <v>0.77598230919926237</v>
      </c>
      <c r="M4">
        <v>0.73846947405538799</v>
      </c>
      <c r="N4">
        <v>0.79448832056518326</v>
      </c>
      <c r="O4">
        <v>0.7634617957190869</v>
      </c>
      <c r="P4">
        <v>0.83956020352959948</v>
      </c>
      <c r="Q4">
        <v>0.93189816566742278</v>
      </c>
      <c r="R4">
        <v>0.9350429260745976</v>
      </c>
      <c r="S4">
        <v>0.89997427027636012</v>
      </c>
      <c r="T4">
        <v>0.86482614785532341</v>
      </c>
      <c r="U4">
        <v>0.88843921577672647</v>
      </c>
      <c r="V4">
        <v>0.90247473053348759</v>
      </c>
      <c r="W4">
        <v>0.89786349007243349</v>
      </c>
      <c r="X4">
        <v>0.87450514084515396</v>
      </c>
      <c r="Y4">
        <v>0.9183383772104684</v>
      </c>
      <c r="Z4">
        <v>0.95212152054116217</v>
      </c>
      <c r="AA4">
        <v>0.9559422956279644</v>
      </c>
      <c r="AB4">
        <v>1</v>
      </c>
      <c r="AC4">
        <v>0.99636431228450684</v>
      </c>
      <c r="AD4">
        <v>0.93260223269081721</v>
      </c>
    </row>
    <row r="5" spans="1:30" ht="15" x14ac:dyDescent="0.2">
      <c r="A5" s="12" t="s">
        <v>22</v>
      </c>
      <c r="B5">
        <v>0.64831934709391292</v>
      </c>
      <c r="C5">
        <v>0.6781613050058366</v>
      </c>
      <c r="D5">
        <v>0.68769376047401165</v>
      </c>
      <c r="E5">
        <v>0.69702119161462217</v>
      </c>
      <c r="F5">
        <v>0.69577508469825633</v>
      </c>
      <c r="G5">
        <v>0.69584332852246733</v>
      </c>
      <c r="H5">
        <v>0.69315252329865495</v>
      </c>
      <c r="I5">
        <v>0.67381809373999335</v>
      </c>
      <c r="J5">
        <v>0.71227712703756896</v>
      </c>
      <c r="K5">
        <v>0.7392988782140022</v>
      </c>
      <c r="L5">
        <v>0.76334433386439604</v>
      </c>
      <c r="M5">
        <v>0.73008331064406884</v>
      </c>
      <c r="N5">
        <v>0.77681478412113414</v>
      </c>
      <c r="O5">
        <v>0.75266041053343602</v>
      </c>
      <c r="P5">
        <v>0.82747329625704935</v>
      </c>
      <c r="Q5">
        <v>0.90737988319454044</v>
      </c>
      <c r="R5">
        <v>0.9176933927279004</v>
      </c>
      <c r="S5">
        <v>0.891619368026902</v>
      </c>
      <c r="T5">
        <v>0.86898565324898003</v>
      </c>
      <c r="U5">
        <v>0.89511151592723293</v>
      </c>
      <c r="V5">
        <v>0.90940090125239881</v>
      </c>
      <c r="W5">
        <v>0.90689417404496342</v>
      </c>
      <c r="X5">
        <v>0.88751190488423737</v>
      </c>
      <c r="Y5">
        <v>0.92235432645148019</v>
      </c>
      <c r="Z5">
        <v>0.94895568763377658</v>
      </c>
      <c r="AA5">
        <v>0.95420896081153805</v>
      </c>
      <c r="AB5">
        <v>1</v>
      </c>
      <c r="AC5">
        <v>0.99422850215490022</v>
      </c>
      <c r="AD5">
        <v>0.94178692525946117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0.92524061703685401</v>
      </c>
      <c r="AD2">
        <v>0.93772331925267594</v>
      </c>
      <c r="AE2">
        <v>0.98915716388160979</v>
      </c>
      <c r="AF2">
        <v>0.92829362315932262</v>
      </c>
      <c r="AG2">
        <v>0.88676803257428005</v>
      </c>
      <c r="AH2">
        <v>0.96471811407251129</v>
      </c>
      <c r="AI2">
        <v>0.87678264293500574</v>
      </c>
      <c r="AJ2">
        <v>0.8478830750213997</v>
      </c>
      <c r="AK2">
        <v>0.88567323565173595</v>
      </c>
      <c r="AL2">
        <v>0.8577493392790394</v>
      </c>
      <c r="AM2">
        <v>0.88385955085597756</v>
      </c>
      <c r="AN2">
        <v>0.79290525572565851</v>
      </c>
      <c r="AO2">
        <v>0.86489301765130522</v>
      </c>
      <c r="AP2">
        <v>0.88708999430043722</v>
      </c>
      <c r="AQ2">
        <v>1.128762391526738</v>
      </c>
      <c r="AR2">
        <v>1.070524346368493</v>
      </c>
      <c r="AS2">
        <v>0.97383911352174268</v>
      </c>
      <c r="AT2">
        <v>1.03991514781746</v>
      </c>
      <c r="AU2">
        <v>0.93485052855855255</v>
      </c>
      <c r="AV2">
        <v>0.982300491972948</v>
      </c>
      <c r="AW2">
        <v>0.91504954317869058</v>
      </c>
      <c r="AX2">
        <v>0.96403100590452584</v>
      </c>
      <c r="AY2">
        <v>0.93123881491405458</v>
      </c>
      <c r="AZ2">
        <v>0.94549996535182035</v>
      </c>
      <c r="BA2">
        <v>1.0401405811391851</v>
      </c>
      <c r="BB2">
        <v>0.9588840493371551</v>
      </c>
      <c r="BC2">
        <v>0.95011223763770458</v>
      </c>
      <c r="BD2">
        <v>1.061746839593086</v>
      </c>
      <c r="BE2">
        <v>1.2065210270041919</v>
      </c>
    </row>
    <row r="3" spans="1:57" ht="15" x14ac:dyDescent="0.2">
      <c r="A3" s="12" t="s">
        <v>20</v>
      </c>
      <c r="AC3">
        <v>0.75905109825794093</v>
      </c>
      <c r="AD3">
        <v>0.76436304602424054</v>
      </c>
      <c r="AE3">
        <v>0.79126040488637028</v>
      </c>
      <c r="AF3">
        <v>0.78702307353790313</v>
      </c>
      <c r="AG3">
        <v>0.7531525748425334</v>
      </c>
      <c r="AH3">
        <v>0.71766983926727179</v>
      </c>
      <c r="AI3">
        <v>0.77244160647428362</v>
      </c>
      <c r="AJ3">
        <v>0.79313300153360877</v>
      </c>
      <c r="AK3">
        <v>0.78741370207978345</v>
      </c>
      <c r="AL3">
        <v>0.78273830061507776</v>
      </c>
      <c r="AM3">
        <v>0.79172534213301649</v>
      </c>
      <c r="AN3">
        <v>0.78806173992946649</v>
      </c>
      <c r="AO3">
        <v>0.82780204333606122</v>
      </c>
      <c r="AP3">
        <v>0.84472724139574051</v>
      </c>
      <c r="AQ3">
        <v>0.92554371664819357</v>
      </c>
      <c r="AR3">
        <v>0.88718743218335361</v>
      </c>
      <c r="AS3">
        <v>0.93000775684119175</v>
      </c>
      <c r="AT3">
        <v>0.97672650313406695</v>
      </c>
      <c r="AU3">
        <v>1.008066588018067</v>
      </c>
      <c r="AV3">
        <v>1.013536395493261</v>
      </c>
      <c r="AW3">
        <v>0.96639152153893793</v>
      </c>
      <c r="AX3">
        <v>0.93782513721466032</v>
      </c>
      <c r="AY3">
        <v>0.93949328013322575</v>
      </c>
      <c r="AZ3">
        <v>0.98215660140613625</v>
      </c>
      <c r="BA3">
        <v>0.96966514471812171</v>
      </c>
      <c r="BB3">
        <v>0.97890270976774663</v>
      </c>
      <c r="BC3">
        <v>0.99606608900959692</v>
      </c>
      <c r="BD3">
        <v>0.99767843844670334</v>
      </c>
      <c r="BE3">
        <v>1.141472762557401</v>
      </c>
    </row>
    <row r="4" spans="1:57" ht="15" x14ac:dyDescent="0.2">
      <c r="A4" s="12" t="s">
        <v>21</v>
      </c>
      <c r="AC4">
        <v>0.7109428431021888</v>
      </c>
      <c r="AD4">
        <v>0.73427928789018904</v>
      </c>
      <c r="AE4">
        <v>0.74078329661456155</v>
      </c>
      <c r="AF4">
        <v>0.75042651371039026</v>
      </c>
      <c r="AG4">
        <v>0.74374692071809601</v>
      </c>
      <c r="AH4">
        <v>0.736280509591968</v>
      </c>
      <c r="AI4">
        <v>0.72733982224258087</v>
      </c>
      <c r="AJ4">
        <v>0.7252175175541602</v>
      </c>
      <c r="AK4">
        <v>0.74520904975542102</v>
      </c>
      <c r="AL4">
        <v>0.75454440854497995</v>
      </c>
      <c r="AM4">
        <v>0.76330344889983393</v>
      </c>
      <c r="AN4">
        <v>0.74743942946013908</v>
      </c>
      <c r="AO4">
        <v>0.7736902657667426</v>
      </c>
      <c r="AP4">
        <v>0.76861227826369438</v>
      </c>
      <c r="AQ4">
        <v>0.82967868239642628</v>
      </c>
      <c r="AR4">
        <v>0.87808036359448027</v>
      </c>
      <c r="AS4">
        <v>0.88368479815877532</v>
      </c>
      <c r="AT4">
        <v>0.87468871784662416</v>
      </c>
      <c r="AU4">
        <v>0.86521771074508291</v>
      </c>
      <c r="AV4">
        <v>0.87318058701223866</v>
      </c>
      <c r="AW4">
        <v>0.87372779634876285</v>
      </c>
      <c r="AX4">
        <v>0.8661009838556406</v>
      </c>
      <c r="AY4">
        <v>0.84180978301433673</v>
      </c>
      <c r="AZ4">
        <v>0.86318278311676577</v>
      </c>
      <c r="BA4">
        <v>0.87924675561829613</v>
      </c>
      <c r="BB4">
        <v>0.88438823852868342</v>
      </c>
      <c r="BC4">
        <v>0.90500791695418392</v>
      </c>
      <c r="BD4">
        <v>0.91607140333324555</v>
      </c>
      <c r="BE4">
        <v>0.96720873312753419</v>
      </c>
    </row>
    <row r="5" spans="1:57" ht="15" x14ac:dyDescent="0.2">
      <c r="A5" s="12" t="s">
        <v>22</v>
      </c>
      <c r="AC5">
        <v>0.70579839982424963</v>
      </c>
      <c r="AD5">
        <v>0.72574697611738026</v>
      </c>
      <c r="AE5">
        <v>0.72504734347814292</v>
      </c>
      <c r="AF5">
        <v>0.73278659833918902</v>
      </c>
      <c r="AG5">
        <v>0.73262498186357006</v>
      </c>
      <c r="AH5">
        <v>0.72823587926690192</v>
      </c>
      <c r="AI5">
        <v>0.71969739495871532</v>
      </c>
      <c r="AJ5">
        <v>0.71728542786785643</v>
      </c>
      <c r="AK5">
        <v>0.74161575453551098</v>
      </c>
      <c r="AL5">
        <v>0.75578295391267147</v>
      </c>
      <c r="AM5">
        <v>0.76583913077254162</v>
      </c>
      <c r="AN5">
        <v>0.75151286431862452</v>
      </c>
      <c r="AO5">
        <v>0.77685084093869394</v>
      </c>
      <c r="AP5">
        <v>0.77171361085076762</v>
      </c>
      <c r="AQ5">
        <v>0.82967809554611538</v>
      </c>
      <c r="AR5">
        <v>0.88275800325780529</v>
      </c>
      <c r="AS5">
        <v>0.89049335609047109</v>
      </c>
      <c r="AT5">
        <v>0.87885848503930519</v>
      </c>
      <c r="AU5">
        <v>0.87111061611794172</v>
      </c>
      <c r="AV5">
        <v>0.8824822537716851</v>
      </c>
      <c r="AW5">
        <v>0.88525133759389318</v>
      </c>
      <c r="AX5">
        <v>0.87666937513602183</v>
      </c>
      <c r="AY5">
        <v>0.85561957854898518</v>
      </c>
      <c r="AZ5">
        <v>0.87477421144070244</v>
      </c>
      <c r="BA5">
        <v>0.89001985729281807</v>
      </c>
      <c r="BB5">
        <v>0.89564472088651292</v>
      </c>
      <c r="BC5">
        <v>0.92318125396910367</v>
      </c>
      <c r="BD5">
        <v>0.93329443104424059</v>
      </c>
      <c r="BE5">
        <v>0.97364624497162144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0.45414115817527362</v>
      </c>
      <c r="AD2">
        <v>0.43400665153878248</v>
      </c>
      <c r="AE2">
        <v>0.4089435728598021</v>
      </c>
      <c r="AF2">
        <v>0.46417701199363498</v>
      </c>
      <c r="AG2">
        <v>0.46070302329925628</v>
      </c>
      <c r="AH2">
        <v>0.41038295294876742</v>
      </c>
      <c r="AI2">
        <v>0.48475434623568209</v>
      </c>
      <c r="AJ2">
        <v>0.52385072904186181</v>
      </c>
      <c r="AK2">
        <v>0.52487149967902724</v>
      </c>
      <c r="AL2">
        <v>0.53651835608550735</v>
      </c>
      <c r="AM2">
        <v>0.52412548025055505</v>
      </c>
      <c r="AN2">
        <v>0.6341698453448058</v>
      </c>
      <c r="AO2">
        <v>0.57322388965013804</v>
      </c>
      <c r="AP2">
        <v>0.60233316033998197</v>
      </c>
      <c r="AQ2">
        <v>0.5594861171002532</v>
      </c>
      <c r="AR2">
        <v>0.5600822501723588</v>
      </c>
      <c r="AS2">
        <v>0.60904473778836554</v>
      </c>
      <c r="AT2">
        <v>0.63696713874026789</v>
      </c>
      <c r="AU2">
        <v>0.73702743414861605</v>
      </c>
      <c r="AV2">
        <v>0.72774015284256799</v>
      </c>
      <c r="AW2">
        <v>0.72959801331063157</v>
      </c>
      <c r="AX2">
        <v>0.71038997440535656</v>
      </c>
      <c r="AY2">
        <v>0.73164457640536629</v>
      </c>
      <c r="AZ2">
        <v>0.69896949676304021</v>
      </c>
      <c r="BA2">
        <v>0.64431850704038218</v>
      </c>
      <c r="BB2">
        <v>0.70270545804692397</v>
      </c>
      <c r="BC2">
        <v>0.70899325882030173</v>
      </c>
      <c r="BD2">
        <v>0.66069438454272811</v>
      </c>
      <c r="BE2">
        <v>0.74293967414908924</v>
      </c>
    </row>
    <row r="3" spans="1:57" ht="15" x14ac:dyDescent="0.2">
      <c r="A3" s="12" t="s">
        <v>20</v>
      </c>
      <c r="AC3">
        <v>0.77589328955184844</v>
      </c>
      <c r="AD3">
        <v>0.76936169180743963</v>
      </c>
      <c r="AE3">
        <v>0.75248058016250807</v>
      </c>
      <c r="AF3">
        <v>0.76000867631159463</v>
      </c>
      <c r="AG3">
        <v>0.7478228339210371</v>
      </c>
      <c r="AH3">
        <v>0.74383635497476319</v>
      </c>
      <c r="AI3">
        <v>0.74402405710069974</v>
      </c>
      <c r="AJ3">
        <v>0.77245109383235677</v>
      </c>
      <c r="AK3">
        <v>0.74922433125534094</v>
      </c>
      <c r="AL3">
        <v>0.73931026727578997</v>
      </c>
      <c r="AM3">
        <v>0.74153255364541404</v>
      </c>
      <c r="AN3">
        <v>0.76885392300020949</v>
      </c>
      <c r="AO3">
        <v>0.75707102420265104</v>
      </c>
      <c r="AP3">
        <v>0.78123768005341943</v>
      </c>
      <c r="AQ3">
        <v>0.775896287790109</v>
      </c>
      <c r="AR3">
        <v>0.75450204855128766</v>
      </c>
      <c r="AS3">
        <v>0.75498555041102788</v>
      </c>
      <c r="AT3">
        <v>0.78209796006255872</v>
      </c>
      <c r="AU3">
        <v>0.79794094185026665</v>
      </c>
      <c r="AV3">
        <v>0.8054626964772521</v>
      </c>
      <c r="AW3">
        <v>0.81896213656010142</v>
      </c>
      <c r="AX3">
        <v>0.80999433038199331</v>
      </c>
      <c r="AY3">
        <v>0.80393361873247293</v>
      </c>
      <c r="AZ3">
        <v>0.80511984830574324</v>
      </c>
      <c r="BA3">
        <v>0.79749149976543121</v>
      </c>
      <c r="BB3">
        <v>0.8113412291283626</v>
      </c>
      <c r="BC3">
        <v>0.81085545037254736</v>
      </c>
      <c r="BD3">
        <v>0.81395240109498046</v>
      </c>
      <c r="BE3">
        <v>0.85757837149001492</v>
      </c>
    </row>
    <row r="4" spans="1:57" ht="15" x14ac:dyDescent="0.2">
      <c r="A4" s="12" t="s">
        <v>21</v>
      </c>
      <c r="AC4">
        <v>0.43704049977258952</v>
      </c>
      <c r="AD4">
        <v>0.43526280411465329</v>
      </c>
      <c r="AE4">
        <v>0.43699384920564771</v>
      </c>
      <c r="AF4">
        <v>0.44034542913542929</v>
      </c>
      <c r="AG4">
        <v>0.44667756849881241</v>
      </c>
      <c r="AH4">
        <v>0.45692101221555531</v>
      </c>
      <c r="AI4">
        <v>0.48385540842983998</v>
      </c>
      <c r="AJ4">
        <v>0.51024250320954823</v>
      </c>
      <c r="AK4">
        <v>0.49843252092219542</v>
      </c>
      <c r="AL4">
        <v>0.48796497074090639</v>
      </c>
      <c r="AM4">
        <v>0.48889324332328032</v>
      </c>
      <c r="AN4">
        <v>0.53552880148422255</v>
      </c>
      <c r="AO4">
        <v>0.53372850930274551</v>
      </c>
      <c r="AP4">
        <v>0.56624202950254221</v>
      </c>
      <c r="AQ4">
        <v>0.54948606719879545</v>
      </c>
      <c r="AR4">
        <v>0.48824953598928739</v>
      </c>
      <c r="AS4">
        <v>0.49779459237170193</v>
      </c>
      <c r="AT4">
        <v>0.53039755843229031</v>
      </c>
      <c r="AU4">
        <v>0.55653183767690884</v>
      </c>
      <c r="AV4">
        <v>0.5465273228654528</v>
      </c>
      <c r="AW4">
        <v>0.54776662985837354</v>
      </c>
      <c r="AX4">
        <v>0.55108943354248552</v>
      </c>
      <c r="AY4">
        <v>0.56243359613722599</v>
      </c>
      <c r="AZ4">
        <v>0.55914485148494919</v>
      </c>
      <c r="BA4">
        <v>0.55786796386496662</v>
      </c>
      <c r="BB4">
        <v>0.56199852330800459</v>
      </c>
      <c r="BC4">
        <v>0.54622088242667255</v>
      </c>
      <c r="BD4">
        <v>0.57110938213439721</v>
      </c>
      <c r="BE4">
        <v>0.63558950020188332</v>
      </c>
    </row>
    <row r="5" spans="1:57" ht="15" x14ac:dyDescent="0.2">
      <c r="A5" s="12" t="s">
        <v>22</v>
      </c>
      <c r="AC5">
        <v>0.36438664223653</v>
      </c>
      <c r="AD5">
        <v>0.3695782576762226</v>
      </c>
      <c r="AE5">
        <v>0.37797028807605759</v>
      </c>
      <c r="AF5">
        <v>0.38393620343213591</v>
      </c>
      <c r="AG5">
        <v>0.39149949995007061</v>
      </c>
      <c r="AH5">
        <v>0.40549476070253582</v>
      </c>
      <c r="AI5">
        <v>0.42922165464154399</v>
      </c>
      <c r="AJ5">
        <v>0.45310905285802328</v>
      </c>
      <c r="AK5">
        <v>0.44175933420584779</v>
      </c>
      <c r="AL5">
        <v>0.43083422464957111</v>
      </c>
      <c r="AM5">
        <v>0.4325834916070575</v>
      </c>
      <c r="AN5">
        <v>0.47643655428874448</v>
      </c>
      <c r="AO5">
        <v>0.47766379494425282</v>
      </c>
      <c r="AP5">
        <v>0.50666573436226425</v>
      </c>
      <c r="AQ5">
        <v>0.48985628026315592</v>
      </c>
      <c r="AR5">
        <v>0.43514616068474721</v>
      </c>
      <c r="AS5">
        <v>0.4404483447918246</v>
      </c>
      <c r="AT5">
        <v>0.46613933187486961</v>
      </c>
      <c r="AU5">
        <v>0.48823799924708022</v>
      </c>
      <c r="AV5">
        <v>0.47575799195860391</v>
      </c>
      <c r="AW5">
        <v>0.47922174710853171</v>
      </c>
      <c r="AX5">
        <v>0.48417517632871571</v>
      </c>
      <c r="AY5">
        <v>0.49532279585105199</v>
      </c>
      <c r="AZ5">
        <v>0.4943644152981026</v>
      </c>
      <c r="BA5">
        <v>0.49624630238708839</v>
      </c>
      <c r="BB5">
        <v>0.49903225979630628</v>
      </c>
      <c r="BC5">
        <v>0.4823801972029394</v>
      </c>
      <c r="BD5">
        <v>0.50683067899291034</v>
      </c>
      <c r="BE5">
        <v>0.56397803158700477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0.40268249124086453</v>
      </c>
      <c r="AD2">
        <v>0.42657258966924572</v>
      </c>
      <c r="AE2">
        <v>0.46227531607527772</v>
      </c>
      <c r="AF2">
        <v>0.42035187500982119</v>
      </c>
      <c r="AG2">
        <v>0.4349684462090268</v>
      </c>
      <c r="AH2">
        <v>0.47125737142205881</v>
      </c>
      <c r="AI2">
        <v>0.39840387331018501</v>
      </c>
      <c r="AJ2">
        <v>0.38901681832460178</v>
      </c>
      <c r="AK2">
        <v>0.39419657659822022</v>
      </c>
      <c r="AL2">
        <v>0.42469413958716001</v>
      </c>
      <c r="AM2">
        <v>0.44485467751010921</v>
      </c>
      <c r="AN2">
        <v>0.38291143453411258</v>
      </c>
      <c r="AO2">
        <v>0.41115853544617248</v>
      </c>
      <c r="AP2">
        <v>0.34291141183301099</v>
      </c>
      <c r="AQ2">
        <v>0.32221643850744031</v>
      </c>
      <c r="AR2">
        <v>0.36879275139520118</v>
      </c>
      <c r="AS2">
        <v>0.40684569869301002</v>
      </c>
      <c r="AT2">
        <v>0.3772560861651682</v>
      </c>
      <c r="AU2">
        <v>0.34679692877101698</v>
      </c>
      <c r="AV2">
        <v>0.35306544416134222</v>
      </c>
      <c r="AW2">
        <v>0.36460393501246979</v>
      </c>
      <c r="AX2">
        <v>0.3705961851070334</v>
      </c>
      <c r="AY2">
        <v>0.35374517472653372</v>
      </c>
      <c r="AZ2">
        <v>0.39230258767691362</v>
      </c>
      <c r="BA2">
        <v>0.45230886046370639</v>
      </c>
      <c r="BB2">
        <v>0.41599090512076148</v>
      </c>
      <c r="BC2">
        <v>0.41509092462547897</v>
      </c>
      <c r="BD2">
        <v>0.4429407744495884</v>
      </c>
      <c r="BE2">
        <v>0.30178160488228167</v>
      </c>
    </row>
    <row r="3" spans="1:57" ht="15" x14ac:dyDescent="0.2">
      <c r="A3" s="12" t="s">
        <v>20</v>
      </c>
      <c r="AC3">
        <v>0.21278476769269161</v>
      </c>
      <c r="AD3">
        <v>0.22129344369307111</v>
      </c>
      <c r="AE3">
        <v>0.234393128312713</v>
      </c>
      <c r="AF3">
        <v>0.23272978965666169</v>
      </c>
      <c r="AG3">
        <v>0.24558190862442419</v>
      </c>
      <c r="AH3">
        <v>0.25167845173564091</v>
      </c>
      <c r="AI3">
        <v>0.2488315915115977</v>
      </c>
      <c r="AJ3">
        <v>0.22388106331138649</v>
      </c>
      <c r="AK3">
        <v>0.23932901742315699</v>
      </c>
      <c r="AL3">
        <v>0.24713628083304701</v>
      </c>
      <c r="AM3">
        <v>0.24946390491043091</v>
      </c>
      <c r="AN3">
        <v>0.22678439018081589</v>
      </c>
      <c r="AO3">
        <v>0.23508113502800279</v>
      </c>
      <c r="AP3">
        <v>0.21083618649682709</v>
      </c>
      <c r="AQ3">
        <v>0.21378373534108869</v>
      </c>
      <c r="AR3">
        <v>0.236867455066155</v>
      </c>
      <c r="AS3">
        <v>0.23826280732594221</v>
      </c>
      <c r="AT3">
        <v>0.21213660414619831</v>
      </c>
      <c r="AU3">
        <v>0.19713912079680809</v>
      </c>
      <c r="AV3">
        <v>0.19154857882247531</v>
      </c>
      <c r="AW3">
        <v>0.1814325046191079</v>
      </c>
      <c r="AX3">
        <v>0.18579931175392689</v>
      </c>
      <c r="AY3">
        <v>0.19374081212953201</v>
      </c>
      <c r="AZ3">
        <v>0.19632461685821159</v>
      </c>
      <c r="BA3">
        <v>0.20214324660109459</v>
      </c>
      <c r="BB3">
        <v>0.1923451276128916</v>
      </c>
      <c r="BC3">
        <v>0.19032879635890451</v>
      </c>
      <c r="BD3">
        <v>0.19426582562111391</v>
      </c>
      <c r="BE3">
        <v>0.15994601463698341</v>
      </c>
    </row>
    <row r="4" spans="1:57" ht="15" x14ac:dyDescent="0.2">
      <c r="A4" s="12" t="s">
        <v>21</v>
      </c>
      <c r="AC4">
        <v>0.53803710725953158</v>
      </c>
      <c r="AD4">
        <v>0.54277249893952662</v>
      </c>
      <c r="AE4">
        <v>0.54449767391488657</v>
      </c>
      <c r="AF4">
        <v>0.54514814517066001</v>
      </c>
      <c r="AG4">
        <v>0.540648667224774</v>
      </c>
      <c r="AH4">
        <v>0.53388943736287886</v>
      </c>
      <c r="AI4">
        <v>0.51472209065939145</v>
      </c>
      <c r="AJ4">
        <v>0.48967863906004461</v>
      </c>
      <c r="AK4">
        <v>0.50100886953017143</v>
      </c>
      <c r="AL4">
        <v>0.51469107624607813</v>
      </c>
      <c r="AM4">
        <v>0.51761971643495663</v>
      </c>
      <c r="AN4">
        <v>0.47563889023596712</v>
      </c>
      <c r="AO4">
        <v>0.48148522454492759</v>
      </c>
      <c r="AP4">
        <v>0.45176167907508091</v>
      </c>
      <c r="AQ4">
        <v>0.46624416421056492</v>
      </c>
      <c r="AR4">
        <v>0.52280763706630207</v>
      </c>
      <c r="AS4">
        <v>0.51700253564496956</v>
      </c>
      <c r="AT4">
        <v>0.48790974904163392</v>
      </c>
      <c r="AU4">
        <v>0.4638539184143004</v>
      </c>
      <c r="AV4">
        <v>0.47465798452499669</v>
      </c>
      <c r="AW4">
        <v>0.47469086012294542</v>
      </c>
      <c r="AX4">
        <v>0.47108128853968628</v>
      </c>
      <c r="AY4">
        <v>0.46332145843182659</v>
      </c>
      <c r="AZ4">
        <v>0.46999417483903688</v>
      </c>
      <c r="BA4">
        <v>0.47362635163293437</v>
      </c>
      <c r="BB4">
        <v>0.47016469090578511</v>
      </c>
      <c r="BC4">
        <v>0.48420039257526082</v>
      </c>
      <c r="BD4">
        <v>0.46365514184949808</v>
      </c>
      <c r="BE4">
        <v>0.39780891247635553</v>
      </c>
    </row>
    <row r="5" spans="1:57" ht="15" x14ac:dyDescent="0.2">
      <c r="A5" s="12" t="s">
        <v>22</v>
      </c>
      <c r="AC5">
        <v>0.60665839854518355</v>
      </c>
      <c r="AD5">
        <v>0.60461443844354124</v>
      </c>
      <c r="AE5">
        <v>0.60104217694966788</v>
      </c>
      <c r="AF5">
        <v>0.59773262651397774</v>
      </c>
      <c r="AG5">
        <v>0.59228116067990721</v>
      </c>
      <c r="AH5">
        <v>0.58197226631270949</v>
      </c>
      <c r="AI5">
        <v>0.56659629781333998</v>
      </c>
      <c r="AJ5">
        <v>0.54384202662206504</v>
      </c>
      <c r="AK5">
        <v>0.55565787947646039</v>
      </c>
      <c r="AL5">
        <v>0.56860803390546832</v>
      </c>
      <c r="AM5">
        <v>0.57043349454180403</v>
      </c>
      <c r="AN5">
        <v>0.53009190820261431</v>
      </c>
      <c r="AO5">
        <v>0.53240519477043458</v>
      </c>
      <c r="AP5">
        <v>0.50567239490882065</v>
      </c>
      <c r="AQ5">
        <v>0.52124914456988103</v>
      </c>
      <c r="AR5">
        <v>0.57090888320924627</v>
      </c>
      <c r="AS5">
        <v>0.56899038408535085</v>
      </c>
      <c r="AT5">
        <v>0.54703304959676757</v>
      </c>
      <c r="AU5">
        <v>0.5269801724466644</v>
      </c>
      <c r="AV5">
        <v>0.53995532413764047</v>
      </c>
      <c r="AW5">
        <v>0.53815556531363284</v>
      </c>
      <c r="AX5">
        <v>0.53448327483062241</v>
      </c>
      <c r="AY5">
        <v>0.52623994533424612</v>
      </c>
      <c r="AZ5">
        <v>0.52991817216554327</v>
      </c>
      <c r="BA5">
        <v>0.53027394983868215</v>
      </c>
      <c r="BB5">
        <v>0.52777991166756455</v>
      </c>
      <c r="BC5">
        <v>0.54190396263903728</v>
      </c>
      <c r="BD5">
        <v>0.52052197196759664</v>
      </c>
      <c r="BE5">
        <v>0.46091030402263289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0.46814491498158339</v>
      </c>
      <c r="AD2">
        <v>0.50047665680628006</v>
      </c>
      <c r="AE2">
        <v>0.53647208130780244</v>
      </c>
      <c r="AF2">
        <v>0.48260999311712061</v>
      </c>
      <c r="AG2">
        <v>0.48792609193933789</v>
      </c>
      <c r="AH2">
        <v>0.547390111591884</v>
      </c>
      <c r="AI2">
        <v>0.47750690393787198</v>
      </c>
      <c r="AJ2">
        <v>0.43971520977382428</v>
      </c>
      <c r="AK2">
        <v>0.43559852406161759</v>
      </c>
      <c r="AL2">
        <v>0.43402842269770131</v>
      </c>
      <c r="AM2">
        <v>0.45109227582557498</v>
      </c>
      <c r="AN2">
        <v>0.33957618737143419</v>
      </c>
      <c r="AO2">
        <v>0.41009789376314948</v>
      </c>
      <c r="AP2">
        <v>0.39464924318841621</v>
      </c>
      <c r="AQ2">
        <v>0.41521129317146299</v>
      </c>
      <c r="AR2">
        <v>0.41510310841501469</v>
      </c>
      <c r="AS2">
        <v>0.38549419183296829</v>
      </c>
      <c r="AT2">
        <v>0.35042576950023191</v>
      </c>
      <c r="AU2">
        <v>0.26564063285737072</v>
      </c>
      <c r="AV2">
        <v>0.2685082425459509</v>
      </c>
      <c r="AW2">
        <v>0.28346259330229678</v>
      </c>
      <c r="AX2">
        <v>0.28750598628980761</v>
      </c>
      <c r="AY2">
        <v>0.26153050829104141</v>
      </c>
      <c r="AZ2">
        <v>0.30533266517469709</v>
      </c>
      <c r="BA2">
        <v>0.36129005024680011</v>
      </c>
      <c r="BB2">
        <v>0.31158126708994699</v>
      </c>
      <c r="BC2">
        <v>0.3065461162892662</v>
      </c>
      <c r="BD2">
        <v>0.3630980722929516</v>
      </c>
      <c r="BE2">
        <v>0.27463676221666278</v>
      </c>
    </row>
    <row r="3" spans="1:57" ht="15" x14ac:dyDescent="0.2">
      <c r="A3" s="12" t="s">
        <v>20</v>
      </c>
      <c r="AC3">
        <v>0.21278476769269161</v>
      </c>
      <c r="AD3">
        <v>0.22129344369307111</v>
      </c>
      <c r="AE3">
        <v>0.234393128312713</v>
      </c>
      <c r="AF3">
        <v>0.23272978965666169</v>
      </c>
      <c r="AG3">
        <v>0.24558190862442419</v>
      </c>
      <c r="AH3">
        <v>0.25167845173564091</v>
      </c>
      <c r="AI3">
        <v>0.2488315915115977</v>
      </c>
      <c r="AJ3">
        <v>0.22388106331138649</v>
      </c>
      <c r="AK3">
        <v>0.23932901742315699</v>
      </c>
      <c r="AL3">
        <v>0.24713628083304701</v>
      </c>
      <c r="AM3">
        <v>0.24946390491043091</v>
      </c>
      <c r="AN3">
        <v>0.22678439018081589</v>
      </c>
      <c r="AO3">
        <v>0.23508113502800279</v>
      </c>
      <c r="AP3">
        <v>0.21083618649682709</v>
      </c>
      <c r="AQ3">
        <v>0.21378373534108869</v>
      </c>
      <c r="AR3">
        <v>0.236867455066155</v>
      </c>
      <c r="AS3">
        <v>0.23826280732594221</v>
      </c>
      <c r="AT3">
        <v>0.21213660414619831</v>
      </c>
      <c r="AU3">
        <v>0.19713912079680809</v>
      </c>
      <c r="AV3">
        <v>0.19154857882247531</v>
      </c>
      <c r="AW3">
        <v>0.1814325046191079</v>
      </c>
      <c r="AX3">
        <v>0.18579931175392689</v>
      </c>
      <c r="AY3">
        <v>0.19374081212953201</v>
      </c>
      <c r="AZ3">
        <v>0.19632461685821159</v>
      </c>
      <c r="BA3">
        <v>0.20214324660109459</v>
      </c>
      <c r="BB3">
        <v>0.1923451276128916</v>
      </c>
      <c r="BC3">
        <v>0.19032879635890451</v>
      </c>
      <c r="BD3">
        <v>0.19426582562111391</v>
      </c>
      <c r="BE3">
        <v>0.15994601463698341</v>
      </c>
    </row>
    <row r="4" spans="1:57" ht="15" x14ac:dyDescent="0.2">
      <c r="A4" s="12" t="s">
        <v>21</v>
      </c>
      <c r="AC4">
        <v>0.53803710725953158</v>
      </c>
      <c r="AD4">
        <v>0.54277249893952662</v>
      </c>
      <c r="AE4">
        <v>0.54449767391488657</v>
      </c>
      <c r="AF4">
        <v>0.54514814517066001</v>
      </c>
      <c r="AG4">
        <v>0.540648667224774</v>
      </c>
      <c r="AH4">
        <v>0.53388943736287886</v>
      </c>
      <c r="AI4">
        <v>0.51472209065939145</v>
      </c>
      <c r="AJ4">
        <v>0.48967863906004461</v>
      </c>
      <c r="AK4">
        <v>0.50100886953017143</v>
      </c>
      <c r="AL4">
        <v>0.51469107624607813</v>
      </c>
      <c r="AM4">
        <v>0.51761971643495663</v>
      </c>
      <c r="AN4">
        <v>0.47563889023596712</v>
      </c>
      <c r="AO4">
        <v>0.48148522454492759</v>
      </c>
      <c r="AP4">
        <v>0.45176167907508091</v>
      </c>
      <c r="AQ4">
        <v>0.46624416421056492</v>
      </c>
      <c r="AR4">
        <v>0.52280763706630207</v>
      </c>
      <c r="AS4">
        <v>0.51700253564496956</v>
      </c>
      <c r="AT4">
        <v>0.48790974904163392</v>
      </c>
      <c r="AU4">
        <v>0.4638539184143004</v>
      </c>
      <c r="AV4">
        <v>0.47465798452499669</v>
      </c>
      <c r="AW4">
        <v>0.47469086012294542</v>
      </c>
      <c r="AX4">
        <v>0.47108128853968628</v>
      </c>
      <c r="AY4">
        <v>0.46332145843182659</v>
      </c>
      <c r="AZ4">
        <v>0.46999417483903688</v>
      </c>
      <c r="BA4">
        <v>0.47362635163293437</v>
      </c>
      <c r="BB4">
        <v>0.47016469090578511</v>
      </c>
      <c r="BC4">
        <v>0.48420039257526082</v>
      </c>
      <c r="BD4">
        <v>0.46365514184949808</v>
      </c>
      <c r="BE4">
        <v>0.39780891247635553</v>
      </c>
    </row>
    <row r="5" spans="1:57" ht="15" x14ac:dyDescent="0.2">
      <c r="A5" s="12" t="s">
        <v>22</v>
      </c>
      <c r="AC5">
        <v>0.60665839854518355</v>
      </c>
      <c r="AD5">
        <v>0.60461443844354124</v>
      </c>
      <c r="AE5">
        <v>0.60104217694966788</v>
      </c>
      <c r="AF5">
        <v>0.59773262651397774</v>
      </c>
      <c r="AG5">
        <v>0.59228116067990721</v>
      </c>
      <c r="AH5">
        <v>0.58197226631270949</v>
      </c>
      <c r="AI5">
        <v>0.56659629781333998</v>
      </c>
      <c r="AJ5">
        <v>0.54384202662206504</v>
      </c>
      <c r="AK5">
        <v>0.55565787947646039</v>
      </c>
      <c r="AL5">
        <v>0.56860803390546832</v>
      </c>
      <c r="AM5">
        <v>0.57043349454180403</v>
      </c>
      <c r="AN5">
        <v>0.53009190820261431</v>
      </c>
      <c r="AO5">
        <v>0.53240519477043458</v>
      </c>
      <c r="AP5">
        <v>0.50567239490882065</v>
      </c>
      <c r="AQ5">
        <v>0.52124914456988103</v>
      </c>
      <c r="AR5">
        <v>0.57090888320924627</v>
      </c>
      <c r="AS5">
        <v>0.56899038408535085</v>
      </c>
      <c r="AT5">
        <v>0.54703304959676757</v>
      </c>
      <c r="AU5">
        <v>0.5269801724466644</v>
      </c>
      <c r="AV5">
        <v>0.53995532413764047</v>
      </c>
      <c r="AW5">
        <v>0.53815556531363284</v>
      </c>
      <c r="AX5">
        <v>0.53448327483062241</v>
      </c>
      <c r="AY5">
        <v>0.52623994533424612</v>
      </c>
      <c r="AZ5">
        <v>0.52991817216554327</v>
      </c>
      <c r="BA5">
        <v>0.53027394983868215</v>
      </c>
      <c r="BB5">
        <v>0.52777991166756455</v>
      </c>
      <c r="BC5">
        <v>0.54190396263903728</v>
      </c>
      <c r="BD5">
        <v>0.52052197196759664</v>
      </c>
      <c r="BE5">
        <v>0.46091030402263289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I2"/>
  <sheetViews>
    <sheetView workbookViewId="0"/>
  </sheetViews>
  <sheetFormatPr defaultRowHeight="14.25" x14ac:dyDescent="0.2"/>
  <sheetData>
    <row r="1" spans="1:61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  <c r="BI1" s="12">
        <v>2025</v>
      </c>
    </row>
    <row r="2" spans="1:61" ht="15" x14ac:dyDescent="0.2">
      <c r="A2" s="12" t="s">
        <v>19</v>
      </c>
      <c r="AD2">
        <v>5.8735533917159141E-5</v>
      </c>
      <c r="AE2">
        <v>5.9108212446172888E-5</v>
      </c>
      <c r="AF2">
        <v>6.0816363411374143E-5</v>
      </c>
      <c r="AG2">
        <v>6.3457070998885332E-5</v>
      </c>
      <c r="AH2">
        <v>6.5073093647856524E-5</v>
      </c>
      <c r="AI2">
        <v>6.7008490223810919E-5</v>
      </c>
      <c r="AJ2">
        <v>6.6700466516528501E-5</v>
      </c>
      <c r="AK2">
        <v>6.7322393473208161E-5</v>
      </c>
      <c r="AL2">
        <v>6.7554414441552607E-5</v>
      </c>
      <c r="AM2">
        <v>6.9981800839673052E-5</v>
      </c>
      <c r="AN2">
        <v>7.0289163634822832E-5</v>
      </c>
      <c r="AO2">
        <v>7.274900619246385E-5</v>
      </c>
      <c r="AP2">
        <v>7.8479192577912959E-5</v>
      </c>
      <c r="AQ2">
        <v>7.9940849382005618E-5</v>
      </c>
      <c r="AR2">
        <v>8.0037370472768097E-5</v>
      </c>
      <c r="AS2">
        <v>8.4884999436699601E-5</v>
      </c>
      <c r="AT2">
        <v>8.602294013446592E-5</v>
      </c>
      <c r="AU2">
        <v>8.8499992755596026E-5</v>
      </c>
      <c r="AV2">
        <v>9.106470237013263E-5</v>
      </c>
      <c r="AW2">
        <v>9.2236316251691504E-5</v>
      </c>
      <c r="AX2">
        <v>9.18124679873056E-5</v>
      </c>
      <c r="AY2">
        <v>9.3053829285778833E-5</v>
      </c>
      <c r="AZ2">
        <v>9.3731124228128463E-5</v>
      </c>
      <c r="BA2">
        <v>9.4714854899547111E-5</v>
      </c>
      <c r="BB2">
        <v>9.7064804352280099E-5</v>
      </c>
      <c r="BC2">
        <v>1.008462031792175E-4</v>
      </c>
      <c r="BD2">
        <v>1.014419601788256E-4</v>
      </c>
      <c r="BE2">
        <v>9.98009101360182E-5</v>
      </c>
      <c r="BF2">
        <v>1.017502882590355E-4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2"/>
  <sheetViews>
    <sheetView workbookViewId="0"/>
  </sheetViews>
  <sheetFormatPr defaultRowHeight="14.25" x14ac:dyDescent="0.2"/>
  <sheetData>
    <row r="1" spans="1:30" ht="15" x14ac:dyDescent="0.2">
      <c r="A1" s="12" t="s">
        <v>9</v>
      </c>
      <c r="B1" s="12">
        <v>1994</v>
      </c>
      <c r="C1" s="12">
        <v>1995</v>
      </c>
      <c r="D1" s="12">
        <v>1996</v>
      </c>
      <c r="E1" s="12">
        <v>1997</v>
      </c>
      <c r="F1" s="12">
        <v>1998</v>
      </c>
      <c r="G1" s="12">
        <v>1999</v>
      </c>
      <c r="H1" s="12">
        <v>2000</v>
      </c>
      <c r="I1" s="12">
        <v>2001</v>
      </c>
      <c r="J1" s="12">
        <v>2002</v>
      </c>
      <c r="K1" s="12">
        <v>2003</v>
      </c>
      <c r="L1" s="12">
        <v>2004</v>
      </c>
      <c r="M1" s="12">
        <v>2005</v>
      </c>
      <c r="N1" s="12">
        <v>2006</v>
      </c>
      <c r="O1" s="12">
        <v>2007</v>
      </c>
      <c r="P1" s="12">
        <v>2008</v>
      </c>
      <c r="Q1" s="12">
        <v>2009</v>
      </c>
      <c r="R1" s="12">
        <v>2010</v>
      </c>
      <c r="S1" s="12">
        <v>2011</v>
      </c>
      <c r="T1" s="12">
        <v>2012</v>
      </c>
      <c r="U1" s="12">
        <v>2013</v>
      </c>
      <c r="V1" s="12">
        <v>2014</v>
      </c>
      <c r="W1" s="12">
        <v>2015</v>
      </c>
      <c r="X1" s="12">
        <v>2016</v>
      </c>
      <c r="Y1" s="12">
        <v>2017</v>
      </c>
      <c r="Z1" s="12">
        <v>2018</v>
      </c>
      <c r="AA1" s="12">
        <v>2019</v>
      </c>
      <c r="AB1" s="12">
        <v>2020</v>
      </c>
      <c r="AC1" s="12">
        <v>2021</v>
      </c>
      <c r="AD1" s="12">
        <v>2022</v>
      </c>
    </row>
    <row r="2" spans="1:30" ht="15" x14ac:dyDescent="0.2">
      <c r="A2" s="12" t="s">
        <v>19</v>
      </c>
      <c r="B2">
        <v>1.31559354467107</v>
      </c>
      <c r="C2">
        <v>1.3151429640757879</v>
      </c>
      <c r="D2">
        <v>1.3128053853900941</v>
      </c>
      <c r="E2">
        <v>1.3097810795746569</v>
      </c>
      <c r="F2">
        <v>1.3082817825506741</v>
      </c>
      <c r="G2">
        <v>1.30724220903606</v>
      </c>
      <c r="H2">
        <v>1.3075716298496829</v>
      </c>
      <c r="I2">
        <v>1.306590072234173</v>
      </c>
      <c r="J2">
        <v>1.3064412170077719</v>
      </c>
      <c r="K2">
        <v>1.3057251865190149</v>
      </c>
      <c r="L2">
        <v>1.3059766327482669</v>
      </c>
      <c r="M2">
        <v>1.308244455719566</v>
      </c>
      <c r="N2">
        <v>1.3229867167289411</v>
      </c>
      <c r="O2">
        <v>1.3245737859277029</v>
      </c>
      <c r="P2">
        <v>1.324503133320275</v>
      </c>
      <c r="Q2">
        <v>1.31334837464622</v>
      </c>
      <c r="R2">
        <v>1.312846785585394</v>
      </c>
      <c r="S2">
        <v>1.3165904637401531</v>
      </c>
      <c r="T2">
        <v>1.3209124778580941</v>
      </c>
      <c r="U2">
        <v>1.3249246596523969</v>
      </c>
      <c r="V2">
        <v>1.323458437451795</v>
      </c>
      <c r="W2">
        <v>1.327531929665583</v>
      </c>
      <c r="X2">
        <v>1.32974909909086</v>
      </c>
      <c r="Y2">
        <v>1.3333465306719789</v>
      </c>
      <c r="Z2">
        <v>1.3408996338730379</v>
      </c>
      <c r="AA2">
        <v>1.3520674693922941</v>
      </c>
      <c r="AB2">
        <v>1.3540896542750089</v>
      </c>
      <c r="AC2">
        <v>1.348361464073623</v>
      </c>
      <c r="AD2">
        <v>1.3536020192403699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5"/>
  <sheetViews>
    <sheetView workbookViewId="0"/>
  </sheetViews>
  <sheetFormatPr defaultRowHeight="14.25" x14ac:dyDescent="0.2"/>
  <sheetData>
    <row r="1" spans="1:60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</row>
    <row r="2" spans="1:60" ht="15" x14ac:dyDescent="0.2">
      <c r="A2" s="12" t="s">
        <v>19</v>
      </c>
      <c r="AD2">
        <v>2.078651415736898</v>
      </c>
      <c r="AE2">
        <v>2.1431596610380619</v>
      </c>
      <c r="AF2">
        <v>2.2249408991565098</v>
      </c>
      <c r="AG2">
        <v>2.1817657282079632</v>
      </c>
      <c r="AH2">
        <v>2.1527425271680909</v>
      </c>
      <c r="AI2">
        <v>2.2853422357785411</v>
      </c>
      <c r="AJ2">
        <v>2.1359541678069078</v>
      </c>
      <c r="AK2">
        <v>2.1053013205052582</v>
      </c>
      <c r="AL2">
        <v>2.1047163578471939</v>
      </c>
      <c r="AM2">
        <v>2.1806131315470232</v>
      </c>
      <c r="AN2">
        <v>2.2034877742089338</v>
      </c>
      <c r="AO2">
        <v>2.0601139288087529</v>
      </c>
      <c r="AP2">
        <v>2.2595280836685512</v>
      </c>
      <c r="AQ2">
        <v>2.1751952067214009</v>
      </c>
      <c r="AR2">
        <v>2.3322983741229981</v>
      </c>
      <c r="AS2">
        <v>2.4448274814222701</v>
      </c>
      <c r="AT2">
        <v>2.4529053898924418</v>
      </c>
      <c r="AU2">
        <v>2.434370478634988</v>
      </c>
      <c r="AV2">
        <v>2.286432236670811</v>
      </c>
      <c r="AW2">
        <v>2.311683226355731</v>
      </c>
      <c r="AX2">
        <v>2.237993372064691</v>
      </c>
      <c r="AY2">
        <v>2.1228886489781629</v>
      </c>
      <c r="AZ2">
        <v>2.079967899080732</v>
      </c>
      <c r="BA2">
        <v>2.1893326619380509</v>
      </c>
      <c r="BB2">
        <v>2.367755132082876</v>
      </c>
      <c r="BC2">
        <v>2.2491389931977479</v>
      </c>
      <c r="BD2">
        <v>2.1922124346000871</v>
      </c>
      <c r="BE2">
        <v>2.3325297550932631</v>
      </c>
      <c r="BF2">
        <v>2.1199641464119909</v>
      </c>
    </row>
    <row r="3" spans="1:60" ht="15" x14ac:dyDescent="0.2">
      <c r="A3" s="12" t="s">
        <v>20</v>
      </c>
      <c r="AD3">
        <v>0.9335868478115299</v>
      </c>
      <c r="AE3">
        <v>0.93881639021250829</v>
      </c>
      <c r="AF3">
        <v>0.97753754006324511</v>
      </c>
      <c r="AG3">
        <v>0.98758594676181732</v>
      </c>
      <c r="AH3">
        <v>0.9763733718636125</v>
      </c>
      <c r="AI3">
        <v>0.95140167751267901</v>
      </c>
      <c r="AJ3">
        <v>0.97609961659118072</v>
      </c>
      <c r="AK3">
        <v>0.91921148492870641</v>
      </c>
      <c r="AL3">
        <v>0.94530791382352297</v>
      </c>
      <c r="AM3">
        <v>0.98638042512642188</v>
      </c>
      <c r="AN3">
        <v>1.044732096370343</v>
      </c>
      <c r="AO3">
        <v>1.0350089953787349</v>
      </c>
      <c r="AP3">
        <v>1.1202589014981781</v>
      </c>
      <c r="AQ3">
        <v>1.036663690240373</v>
      </c>
      <c r="AR3">
        <v>1.132190289151694</v>
      </c>
      <c r="AS3">
        <v>1.223845754229534</v>
      </c>
      <c r="AT3">
        <v>1.2858096667050189</v>
      </c>
      <c r="AU3">
        <v>1.2889279829289659</v>
      </c>
      <c r="AV3">
        <v>1.278309897721422</v>
      </c>
      <c r="AW3">
        <v>1.3119600245538161</v>
      </c>
      <c r="AX3">
        <v>1.286894615060417</v>
      </c>
      <c r="AY3">
        <v>1.304916615145715</v>
      </c>
      <c r="AZ3">
        <v>1.2598012689818421</v>
      </c>
      <c r="BA3">
        <v>1.300585420210336</v>
      </c>
      <c r="BB3">
        <v>1.317469964600724</v>
      </c>
      <c r="BC3">
        <v>1.2772012761659111</v>
      </c>
      <c r="BD3">
        <v>1.232903714612251</v>
      </c>
      <c r="BE3">
        <v>1.227712069504217</v>
      </c>
      <c r="BF3">
        <v>1.210635116000143</v>
      </c>
    </row>
    <row r="4" spans="1:60" ht="15" x14ac:dyDescent="0.2">
      <c r="A4" s="12" t="s">
        <v>21</v>
      </c>
      <c r="AD4">
        <v>1.725248460563708</v>
      </c>
      <c r="AE4">
        <v>1.7334652303620861</v>
      </c>
      <c r="AF4">
        <v>1.7224795460014599</v>
      </c>
      <c r="AG4">
        <v>1.718183831999692</v>
      </c>
      <c r="AH4">
        <v>1.6816958738859451</v>
      </c>
      <c r="AI4">
        <v>1.657950641307165</v>
      </c>
      <c r="AJ4">
        <v>1.619022322131368</v>
      </c>
      <c r="AK4">
        <v>1.5668541866750529</v>
      </c>
      <c r="AL4">
        <v>1.5917460288016341</v>
      </c>
      <c r="AM4">
        <v>1.6207244572772781</v>
      </c>
      <c r="AN4">
        <v>1.6411816118764959</v>
      </c>
      <c r="AO4">
        <v>1.564298222541701</v>
      </c>
      <c r="AP4">
        <v>1.588866966562489</v>
      </c>
      <c r="AQ4">
        <v>1.494861213348488</v>
      </c>
      <c r="AR4">
        <v>1.572053804668645</v>
      </c>
      <c r="AS4">
        <v>1.7223787832161219</v>
      </c>
      <c r="AT4">
        <v>1.742568656078171</v>
      </c>
      <c r="AU4">
        <v>1.686965897154183</v>
      </c>
      <c r="AV4">
        <v>1.644774346257744</v>
      </c>
      <c r="AW4">
        <v>1.6648721733018159</v>
      </c>
      <c r="AX4">
        <v>1.663069347820318</v>
      </c>
      <c r="AY4">
        <v>1.6212716978397419</v>
      </c>
      <c r="AZ4">
        <v>1.56925180255242</v>
      </c>
      <c r="BA4">
        <v>1.597799326935212</v>
      </c>
      <c r="BB4">
        <v>1.615116656765448</v>
      </c>
      <c r="BC4">
        <v>1.607056844471052</v>
      </c>
      <c r="BD4">
        <v>1.65708277432892</v>
      </c>
      <c r="BE4">
        <v>1.6049100531296541</v>
      </c>
      <c r="BF4">
        <v>1.455277876358047</v>
      </c>
    </row>
    <row r="5" spans="1:60" ht="15" x14ac:dyDescent="0.2">
      <c r="A5" s="12" t="s">
        <v>22</v>
      </c>
      <c r="AD5">
        <v>1.583807714015983</v>
      </c>
      <c r="AE5">
        <v>1.5852988651432871</v>
      </c>
      <c r="AF5">
        <v>1.561351511768859</v>
      </c>
      <c r="AG5">
        <v>1.543636647976075</v>
      </c>
      <c r="AH5">
        <v>1.5065770751737999</v>
      </c>
      <c r="AI5">
        <v>1.4761943261506889</v>
      </c>
      <c r="AJ5">
        <v>1.4439809976884761</v>
      </c>
      <c r="AK5">
        <v>1.387839726460214</v>
      </c>
      <c r="AL5">
        <v>1.413716115069255</v>
      </c>
      <c r="AM5">
        <v>1.432827458842302</v>
      </c>
      <c r="AN5">
        <v>1.4472819885372541</v>
      </c>
      <c r="AO5">
        <v>1.369693328971916</v>
      </c>
      <c r="AP5">
        <v>1.387709017385363</v>
      </c>
      <c r="AQ5">
        <v>1.308248248463634</v>
      </c>
      <c r="AR5">
        <v>1.377364039050085</v>
      </c>
      <c r="AS5">
        <v>1.4831444605304851</v>
      </c>
      <c r="AT5">
        <v>1.494045787300645</v>
      </c>
      <c r="AU5">
        <v>1.454791353904157</v>
      </c>
      <c r="AV5">
        <v>1.419717849339045</v>
      </c>
      <c r="AW5">
        <v>1.437862580128205</v>
      </c>
      <c r="AX5">
        <v>1.436425387946175</v>
      </c>
      <c r="AY5">
        <v>1.405821172153364</v>
      </c>
      <c r="AZ5">
        <v>1.363980870294685</v>
      </c>
      <c r="BA5">
        <v>1.389893750259368</v>
      </c>
      <c r="BB5">
        <v>1.4010077664718841</v>
      </c>
      <c r="BC5">
        <v>1.3931885690383059</v>
      </c>
      <c r="BD5">
        <v>1.4396685873909889</v>
      </c>
      <c r="BE5">
        <v>1.390270543911216</v>
      </c>
      <c r="BF5">
        <v>1.2614449121289451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F5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2" t="s">
        <v>19</v>
      </c>
      <c r="AD2">
        <v>2.496290608690923E-2</v>
      </c>
      <c r="AE2">
        <v>2.4018563299653808E-2</v>
      </c>
      <c r="AF2">
        <v>2.2728750639539039E-2</v>
      </c>
      <c r="AG2">
        <v>2.3348267886515402E-2</v>
      </c>
      <c r="AH2">
        <v>2.3757763790392811E-2</v>
      </c>
      <c r="AI2">
        <v>2.1833095090220151E-2</v>
      </c>
      <c r="AJ2">
        <v>2.3974389335597729E-2</v>
      </c>
      <c r="AK2">
        <v>2.4342285040895039E-2</v>
      </c>
      <c r="AL2">
        <v>2.4349192375583389E-2</v>
      </c>
      <c r="AM2">
        <v>2.3449102401995259E-2</v>
      </c>
      <c r="AN2">
        <v>2.3172615942211022E-2</v>
      </c>
      <c r="AO2">
        <v>2.463227469670403E-2</v>
      </c>
      <c r="AP2">
        <v>2.2642113552752061E-2</v>
      </c>
      <c r="AQ2">
        <v>2.3486954330339021E-2</v>
      </c>
      <c r="AR2">
        <v>2.1936035735177779E-2</v>
      </c>
      <c r="AS2">
        <v>2.0726069120146729E-2</v>
      </c>
      <c r="AT2">
        <v>2.0635372740003328E-2</v>
      </c>
      <c r="AU2">
        <v>2.0835592311884591E-2</v>
      </c>
      <c r="AV2">
        <v>2.22826844088665E-2</v>
      </c>
      <c r="AW2">
        <v>2.2051457865905458E-2</v>
      </c>
      <c r="AX2">
        <v>2.2722762445807759E-2</v>
      </c>
      <c r="AY2">
        <v>2.370125490286645E-2</v>
      </c>
      <c r="AZ2">
        <v>2.3998196400600209E-2</v>
      </c>
      <c r="BA2">
        <v>2.3129335961047891E-2</v>
      </c>
      <c r="BB2">
        <v>2.1472653876132879E-2</v>
      </c>
      <c r="BC2">
        <v>2.2543853185602241E-2</v>
      </c>
      <c r="BD2">
        <v>2.3021443816943082E-2</v>
      </c>
      <c r="BE2">
        <v>2.1677674890496979E-2</v>
      </c>
      <c r="BF2">
        <v>2.355563317575126E-2</v>
      </c>
    </row>
    <row r="3" spans="1:58" ht="15" x14ac:dyDescent="0.2">
      <c r="A3" s="12" t="s">
        <v>20</v>
      </c>
      <c r="AD3">
        <v>2.6146995067984801E-2</v>
      </c>
      <c r="AE3">
        <v>2.6077894221366759E-2</v>
      </c>
      <c r="AF3">
        <v>2.5565342126806941E-2</v>
      </c>
      <c r="AG3">
        <v>2.5418804155934109E-2</v>
      </c>
      <c r="AH3">
        <v>2.5550439694848829E-2</v>
      </c>
      <c r="AI3">
        <v>2.5843363659588829E-2</v>
      </c>
      <c r="AJ3">
        <v>2.554965877820603E-2</v>
      </c>
      <c r="AK3">
        <v>2.6168695627685371E-2</v>
      </c>
      <c r="AL3">
        <v>2.589908986513682E-2</v>
      </c>
      <c r="AM3">
        <v>2.5466833481803119E-2</v>
      </c>
      <c r="AN3">
        <v>2.486438282404576E-2</v>
      </c>
      <c r="AO3">
        <v>2.4898598892569561E-2</v>
      </c>
      <c r="AP3">
        <v>2.4111405256021939E-2</v>
      </c>
      <c r="AQ3">
        <v>2.4808921919776059E-2</v>
      </c>
      <c r="AR3">
        <v>2.4011331392282429E-2</v>
      </c>
      <c r="AS3">
        <v>2.3176160490226881E-2</v>
      </c>
      <c r="AT3">
        <v>2.260204447395844E-2</v>
      </c>
      <c r="AU3">
        <v>2.2572710016048571E-2</v>
      </c>
      <c r="AV3">
        <v>2.2658492176498159E-2</v>
      </c>
      <c r="AW3">
        <v>2.236926369503232E-2</v>
      </c>
      <c r="AX3">
        <v>2.2541710518490628E-2</v>
      </c>
      <c r="AY3">
        <v>2.2407294641892801E-2</v>
      </c>
      <c r="AZ3">
        <v>2.2740091247926121E-2</v>
      </c>
      <c r="BA3">
        <v>2.2424362071453829E-2</v>
      </c>
      <c r="BB3">
        <v>2.2289740673795522E-2</v>
      </c>
      <c r="BC3">
        <v>2.2583263661735381E-2</v>
      </c>
      <c r="BD3">
        <v>2.289737077343168E-2</v>
      </c>
      <c r="BE3">
        <v>2.293458239796807E-2</v>
      </c>
      <c r="BF3">
        <v>2.3052867044857189E-2</v>
      </c>
    </row>
    <row r="4" spans="1:58" ht="15" x14ac:dyDescent="0.2">
      <c r="A4" s="12" t="s">
        <v>21</v>
      </c>
      <c r="AD4">
        <v>1.8791347556964121E-2</v>
      </c>
      <c r="AE4">
        <v>1.8688043418704309E-2</v>
      </c>
      <c r="AF4">
        <v>1.8795254246617359E-2</v>
      </c>
      <c r="AG4">
        <v>1.8820393765813421E-2</v>
      </c>
      <c r="AH4">
        <v>1.9177668148557162E-2</v>
      </c>
      <c r="AI4">
        <v>1.9389270979864641E-2</v>
      </c>
      <c r="AJ4">
        <v>1.9768339821510161E-2</v>
      </c>
      <c r="AK4">
        <v>2.0232863262108491E-2</v>
      </c>
      <c r="AL4">
        <v>1.9983393393569381E-2</v>
      </c>
      <c r="AM4">
        <v>1.9702973300133559E-2</v>
      </c>
      <c r="AN4">
        <v>1.9500741715709861E-2</v>
      </c>
      <c r="AO4">
        <v>2.0155435653481751E-2</v>
      </c>
      <c r="AP4">
        <v>1.994111318351828E-2</v>
      </c>
      <c r="AQ4">
        <v>2.066412748323854E-2</v>
      </c>
      <c r="AR4">
        <v>2.006704888417201E-2</v>
      </c>
      <c r="AS4">
        <v>1.8809971401673429E-2</v>
      </c>
      <c r="AT4">
        <v>1.8624237147641741E-2</v>
      </c>
      <c r="AU4">
        <v>1.9103969844479641E-2</v>
      </c>
      <c r="AV4">
        <v>1.9434184944807809E-2</v>
      </c>
      <c r="AW4">
        <v>1.9283620788686989E-2</v>
      </c>
      <c r="AX4">
        <v>1.929812143118902E-2</v>
      </c>
      <c r="AY4">
        <v>1.9611392393777349E-2</v>
      </c>
      <c r="AZ4">
        <v>1.998432012214308E-2</v>
      </c>
      <c r="BA4">
        <v>1.977810721573698E-2</v>
      </c>
      <c r="BB4">
        <v>1.9649370913040639E-2</v>
      </c>
      <c r="BC4">
        <v>1.9703704245044709E-2</v>
      </c>
      <c r="BD4">
        <v>1.9348325315677008E-2</v>
      </c>
      <c r="BE4">
        <v>1.9712975822758761E-2</v>
      </c>
      <c r="BF4">
        <v>2.068311144930856E-2</v>
      </c>
    </row>
    <row r="5" spans="1:58" ht="15" x14ac:dyDescent="0.2">
      <c r="A5" s="12" t="s">
        <v>22</v>
      </c>
      <c r="AD5">
        <v>1.961763452966889E-2</v>
      </c>
      <c r="AE5">
        <v>1.9582384190447801E-2</v>
      </c>
      <c r="AF5">
        <v>1.982463941676545E-2</v>
      </c>
      <c r="AG5">
        <v>1.999188172181603E-2</v>
      </c>
      <c r="AH5">
        <v>2.0342551057779851E-2</v>
      </c>
      <c r="AI5">
        <v>2.0613827233762861E-2</v>
      </c>
      <c r="AJ5">
        <v>2.0906191070009711E-2</v>
      </c>
      <c r="AK5">
        <v>2.1394062903638669E-2</v>
      </c>
      <c r="AL5">
        <v>2.114471760456817E-2</v>
      </c>
      <c r="AM5">
        <v>2.095963058414348E-2</v>
      </c>
      <c r="AN5">
        <v>2.081504189176402E-2</v>
      </c>
      <c r="AO5">
        <v>2.14706537442312E-2</v>
      </c>
      <c r="AP5">
        <v>2.1309581323417551E-2</v>
      </c>
      <c r="AQ5">
        <v>2.1917215336493739E-2</v>
      </c>
      <c r="AR5">
        <v>2.1379135651731721E-2</v>
      </c>
      <c r="AS5">
        <v>2.0485284918507408E-2</v>
      </c>
      <c r="AT5">
        <v>2.0383274983062361E-2</v>
      </c>
      <c r="AU5">
        <v>2.0718786766964498E-2</v>
      </c>
      <c r="AV5">
        <v>2.0992603086220869E-2</v>
      </c>
      <c r="AW5">
        <v>2.085198723468186E-2</v>
      </c>
      <c r="AX5">
        <v>2.086134919693465E-2</v>
      </c>
      <c r="AY5">
        <v>2.1090324339959849E-2</v>
      </c>
      <c r="AZ5">
        <v>2.139163284787261E-2</v>
      </c>
      <c r="BA5">
        <v>2.1202944629356131E-2</v>
      </c>
      <c r="BB5">
        <v>2.1118883572766992E-2</v>
      </c>
      <c r="BC5">
        <v>2.1171451046616632E-2</v>
      </c>
      <c r="BD5">
        <v>2.0842421262599432E-2</v>
      </c>
      <c r="BE5">
        <v>2.118841847845938E-2</v>
      </c>
      <c r="BF5">
        <v>2.2017562822948519E-2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F5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2" t="s">
        <v>19</v>
      </c>
      <c r="AD2">
        <v>-0.1150761169326681</v>
      </c>
      <c r="AE2">
        <v>-9.2774730506524739E-2</v>
      </c>
      <c r="AF2">
        <v>-0.1256185301113365</v>
      </c>
      <c r="AG2">
        <v>-7.2587451383582247E-2</v>
      </c>
      <c r="AH2">
        <v>-0.1404404150444909</v>
      </c>
      <c r="AI2">
        <v>-0.22451701106686209</v>
      </c>
      <c r="AJ2">
        <v>-6.9752495771385092E-2</v>
      </c>
      <c r="AK2">
        <v>2.7591185758851781E-2</v>
      </c>
      <c r="AL2">
        <v>-0.1005011652058069</v>
      </c>
      <c r="AM2">
        <v>-9.3769209179349167E-2</v>
      </c>
      <c r="AN2">
        <v>-9.567239984720799E-2</v>
      </c>
      <c r="AO2">
        <v>-9.7097257580541774E-2</v>
      </c>
      <c r="AP2">
        <v>-0.14725382863828229</v>
      </c>
      <c r="AQ2">
        <v>-0.1346389292859459</v>
      </c>
      <c r="AR2">
        <v>-0.26170526446990472</v>
      </c>
      <c r="AS2">
        <v>-0.24258596899506801</v>
      </c>
      <c r="AT2">
        <v>-0.12761478334605589</v>
      </c>
      <c r="AU2">
        <v>-8.0126013413154729E-2</v>
      </c>
      <c r="AV2">
        <v>0.1030375775270027</v>
      </c>
      <c r="AW2">
        <v>2.0679067165383369E-3</v>
      </c>
      <c r="AX2">
        <v>3.5285011165760993E-2</v>
      </c>
      <c r="AY2">
        <v>-8.4415637234743546E-2</v>
      </c>
      <c r="AZ2">
        <v>-4.3905895409364737E-2</v>
      </c>
      <c r="BA2">
        <v>2.0843921139502401E-2</v>
      </c>
      <c r="BB2">
        <v>-0.1095003353774139</v>
      </c>
      <c r="BC2">
        <v>4.1278073715063757E-2</v>
      </c>
      <c r="BD2">
        <v>7.4322926569206471E-2</v>
      </c>
      <c r="BE2">
        <v>-5.5838530670480953E-2</v>
      </c>
      <c r="BF2">
        <v>-9.6706166100093416E-3</v>
      </c>
    </row>
    <row r="3" spans="1:58" ht="15" x14ac:dyDescent="0.2">
      <c r="A3" s="12" t="s">
        <v>20</v>
      </c>
      <c r="AD3">
        <v>9.0350963762251268E-3</v>
      </c>
      <c r="AE3">
        <v>9.6512526260135179E-3</v>
      </c>
      <c r="AF3">
        <v>-2.4480986338367709E-3</v>
      </c>
      <c r="AG3">
        <v>1.6953187055160909E-2</v>
      </c>
      <c r="AH3">
        <v>2.3614807032970031E-3</v>
      </c>
      <c r="AI3">
        <v>1.8553578313986518E-2</v>
      </c>
      <c r="AJ3">
        <v>1.0080434593839451E-2</v>
      </c>
      <c r="AK3">
        <v>3.3563659072786127E-2</v>
      </c>
      <c r="AL3">
        <v>4.1184757124781417E-2</v>
      </c>
      <c r="AM3">
        <v>2.8304692320160418E-2</v>
      </c>
      <c r="AN3">
        <v>2.461704331305925E-2</v>
      </c>
      <c r="AO3">
        <v>3.8601959612932342E-2</v>
      </c>
      <c r="AP3">
        <v>4.291223785736431E-3</v>
      </c>
      <c r="AQ3">
        <v>1.457963489607739E-2</v>
      </c>
      <c r="AR3">
        <v>-8.8109161624415622E-3</v>
      </c>
      <c r="AS3">
        <v>-3.7750044051086951E-3</v>
      </c>
      <c r="AT3">
        <v>-1.625041532240179E-2</v>
      </c>
      <c r="AU3">
        <v>-1.8723769561204251E-2</v>
      </c>
      <c r="AV3">
        <v>-1.676148629997742E-2</v>
      </c>
      <c r="AW3">
        <v>-5.8992821875104573E-3</v>
      </c>
      <c r="AX3">
        <v>1.3701536285955161E-2</v>
      </c>
      <c r="AY3">
        <v>2.8024269301412771E-2</v>
      </c>
      <c r="AZ3">
        <v>3.1365628377848058E-2</v>
      </c>
      <c r="BA3">
        <v>-3.596250689631542E-3</v>
      </c>
      <c r="BB3">
        <v>-7.3499608004357064E-4</v>
      </c>
      <c r="BC3">
        <v>1.5220474193009309E-2</v>
      </c>
      <c r="BD3">
        <v>3.1585642404285959E-3</v>
      </c>
      <c r="BE3">
        <v>-8.522884400435915E-3</v>
      </c>
      <c r="BF3">
        <v>2.221530857627219E-3</v>
      </c>
    </row>
    <row r="4" spans="1:58" ht="15" x14ac:dyDescent="0.2">
      <c r="A4" s="12" t="s">
        <v>21</v>
      </c>
      <c r="AD4">
        <v>-7.0556880929050769E-2</v>
      </c>
      <c r="AE4">
        <v>-8.3058911475307085E-2</v>
      </c>
      <c r="AF4">
        <v>-7.7329975681227237E-2</v>
      </c>
      <c r="AG4">
        <v>-7.1646918767427792E-2</v>
      </c>
      <c r="AH4">
        <v>-6.681824026656491E-2</v>
      </c>
      <c r="AI4">
        <v>-5.0951486811585567E-2</v>
      </c>
      <c r="AJ4">
        <v>6.4469698935083466E-3</v>
      </c>
      <c r="AK4">
        <v>3.4369724198666463E-2</v>
      </c>
      <c r="AL4">
        <v>1.37799167471E-2</v>
      </c>
      <c r="AM4">
        <v>5.6554236446295647E-3</v>
      </c>
      <c r="AN4">
        <v>1.2372641595376431E-2</v>
      </c>
      <c r="AO4">
        <v>6.5155122544742206E-2</v>
      </c>
      <c r="AP4">
        <v>5.8383751035273157E-2</v>
      </c>
      <c r="AQ4">
        <v>9.5240329994384032E-2</v>
      </c>
      <c r="AR4">
        <v>6.2421456198400449E-2</v>
      </c>
      <c r="AS4">
        <v>-2.0619185647889449E-2</v>
      </c>
      <c r="AT4">
        <v>1.286654109890906E-2</v>
      </c>
      <c r="AU4">
        <v>4.6252879357389982E-2</v>
      </c>
      <c r="AV4">
        <v>8.505040746774184E-2</v>
      </c>
      <c r="AW4">
        <v>8.1712371214414548E-2</v>
      </c>
      <c r="AX4">
        <v>8.2323580142757757E-2</v>
      </c>
      <c r="AY4">
        <v>9.2585582548565082E-2</v>
      </c>
      <c r="AZ4">
        <v>0.11029431254286171</v>
      </c>
      <c r="BA4">
        <v>0.1075568508256128</v>
      </c>
      <c r="BB4">
        <v>0.10380370597580631</v>
      </c>
      <c r="BC4">
        <v>0.11385668157669419</v>
      </c>
      <c r="BD4">
        <v>0.1086333514825653</v>
      </c>
      <c r="BE4">
        <v>0.14803542425346561</v>
      </c>
      <c r="BF4">
        <v>0.2407695409015389</v>
      </c>
    </row>
    <row r="5" spans="1:58" ht="15" x14ac:dyDescent="0.2">
      <c r="A5" s="12" t="s">
        <v>22</v>
      </c>
      <c r="AD5">
        <v>-9.3836475855547108E-2</v>
      </c>
      <c r="AE5">
        <v>-0.1035439564454496</v>
      </c>
      <c r="AF5">
        <v>-8.8672165883776022E-2</v>
      </c>
      <c r="AG5">
        <v>-7.8114528817965545E-2</v>
      </c>
      <c r="AH5">
        <v>-6.9379475618405073E-2</v>
      </c>
      <c r="AI5">
        <v>-5.098803162054022E-2</v>
      </c>
      <c r="AJ5">
        <v>-1.079246260941136E-3</v>
      </c>
      <c r="AK5">
        <v>2.5747516259928771E-2</v>
      </c>
      <c r="AL5">
        <v>6.315349106927437E-3</v>
      </c>
      <c r="AM5">
        <v>-2.5821684122976358E-3</v>
      </c>
      <c r="AN5">
        <v>4.3008902845469432E-3</v>
      </c>
      <c r="AO5">
        <v>5.5271494056237991E-2</v>
      </c>
      <c r="AP5">
        <v>4.9640022413071971E-2</v>
      </c>
      <c r="AQ5">
        <v>8.6021580839619194E-2</v>
      </c>
      <c r="AR5">
        <v>5.4585117238189262E-2</v>
      </c>
      <c r="AS5">
        <v>-2.1426472903907531E-2</v>
      </c>
      <c r="AT5">
        <v>5.205792250014829E-3</v>
      </c>
      <c r="AU5">
        <v>3.3645184382128823E-2</v>
      </c>
      <c r="AV5">
        <v>6.6643510545107976E-2</v>
      </c>
      <c r="AW5">
        <v>6.0010657720791949E-2</v>
      </c>
      <c r="AX5">
        <v>5.9959758670055978E-2</v>
      </c>
      <c r="AY5">
        <v>7.2233047375472426E-2</v>
      </c>
      <c r="AZ5">
        <v>8.7886536871168763E-2</v>
      </c>
      <c r="BA5">
        <v>8.6031490424536283E-2</v>
      </c>
      <c r="BB5">
        <v>8.5960814332465274E-2</v>
      </c>
      <c r="BC5">
        <v>9.2598201500615041E-2</v>
      </c>
      <c r="BD5">
        <v>8.4975343807544457E-2</v>
      </c>
      <c r="BE5">
        <v>0.1231782907985792</v>
      </c>
      <c r="BF5">
        <v>0.21180821773028599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F5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2" t="s">
        <v>19</v>
      </c>
      <c r="B2">
        <v>9.836609815292734E-3</v>
      </c>
      <c r="C2">
        <v>1.101073611754138E-2</v>
      </c>
      <c r="D2">
        <v>1.1489783967550821E-2</v>
      </c>
      <c r="E2">
        <v>1.0678425894325921E-2</v>
      </c>
      <c r="F2">
        <v>1.347451647851094E-2</v>
      </c>
      <c r="G2">
        <v>1.408149196439263E-2</v>
      </c>
      <c r="H2">
        <v>1.214688022750926E-2</v>
      </c>
      <c r="I2">
        <v>1.0075703602080731E-2</v>
      </c>
      <c r="J2">
        <v>7.5624166848778816E-3</v>
      </c>
      <c r="K2">
        <v>1.07186635031349E-2</v>
      </c>
      <c r="L2">
        <v>7.1171764902959733E-3</v>
      </c>
      <c r="M2">
        <v>6.7690496191153138E-3</v>
      </c>
      <c r="N2">
        <v>4.317485708908702E-3</v>
      </c>
      <c r="O2">
        <v>1.778473108507525E-3</v>
      </c>
      <c r="P2">
        <v>-8.5908138778861961E-4</v>
      </c>
      <c r="Q2">
        <v>-6.4655789828896668E-3</v>
      </c>
      <c r="R2">
        <v>-7.4468398849871654E-3</v>
      </c>
      <c r="S2">
        <v>-1.1902928252566621E-2</v>
      </c>
      <c r="T2">
        <v>-9.1064575450667175E-3</v>
      </c>
      <c r="U2">
        <v>-8.8610173534530868E-3</v>
      </c>
      <c r="V2">
        <v>-7.671288894478428E-3</v>
      </c>
      <c r="W2">
        <v>-4.4931209857877498E-3</v>
      </c>
      <c r="X2">
        <v>-1.141193045631413E-2</v>
      </c>
      <c r="Y2">
        <v>-1.009193675646752E-2</v>
      </c>
      <c r="Z2">
        <v>-9.7470632676624966E-3</v>
      </c>
      <c r="AA2">
        <v>-9.7604473151175243E-3</v>
      </c>
      <c r="AB2">
        <v>-1.43471827654404E-2</v>
      </c>
      <c r="AC2">
        <v>-1.1941626813905371E-2</v>
      </c>
      <c r="AD2">
        <v>-2.182871292925891E-2</v>
      </c>
      <c r="AE2">
        <v>-1.7724658112442591E-2</v>
      </c>
      <c r="AF2">
        <v>-2.0695481848170261E-2</v>
      </c>
      <c r="AG2">
        <v>-1.6487847636897729E-2</v>
      </c>
      <c r="AH2">
        <v>-1.3527876569728901E-2</v>
      </c>
      <c r="AI2">
        <v>-1.737055070450878E-2</v>
      </c>
      <c r="AJ2">
        <v>-1.6116938178223541E-2</v>
      </c>
      <c r="AK2">
        <v>-1.6177156700247979E-2</v>
      </c>
      <c r="AL2">
        <v>-1.9762848444006879E-2</v>
      </c>
      <c r="AM2">
        <v>-2.851477222334825E-2</v>
      </c>
      <c r="AN2">
        <v>-2.7201369169763141E-2</v>
      </c>
      <c r="AO2">
        <v>3.3833808020234742E-3</v>
      </c>
      <c r="AP2">
        <v>-8.4181600051782598E-3</v>
      </c>
      <c r="AQ2">
        <v>-6.4770349966612756E-3</v>
      </c>
      <c r="AR2">
        <v>3.2541545400961258E-3</v>
      </c>
      <c r="AS2">
        <v>-1.819385984930592E-2</v>
      </c>
      <c r="AT2">
        <v>-5.8126418167744054E-3</v>
      </c>
      <c r="AU2">
        <v>-8.6100223711375306E-3</v>
      </c>
      <c r="AV2">
        <v>-1.7678809164752389E-3</v>
      </c>
      <c r="AW2">
        <v>-6.5131436731978524E-3</v>
      </c>
      <c r="AX2">
        <v>-9.292329430104487E-3</v>
      </c>
      <c r="AY2">
        <v>-1.65451958951696E-2</v>
      </c>
      <c r="AZ2">
        <v>-1.0091901822555959E-2</v>
      </c>
      <c r="BA2">
        <v>-9.442514974490895E-3</v>
      </c>
      <c r="BB2">
        <v>-1.5874047056527851E-2</v>
      </c>
      <c r="BC2">
        <v>-1.330920422443602E-2</v>
      </c>
      <c r="BD2">
        <v>-2.030646039906521E-2</v>
      </c>
      <c r="BE2">
        <v>-2.403345559581643E-2</v>
      </c>
      <c r="BF2">
        <v>-1.617801987124973E-2</v>
      </c>
    </row>
    <row r="3" spans="1:58" ht="15" x14ac:dyDescent="0.2">
      <c r="A3" s="12" t="s">
        <v>20</v>
      </c>
      <c r="B3">
        <v>3.6971097449674451E-4</v>
      </c>
      <c r="C3">
        <v>4.6914054989425101E-4</v>
      </c>
      <c r="D3">
        <v>5.7042192569069922E-4</v>
      </c>
      <c r="E3">
        <v>4.9929566599138777E-4</v>
      </c>
      <c r="F3">
        <v>6.0865957803306098E-4</v>
      </c>
      <c r="G3">
        <v>6.6850955762583924E-4</v>
      </c>
      <c r="H3">
        <v>6.2300433499081495E-4</v>
      </c>
      <c r="I3">
        <v>6.1645208001101048E-4</v>
      </c>
      <c r="J3">
        <v>-2.29503814817404E-3</v>
      </c>
      <c r="K3">
        <v>4.8676768825782859E-4</v>
      </c>
      <c r="L3">
        <v>-6.983719988982981E-4</v>
      </c>
      <c r="M3">
        <v>-6.717805799932151E-4</v>
      </c>
      <c r="N3">
        <v>-7.7286768504165491E-4</v>
      </c>
      <c r="O3">
        <v>-1.7956966641572991E-3</v>
      </c>
      <c r="P3">
        <v>-2.7560728649118132E-3</v>
      </c>
      <c r="Q3">
        <v>-2.2482009107033089E-3</v>
      </c>
      <c r="R3">
        <v>-2.3267983590216611E-3</v>
      </c>
      <c r="S3">
        <v>-3.2078484216862542E-3</v>
      </c>
      <c r="T3">
        <v>-2.3237286778292148E-3</v>
      </c>
      <c r="U3">
        <v>-1.4686185531218299E-3</v>
      </c>
      <c r="V3">
        <v>-1.0278342704470231E-3</v>
      </c>
      <c r="W3">
        <v>-3.6291046768414768E-4</v>
      </c>
      <c r="X3">
        <v>-4.3589682370636859E-3</v>
      </c>
      <c r="Y3">
        <v>-5.3999920021497068E-3</v>
      </c>
      <c r="Z3">
        <v>-4.8841710104031016E-3</v>
      </c>
      <c r="AA3">
        <v>-3.6639207803686779E-3</v>
      </c>
      <c r="AB3">
        <v>-9.8839464457488833E-3</v>
      </c>
      <c r="AC3">
        <v>-5.2241545159983794E-3</v>
      </c>
      <c r="AD3">
        <v>-6.2216068309577273E-3</v>
      </c>
      <c r="AE3">
        <v>-4.1188068824273933E-3</v>
      </c>
      <c r="AF3">
        <v>-4.6475990748502507E-3</v>
      </c>
      <c r="AG3">
        <v>-2.9108785470643109E-3</v>
      </c>
      <c r="AH3">
        <v>-1.2037650756194329E-3</v>
      </c>
      <c r="AI3">
        <v>-3.9389257031713842E-4</v>
      </c>
      <c r="AJ3">
        <v>4.4346782196543727E-5</v>
      </c>
      <c r="AK3">
        <v>-6.5092919484374727E-5</v>
      </c>
      <c r="AL3">
        <v>4.1169577607569319E-4</v>
      </c>
      <c r="AM3">
        <v>-3.6625352320866252E-4</v>
      </c>
      <c r="AN3">
        <v>-5.8862540674198347E-4</v>
      </c>
      <c r="AO3">
        <v>-1.777198684085362E-4</v>
      </c>
      <c r="AP3">
        <v>7.8099854627878477E-4</v>
      </c>
      <c r="AQ3">
        <v>4.0504779045653994E-3</v>
      </c>
      <c r="AR3">
        <v>4.8448433380127833E-3</v>
      </c>
      <c r="AS3">
        <v>2.8710353955886951E-3</v>
      </c>
      <c r="AT3">
        <v>1.0130423433119191E-3</v>
      </c>
      <c r="AU3">
        <v>1.3831387072705979E-3</v>
      </c>
      <c r="AV3">
        <v>1.602717167401356E-3</v>
      </c>
      <c r="AW3">
        <v>1.525949533081192E-3</v>
      </c>
      <c r="AX3">
        <v>2.204479743370103E-3</v>
      </c>
      <c r="AY3">
        <v>2.9296401355315819E-3</v>
      </c>
      <c r="AZ3">
        <v>3.2627853744707442E-3</v>
      </c>
      <c r="BA3">
        <v>3.115715064891974E-3</v>
      </c>
      <c r="BB3">
        <v>3.3003264641704418E-3</v>
      </c>
      <c r="BC3">
        <v>3.4660138222027469E-3</v>
      </c>
      <c r="BD3">
        <v>7.8839333495354295E-4</v>
      </c>
      <c r="BE3">
        <v>2.3061279446375629E-3</v>
      </c>
      <c r="BF3">
        <v>2.856070605641259E-3</v>
      </c>
    </row>
    <row r="4" spans="1:58" ht="15" x14ac:dyDescent="0.2">
      <c r="A4" s="12" t="s">
        <v>21</v>
      </c>
      <c r="B4">
        <v>7.9877473799214015E-3</v>
      </c>
      <c r="C4">
        <v>8.322988719643749E-3</v>
      </c>
      <c r="D4">
        <v>8.4240887687016004E-3</v>
      </c>
      <c r="E4">
        <v>7.6105483839494789E-3</v>
      </c>
      <c r="F4">
        <v>9.0238286138984991E-3</v>
      </c>
      <c r="G4">
        <v>9.607339079845241E-3</v>
      </c>
      <c r="H4">
        <v>8.421591237105135E-3</v>
      </c>
      <c r="I4">
        <v>7.9042009701866013E-3</v>
      </c>
      <c r="J4">
        <v>2.4309751727862061E-3</v>
      </c>
      <c r="K4">
        <v>7.6741658177204826E-3</v>
      </c>
      <c r="L4">
        <v>4.3918760449728816E-3</v>
      </c>
      <c r="M4">
        <v>5.0869838410966253E-3</v>
      </c>
      <c r="N4">
        <v>6.0223532010871463E-3</v>
      </c>
      <c r="O4">
        <v>5.3008942679849003E-3</v>
      </c>
      <c r="P4">
        <v>4.4653085006434662E-3</v>
      </c>
      <c r="Q4">
        <v>2.783252419814356E-3</v>
      </c>
      <c r="R4">
        <v>6.9057971320583334E-4</v>
      </c>
      <c r="S4">
        <v>-1.501981533184676E-3</v>
      </c>
      <c r="T4">
        <v>-1.0907998147608731E-3</v>
      </c>
      <c r="U4">
        <v>-3.235613100512665E-4</v>
      </c>
      <c r="V4">
        <v>7.8262746108937506E-4</v>
      </c>
      <c r="W4">
        <v>3.2987189830019381E-3</v>
      </c>
      <c r="X4">
        <v>-1.402365254331192E-4</v>
      </c>
      <c r="Y4">
        <v>-1.7722764211163991E-3</v>
      </c>
      <c r="Z4">
        <v>-2.4643877087564322E-3</v>
      </c>
      <c r="AA4">
        <v>-1.4895128611631179E-3</v>
      </c>
      <c r="AB4">
        <v>-5.4682640626527506E-3</v>
      </c>
      <c r="AC4">
        <v>-1.1483810926566349E-3</v>
      </c>
      <c r="AD4">
        <v>-1.386870845450231E-3</v>
      </c>
      <c r="AE4">
        <v>-1.6149841109150691E-3</v>
      </c>
      <c r="AF4">
        <v>-2.476762133644251E-3</v>
      </c>
      <c r="AG4">
        <v>-5.086949947989385E-4</v>
      </c>
      <c r="AH4">
        <v>1.2151778100297969E-3</v>
      </c>
      <c r="AI4">
        <v>1.6250836524279041E-3</v>
      </c>
      <c r="AJ4">
        <v>2.066622729647177E-3</v>
      </c>
      <c r="AK4">
        <v>2.828345138870795E-3</v>
      </c>
      <c r="AL4">
        <v>2.336870228518452E-3</v>
      </c>
      <c r="AM4">
        <v>2.9335015694831089E-3</v>
      </c>
      <c r="AN4">
        <v>3.1391646715590968E-3</v>
      </c>
      <c r="AO4">
        <v>1.405378211629075E-3</v>
      </c>
      <c r="AP4">
        <v>1.172764363789399E-3</v>
      </c>
      <c r="AQ4">
        <v>1.4036969870442749E-3</v>
      </c>
      <c r="AR4">
        <v>2.2229870619082459E-3</v>
      </c>
      <c r="AS4">
        <v>1.3734512138640889E-3</v>
      </c>
      <c r="AT4">
        <v>2.2135489128340341E-3</v>
      </c>
      <c r="AU4">
        <v>2.744251955938417E-3</v>
      </c>
      <c r="AV4">
        <v>3.0986015387463508E-3</v>
      </c>
      <c r="AW4">
        <v>4.7244353093021654E-3</v>
      </c>
      <c r="AX4">
        <v>5.9446553301886603E-3</v>
      </c>
      <c r="AY4">
        <v>6.22868682672341E-3</v>
      </c>
      <c r="AZ4">
        <v>6.5900321824574684E-3</v>
      </c>
      <c r="BA4">
        <v>6.4896728434061914E-3</v>
      </c>
      <c r="BB4">
        <v>5.8988792788073757E-3</v>
      </c>
      <c r="BC4">
        <v>6.9437666203530021E-3</v>
      </c>
      <c r="BD4">
        <v>-3.310961210168468E-3</v>
      </c>
      <c r="BE4">
        <v>-2.789750306814617E-4</v>
      </c>
      <c r="BF4">
        <v>5.655686048545985E-3</v>
      </c>
    </row>
    <row r="5" spans="1:58" ht="15" x14ac:dyDescent="0.2">
      <c r="A5" s="12" t="s">
        <v>22</v>
      </c>
      <c r="B5">
        <v>9.1607228277718767E-3</v>
      </c>
      <c r="C5">
        <v>9.1697456627325025E-3</v>
      </c>
      <c r="D5">
        <v>8.9816804742440075E-3</v>
      </c>
      <c r="E5">
        <v>8.0481441708086174E-3</v>
      </c>
      <c r="F5">
        <v>9.4347932108763081E-3</v>
      </c>
      <c r="G5">
        <v>9.9948062458769457E-3</v>
      </c>
      <c r="H5">
        <v>8.7816904440597768E-3</v>
      </c>
      <c r="I5">
        <v>8.343261302592081E-3</v>
      </c>
      <c r="J5">
        <v>2.985034680869564E-3</v>
      </c>
      <c r="K5">
        <v>7.9724621910901329E-3</v>
      </c>
      <c r="L5">
        <v>4.9038561394087448E-3</v>
      </c>
      <c r="M5">
        <v>5.6489880965823781E-3</v>
      </c>
      <c r="N5">
        <v>6.8351121183499314E-3</v>
      </c>
      <c r="O5">
        <v>6.3750026878390022E-3</v>
      </c>
      <c r="P5">
        <v>5.8602368519754741E-3</v>
      </c>
      <c r="Q5">
        <v>4.4220989736302556E-3</v>
      </c>
      <c r="R5">
        <v>2.2929235540760178E-3</v>
      </c>
      <c r="S5">
        <v>3.1482838830254692E-4</v>
      </c>
      <c r="T5">
        <v>3.6191807583002599E-4</v>
      </c>
      <c r="U5">
        <v>9.6121663998057253E-4</v>
      </c>
      <c r="V5">
        <v>1.925599834935357E-3</v>
      </c>
      <c r="W5">
        <v>4.2228592156716774E-3</v>
      </c>
      <c r="X5">
        <v>1.431775271151404E-3</v>
      </c>
      <c r="Y5">
        <v>-1.38479423667264E-4</v>
      </c>
      <c r="Z5">
        <v>-9.5874055533583984E-4</v>
      </c>
      <c r="AA5">
        <v>-1.8397573099742599E-4</v>
      </c>
      <c r="AB5">
        <v>-3.1501707870060201E-3</v>
      </c>
      <c r="AC5">
        <v>9.4817012778022848E-4</v>
      </c>
      <c r="AD5">
        <v>9.9206504110109115E-4</v>
      </c>
      <c r="AE5">
        <v>2.5247458647527268E-4</v>
      </c>
      <c r="AF5">
        <v>-4.8613480536674372E-4</v>
      </c>
      <c r="AG5">
        <v>9.3445217508255295E-4</v>
      </c>
      <c r="AH5">
        <v>2.1897014641573862E-3</v>
      </c>
      <c r="AI5">
        <v>2.387275145065738E-3</v>
      </c>
      <c r="AJ5">
        <v>2.7448292005056662E-3</v>
      </c>
      <c r="AK5">
        <v>3.591412552998129E-3</v>
      </c>
      <c r="AL5">
        <v>2.969890937315096E-3</v>
      </c>
      <c r="AM5">
        <v>3.5114137720334299E-3</v>
      </c>
      <c r="AN5">
        <v>3.5316731864122371E-3</v>
      </c>
      <c r="AO5">
        <v>3.5855638294346051E-3</v>
      </c>
      <c r="AP5">
        <v>3.4861730335520769E-3</v>
      </c>
      <c r="AQ5">
        <v>3.2843302487665202E-3</v>
      </c>
      <c r="AR5">
        <v>3.7251482317034301E-3</v>
      </c>
      <c r="AS5">
        <v>3.2255358659564388E-3</v>
      </c>
      <c r="AT5">
        <v>3.6743051154438091E-3</v>
      </c>
      <c r="AU5">
        <v>3.7353585664787422E-3</v>
      </c>
      <c r="AV5">
        <v>3.8503389856942871E-3</v>
      </c>
      <c r="AW5">
        <v>5.5535028560242039E-3</v>
      </c>
      <c r="AX5">
        <v>6.6019686382479048E-3</v>
      </c>
      <c r="AY5">
        <v>7.1086993171817978E-3</v>
      </c>
      <c r="AZ5">
        <v>7.446650533165575E-3</v>
      </c>
      <c r="BA5">
        <v>7.2652441754684823E-3</v>
      </c>
      <c r="BB5">
        <v>7.1561768152503301E-3</v>
      </c>
      <c r="BC5">
        <v>7.916168185139915E-3</v>
      </c>
      <c r="BD5">
        <v>-1.6262494266835439E-3</v>
      </c>
      <c r="BE5">
        <v>1.3699667404300339E-3</v>
      </c>
      <c r="BF5">
        <v>6.5476708604000466E-3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R4"/>
  <sheetViews>
    <sheetView workbookViewId="0"/>
  </sheetViews>
  <sheetFormatPr defaultRowHeight="14.25" x14ac:dyDescent="0.2"/>
  <sheetData>
    <row r="1" spans="1:44" ht="15" x14ac:dyDescent="0.2">
      <c r="A1" s="12" t="s">
        <v>9</v>
      </c>
      <c r="B1" s="12">
        <v>1982</v>
      </c>
      <c r="C1" s="12">
        <v>1983</v>
      </c>
      <c r="D1" s="12">
        <v>1984</v>
      </c>
      <c r="E1" s="12">
        <v>1985</v>
      </c>
      <c r="F1" s="12">
        <v>1986</v>
      </c>
      <c r="G1" s="12">
        <v>1987</v>
      </c>
      <c r="H1" s="12">
        <v>1988</v>
      </c>
      <c r="I1" s="12">
        <v>1989</v>
      </c>
      <c r="J1" s="12">
        <v>1990</v>
      </c>
      <c r="K1" s="12">
        <v>1991</v>
      </c>
      <c r="L1" s="12">
        <v>1992</v>
      </c>
      <c r="M1" s="12">
        <v>1993</v>
      </c>
      <c r="N1" s="12">
        <v>1994</v>
      </c>
      <c r="O1" s="12">
        <v>1995</v>
      </c>
      <c r="P1" s="12">
        <v>1996</v>
      </c>
      <c r="Q1" s="12">
        <v>1997</v>
      </c>
      <c r="R1" s="12">
        <v>1998</v>
      </c>
      <c r="S1" s="12">
        <v>1999</v>
      </c>
      <c r="T1" s="12">
        <v>2000</v>
      </c>
      <c r="U1" s="12">
        <v>2001</v>
      </c>
      <c r="V1" s="12">
        <v>2002</v>
      </c>
      <c r="W1" s="12">
        <v>2003</v>
      </c>
      <c r="X1" s="12">
        <v>2004</v>
      </c>
      <c r="Y1" s="12">
        <v>2005</v>
      </c>
      <c r="Z1" s="12">
        <v>2006</v>
      </c>
      <c r="AA1" s="12">
        <v>2007</v>
      </c>
      <c r="AB1" s="12">
        <v>2008</v>
      </c>
      <c r="AC1" s="12">
        <v>2009</v>
      </c>
      <c r="AD1" s="12">
        <v>2010</v>
      </c>
      <c r="AE1" s="12">
        <v>2011</v>
      </c>
      <c r="AF1" s="12">
        <v>2012</v>
      </c>
      <c r="AG1" s="12">
        <v>2013</v>
      </c>
      <c r="AH1" s="12">
        <v>2014</v>
      </c>
      <c r="AI1" s="12">
        <v>2015</v>
      </c>
      <c r="AJ1" s="12">
        <v>2016</v>
      </c>
      <c r="AK1" s="12">
        <v>2017</v>
      </c>
      <c r="AL1" s="12">
        <v>2018</v>
      </c>
      <c r="AM1" s="12">
        <v>2019</v>
      </c>
      <c r="AN1" s="12">
        <v>2020</v>
      </c>
      <c r="AO1" s="12">
        <v>2021</v>
      </c>
      <c r="AP1" s="12">
        <v>2022</v>
      </c>
      <c r="AQ1" s="12">
        <v>2023</v>
      </c>
      <c r="AR1" s="12">
        <v>2024</v>
      </c>
    </row>
    <row r="2" spans="1:44" ht="15" x14ac:dyDescent="0.2">
      <c r="A2" s="12" t="s">
        <v>19</v>
      </c>
      <c r="B2">
        <v>2.6224970000000001</v>
      </c>
      <c r="C2">
        <v>2.6098919999999999</v>
      </c>
      <c r="D2">
        <v>2.6263800000000002</v>
      </c>
      <c r="E2">
        <v>2.6135359999999999</v>
      </c>
      <c r="F2">
        <v>2.6044640000000001</v>
      </c>
      <c r="G2">
        <v>2.587243</v>
      </c>
      <c r="H2">
        <v>2.5698279999999998</v>
      </c>
      <c r="I2">
        <v>2.555043</v>
      </c>
      <c r="J2">
        <v>2.5710410000000001</v>
      </c>
      <c r="K2">
        <v>2.5576270000000001</v>
      </c>
      <c r="L2">
        <v>2.5483950000000002</v>
      </c>
      <c r="M2">
        <v>2.3268330000000002</v>
      </c>
      <c r="N2">
        <v>2.2876859999999999</v>
      </c>
      <c r="O2">
        <v>2.3015219999999998</v>
      </c>
      <c r="P2">
        <v>2.3324820000000002</v>
      </c>
      <c r="Q2">
        <v>2.373014</v>
      </c>
      <c r="R2">
        <v>2.37405</v>
      </c>
      <c r="S2">
        <v>2.301485</v>
      </c>
      <c r="T2">
        <v>2.2894030000000001</v>
      </c>
      <c r="U2">
        <v>2.3000099999999999</v>
      </c>
      <c r="V2">
        <v>2.2832400000000002</v>
      </c>
      <c r="W2">
        <v>2.2734779999999999</v>
      </c>
      <c r="X2">
        <v>2.2757900000000002</v>
      </c>
      <c r="Y2">
        <v>2.338676</v>
      </c>
      <c r="Z2">
        <v>2.3553269999999999</v>
      </c>
      <c r="AA2">
        <v>2.3161360000000002</v>
      </c>
      <c r="AB2">
        <v>2.4144009999999998</v>
      </c>
      <c r="AC2">
        <v>2.394447</v>
      </c>
      <c r="AD2">
        <v>2.4118010000000001</v>
      </c>
      <c r="AE2">
        <v>2.4282360000000001</v>
      </c>
      <c r="AF2">
        <v>2.4196490000000002</v>
      </c>
      <c r="AG2">
        <v>2.406094</v>
      </c>
      <c r="AH2">
        <v>2.4376259999999998</v>
      </c>
      <c r="AI2">
        <v>2.3516309999999998</v>
      </c>
      <c r="AJ2">
        <v>2.3655369999999998</v>
      </c>
      <c r="AK2">
        <v>2.3593459999999999</v>
      </c>
      <c r="AL2">
        <v>2.3434189999999999</v>
      </c>
      <c r="AM2">
        <v>2.342263</v>
      </c>
      <c r="AN2">
        <v>2.315855</v>
      </c>
      <c r="AO2">
        <v>2.3070460000000002</v>
      </c>
      <c r="AP2">
        <v>2.289825</v>
      </c>
      <c r="AQ2">
        <v>2.226855</v>
      </c>
      <c r="AR2">
        <v>2.1879409999999999</v>
      </c>
    </row>
    <row r="3" spans="1:44" ht="15" x14ac:dyDescent="0.2">
      <c r="A3" s="12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ht="15" x14ac:dyDescent="0.2">
      <c r="A4" s="12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5"/>
  <sheetViews>
    <sheetView workbookViewId="0">
      <selection activeCell="B3" sqref="B3"/>
    </sheetView>
  </sheetViews>
  <sheetFormatPr defaultRowHeight="14.25" x14ac:dyDescent="0.2"/>
  <sheetData>
    <row r="1" spans="1:31" ht="15" x14ac:dyDescent="0.2">
      <c r="A1" s="12" t="s">
        <v>9</v>
      </c>
      <c r="B1" s="12">
        <v>1993</v>
      </c>
      <c r="C1" s="12">
        <v>1994</v>
      </c>
      <c r="D1" s="12">
        <v>1995</v>
      </c>
      <c r="E1" s="12">
        <v>1996</v>
      </c>
      <c r="F1" s="12">
        <v>1997</v>
      </c>
      <c r="G1" s="12">
        <v>1998</v>
      </c>
      <c r="H1" s="12">
        <v>1999</v>
      </c>
      <c r="I1" s="12">
        <v>2000</v>
      </c>
      <c r="J1" s="12">
        <v>2001</v>
      </c>
      <c r="K1" s="12">
        <v>2002</v>
      </c>
      <c r="L1" s="12">
        <v>2003</v>
      </c>
      <c r="M1" s="12">
        <v>2004</v>
      </c>
      <c r="N1" s="12">
        <v>2005</v>
      </c>
      <c r="O1" s="12">
        <v>2006</v>
      </c>
      <c r="P1" s="12">
        <v>2007</v>
      </c>
      <c r="Q1" s="12">
        <v>2008</v>
      </c>
      <c r="R1" s="12">
        <v>2009</v>
      </c>
      <c r="S1" s="12">
        <v>2010</v>
      </c>
      <c r="T1" s="12">
        <v>2011</v>
      </c>
      <c r="U1" s="12">
        <v>2012</v>
      </c>
      <c r="V1" s="12">
        <v>2013</v>
      </c>
      <c r="W1" s="12">
        <v>2014</v>
      </c>
      <c r="X1" s="12">
        <v>2015</v>
      </c>
      <c r="Y1" s="12">
        <v>2016</v>
      </c>
      <c r="Z1" s="12">
        <v>2017</v>
      </c>
      <c r="AA1" s="12">
        <v>2018</v>
      </c>
      <c r="AB1" s="12">
        <v>2019</v>
      </c>
      <c r="AC1" s="12">
        <v>2020</v>
      </c>
      <c r="AD1" s="12">
        <v>2021</v>
      </c>
      <c r="AE1" s="12">
        <v>2022</v>
      </c>
    </row>
    <row r="2" spans="1:31" ht="15" x14ac:dyDescent="0.2">
      <c r="A2" s="12" t="s">
        <v>19</v>
      </c>
      <c r="B2">
        <v>8517.0000000000018</v>
      </c>
      <c r="C2">
        <v>9728.0000000000036</v>
      </c>
      <c r="D2">
        <v>10927</v>
      </c>
      <c r="E2">
        <v>11353</v>
      </c>
      <c r="F2">
        <v>12656</v>
      </c>
      <c r="G2">
        <v>12769</v>
      </c>
      <c r="H2">
        <v>12084</v>
      </c>
      <c r="I2">
        <v>13504</v>
      </c>
      <c r="J2">
        <v>15186</v>
      </c>
      <c r="K2">
        <v>12935</v>
      </c>
      <c r="L2">
        <v>12715</v>
      </c>
      <c r="M2">
        <v>12932</v>
      </c>
      <c r="N2">
        <v>13633</v>
      </c>
      <c r="O2">
        <v>16218</v>
      </c>
      <c r="P2">
        <v>18825</v>
      </c>
      <c r="Q2">
        <v>17701.000000000011</v>
      </c>
      <c r="R2">
        <v>10689</v>
      </c>
      <c r="S2">
        <v>8644.0000000000018</v>
      </c>
      <c r="T2">
        <v>8309.0000000000018</v>
      </c>
      <c r="U2">
        <v>8939.0000000000018</v>
      </c>
      <c r="V2">
        <v>9511.0000000000018</v>
      </c>
      <c r="W2">
        <v>8883</v>
      </c>
      <c r="X2">
        <v>8888</v>
      </c>
      <c r="Y2">
        <v>7847.9999999999991</v>
      </c>
      <c r="Z2">
        <v>8513</v>
      </c>
      <c r="AA2">
        <v>8038.0000000000009</v>
      </c>
      <c r="AB2">
        <v>8390</v>
      </c>
      <c r="AC2">
        <v>8046</v>
      </c>
      <c r="AD2">
        <v>9806</v>
      </c>
      <c r="AE2">
        <v>8443</v>
      </c>
    </row>
    <row r="3" spans="1:31" ht="15" x14ac:dyDescent="0.2">
      <c r="A3" s="12" t="s">
        <v>20</v>
      </c>
      <c r="B3">
        <v>6200.0000000000018</v>
      </c>
      <c r="C3">
        <v>6403.0000000000018</v>
      </c>
      <c r="D3">
        <v>6422.0000000000018</v>
      </c>
      <c r="E3">
        <v>8467.0000000000018</v>
      </c>
      <c r="F3">
        <v>6945.0000000000018</v>
      </c>
      <c r="G3">
        <v>7452.0000000000036</v>
      </c>
      <c r="H3">
        <v>6764.0000000000036</v>
      </c>
      <c r="I3">
        <v>9085.0000000000036</v>
      </c>
      <c r="J3">
        <v>8940.0000000000055</v>
      </c>
      <c r="K3">
        <v>8872.0000000000055</v>
      </c>
      <c r="L3">
        <v>9786.0000000000073</v>
      </c>
      <c r="M3">
        <v>10159</v>
      </c>
      <c r="N3">
        <v>7977.0000000000027</v>
      </c>
      <c r="O3">
        <v>7682.0000000000009</v>
      </c>
      <c r="P3">
        <v>8309</v>
      </c>
      <c r="Q3">
        <v>10157</v>
      </c>
      <c r="R3">
        <v>9554</v>
      </c>
      <c r="S3">
        <v>5055</v>
      </c>
      <c r="T3">
        <v>5742</v>
      </c>
      <c r="U3">
        <v>7822</v>
      </c>
      <c r="V3">
        <v>6584</v>
      </c>
      <c r="W3">
        <v>6501</v>
      </c>
      <c r="X3">
        <v>5929</v>
      </c>
      <c r="Y3">
        <v>6149</v>
      </c>
      <c r="Z3">
        <v>6629</v>
      </c>
      <c r="AA3">
        <v>8630</v>
      </c>
      <c r="AB3">
        <v>7652.0000000000009</v>
      </c>
      <c r="AC3">
        <v>6167</v>
      </c>
      <c r="AD3">
        <v>6949</v>
      </c>
      <c r="AE3">
        <v>7506.9999999999991</v>
      </c>
    </row>
    <row r="4" spans="1:31" ht="15" x14ac:dyDescent="0.2">
      <c r="A4" s="12" t="s">
        <v>21</v>
      </c>
      <c r="B4">
        <v>197582.53018467221</v>
      </c>
      <c r="C4">
        <v>212300.9957022937</v>
      </c>
      <c r="D4">
        <v>235278.48326382009</v>
      </c>
      <c r="E4">
        <v>246779.31619555849</v>
      </c>
      <c r="F4">
        <v>276373.83914626209</v>
      </c>
      <c r="G4">
        <v>297422.39996309788</v>
      </c>
      <c r="H4">
        <v>296407.36459696118</v>
      </c>
      <c r="I4">
        <v>322563.05905219383</v>
      </c>
      <c r="J4">
        <v>319255.56568137702</v>
      </c>
      <c r="K4">
        <v>314270.41882788501</v>
      </c>
      <c r="L4">
        <v>321928.69588725641</v>
      </c>
      <c r="M4">
        <v>333558.64359677408</v>
      </c>
      <c r="N4">
        <v>353343.37965928687</v>
      </c>
      <c r="O4">
        <v>402578.67999662348</v>
      </c>
      <c r="P4">
        <v>405643.12160092703</v>
      </c>
      <c r="Q4">
        <v>391463.88998257031</v>
      </c>
      <c r="R4">
        <v>334033.32613771618</v>
      </c>
      <c r="S4">
        <v>303179.19487836771</v>
      </c>
      <c r="T4">
        <v>305612.2143357725</v>
      </c>
      <c r="U4">
        <v>312755.14557385963</v>
      </c>
      <c r="V4">
        <v>321291.81890184007</v>
      </c>
      <c r="W4">
        <v>336712.66221852921</v>
      </c>
      <c r="X4">
        <v>354498.85533692822</v>
      </c>
      <c r="Y4">
        <v>384260.28216802009</v>
      </c>
      <c r="Z4">
        <v>408291.9155284646</v>
      </c>
      <c r="AA4">
        <v>427060.05158683477</v>
      </c>
      <c r="AB4">
        <v>422421.46753703861</v>
      </c>
      <c r="AC4">
        <v>436756</v>
      </c>
      <c r="AD4">
        <v>504637.00000000012</v>
      </c>
      <c r="AE4">
        <v>518134.39572597027</v>
      </c>
    </row>
    <row r="5" spans="1:31" ht="15" x14ac:dyDescent="0.2">
      <c r="A5" s="12" t="s">
        <v>22</v>
      </c>
      <c r="B5">
        <v>220178.33355615599</v>
      </c>
      <c r="C5">
        <v>234877.99918456099</v>
      </c>
      <c r="D5">
        <v>259916.53959965101</v>
      </c>
      <c r="E5">
        <v>272174.13453922712</v>
      </c>
      <c r="F5">
        <v>301814.96149471012</v>
      </c>
      <c r="G5">
        <v>322655.1642964374</v>
      </c>
      <c r="H5">
        <v>323133.32108218537</v>
      </c>
      <c r="I5">
        <v>346923.2565505401</v>
      </c>
      <c r="J5">
        <v>344435.16364213498</v>
      </c>
      <c r="K5">
        <v>337674.99349665979</v>
      </c>
      <c r="L5">
        <v>343777.84555804788</v>
      </c>
      <c r="M5">
        <v>356264.02418785269</v>
      </c>
      <c r="N5">
        <v>380831.52617732791</v>
      </c>
      <c r="O5">
        <v>433235.25086662557</v>
      </c>
      <c r="P5">
        <v>433375.01228044968</v>
      </c>
      <c r="Q5">
        <v>421609.9593238724</v>
      </c>
      <c r="R5">
        <v>369212.08635590231</v>
      </c>
      <c r="S5">
        <v>351103.31195417239</v>
      </c>
      <c r="T5">
        <v>354451.99827552628</v>
      </c>
      <c r="U5">
        <v>365512.79745940567</v>
      </c>
      <c r="V5">
        <v>373114.9355692676</v>
      </c>
      <c r="W5">
        <v>393560.89866229967</v>
      </c>
      <c r="X5">
        <v>410542.42590099451</v>
      </c>
      <c r="Y5">
        <v>445290.40088432311</v>
      </c>
      <c r="Z5">
        <v>464444.70452755742</v>
      </c>
      <c r="AA5">
        <v>482229.53526589001</v>
      </c>
      <c r="AB5">
        <v>478827.42637171928</v>
      </c>
      <c r="AC5">
        <v>501927</v>
      </c>
      <c r="AD5">
        <v>565242</v>
      </c>
      <c r="AE5">
        <v>576240.78086417739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B2">
        <v>0.16855226704879039</v>
      </c>
      <c r="C2">
        <v>0.1680965725953571</v>
      </c>
      <c r="D2">
        <v>0.17319735163582309</v>
      </c>
      <c r="E2">
        <v>0.1857462056772014</v>
      </c>
      <c r="F2">
        <v>0.1919225618387084</v>
      </c>
      <c r="G2">
        <v>0.2095164049072693</v>
      </c>
      <c r="H2">
        <v>0.25922302649069551</v>
      </c>
      <c r="I2">
        <v>0.2968675706206016</v>
      </c>
      <c r="J2">
        <v>0.3163072132808411</v>
      </c>
      <c r="K2">
        <v>0.35133113401283028</v>
      </c>
      <c r="L2">
        <v>0.38290767706070877</v>
      </c>
      <c r="M2">
        <v>0.39024911299502663</v>
      </c>
      <c r="N2">
        <v>0.42272463602567861</v>
      </c>
      <c r="O2">
        <v>0.48320024660906169</v>
      </c>
      <c r="P2">
        <v>0.55868372058259519</v>
      </c>
      <c r="Q2">
        <v>0.61482716628628864</v>
      </c>
      <c r="R2">
        <v>0.65402116855699932</v>
      </c>
      <c r="S2">
        <v>0.67810093085524603</v>
      </c>
      <c r="T2">
        <v>0.66418482591129879</v>
      </c>
      <c r="U2">
        <v>0.65266172075805406</v>
      </c>
      <c r="V2">
        <v>0.6253773823959019</v>
      </c>
      <c r="W2">
        <v>0.64282913473685943</v>
      </c>
      <c r="X2">
        <v>0.68200341229430184</v>
      </c>
      <c r="Y2">
        <v>0.65120047701323303</v>
      </c>
      <c r="Z2">
        <v>0.66005518875257929</v>
      </c>
      <c r="AA2">
        <v>0.66588206992634547</v>
      </c>
      <c r="AB2">
        <v>0.62951884474624853</v>
      </c>
      <c r="AC2">
        <v>0.63207635202397894</v>
      </c>
      <c r="AD2">
        <v>0.63633113477884051</v>
      </c>
      <c r="AE2">
        <v>0.65306078987345595</v>
      </c>
      <c r="AF2">
        <v>0.67179002259850007</v>
      </c>
      <c r="AG2">
        <v>0.63288368149185903</v>
      </c>
      <c r="AH2">
        <v>0.62255088062637731</v>
      </c>
      <c r="AI2">
        <v>0.66835718402773525</v>
      </c>
      <c r="AJ2">
        <v>0.69838885811182916</v>
      </c>
      <c r="AK2">
        <v>0.71470207351330561</v>
      </c>
      <c r="AL2">
        <v>0.71996185791671763</v>
      </c>
      <c r="AM2">
        <v>0.73251825592779185</v>
      </c>
      <c r="AN2">
        <v>0.75678233093798608</v>
      </c>
      <c r="AO2">
        <v>0.76922157740502817</v>
      </c>
      <c r="AP2">
        <v>0.84715543314341313</v>
      </c>
      <c r="AQ2">
        <v>0.94863748525042402</v>
      </c>
      <c r="AR2">
        <v>0.89207593760016735</v>
      </c>
      <c r="AS2">
        <v>0.91444646270868157</v>
      </c>
      <c r="AT2">
        <v>0.98381438901040019</v>
      </c>
      <c r="AU2">
        <v>1.0191454648161851</v>
      </c>
      <c r="AV2">
        <v>1.036788914353608</v>
      </c>
      <c r="AW2">
        <v>1.0148095448876191</v>
      </c>
      <c r="AX2">
        <v>0.99768785964053242</v>
      </c>
      <c r="AY2">
        <v>0.9604355605761028</v>
      </c>
      <c r="AZ2">
        <v>0.96924512929654516</v>
      </c>
      <c r="BA2">
        <v>0.99639628826352322</v>
      </c>
      <c r="BB2">
        <v>1.0089555127455481</v>
      </c>
      <c r="BC2">
        <v>1</v>
      </c>
      <c r="BD2">
        <v>1.0766556222172861</v>
      </c>
      <c r="BE2">
        <v>1.311481193768923</v>
      </c>
    </row>
    <row r="3" spans="1:57" ht="15" x14ac:dyDescent="0.2">
      <c r="A3" s="12" t="s">
        <v>20</v>
      </c>
      <c r="B3">
        <v>0.22823088477854789</v>
      </c>
      <c r="C3">
        <v>0.22740039789230579</v>
      </c>
      <c r="D3">
        <v>0.24447423418011799</v>
      </c>
      <c r="E3">
        <v>0.26108319711881078</v>
      </c>
      <c r="F3">
        <v>0.2592484301522151</v>
      </c>
      <c r="G3">
        <v>0.28800425618314168</v>
      </c>
      <c r="H3">
        <v>0.3786922396496013</v>
      </c>
      <c r="I3">
        <v>0.41005272033185458</v>
      </c>
      <c r="J3">
        <v>0.4278931865136944</v>
      </c>
      <c r="K3">
        <v>0.47703097805202571</v>
      </c>
      <c r="L3">
        <v>0.51671972754464379</v>
      </c>
      <c r="M3">
        <v>0.5441480879890549</v>
      </c>
      <c r="N3">
        <v>0.5476756651116973</v>
      </c>
      <c r="O3">
        <v>0.60557724179402428</v>
      </c>
      <c r="P3">
        <v>0.68738018147631819</v>
      </c>
      <c r="Q3">
        <v>0.76182574831091043</v>
      </c>
      <c r="R3">
        <v>0.79041362175161045</v>
      </c>
      <c r="S3">
        <v>0.83772692148979588</v>
      </c>
      <c r="T3">
        <v>0.83452375822527447</v>
      </c>
      <c r="U3">
        <v>0.78590242867877236</v>
      </c>
      <c r="V3">
        <v>0.7554455390657534</v>
      </c>
      <c r="W3">
        <v>0.78327375483972062</v>
      </c>
      <c r="X3">
        <v>0.85945869573325295</v>
      </c>
      <c r="Y3">
        <v>0.82418668573412102</v>
      </c>
      <c r="Z3">
        <v>0.81462909634248315</v>
      </c>
      <c r="AA3">
        <v>0.81762131849166408</v>
      </c>
      <c r="AB3">
        <v>0.74878709991742898</v>
      </c>
      <c r="AC3">
        <v>0.761626293664453</v>
      </c>
      <c r="AD3">
        <v>0.7719590090705436</v>
      </c>
      <c r="AE3">
        <v>0.78289225228799009</v>
      </c>
      <c r="AF3">
        <v>0.79729797428007654</v>
      </c>
      <c r="AG3">
        <v>0.74853080078937484</v>
      </c>
      <c r="AH3">
        <v>0.71806287476638198</v>
      </c>
      <c r="AI3">
        <v>0.76666593640561009</v>
      </c>
      <c r="AJ3">
        <v>0.81488182804146736</v>
      </c>
      <c r="AK3">
        <v>0.76839920762777347</v>
      </c>
      <c r="AL3">
        <v>0.74264049700821844</v>
      </c>
      <c r="AM3">
        <v>0.75812351378040943</v>
      </c>
      <c r="AN3">
        <v>0.77664629241551819</v>
      </c>
      <c r="AO3">
        <v>0.79292381924280553</v>
      </c>
      <c r="AP3">
        <v>0.82548708530829562</v>
      </c>
      <c r="AQ3">
        <v>0.89339304333061609</v>
      </c>
      <c r="AR3">
        <v>0.8434307219609376</v>
      </c>
      <c r="AS3">
        <v>0.89384387404223631</v>
      </c>
      <c r="AT3">
        <v>0.96075543705652722</v>
      </c>
      <c r="AU3">
        <v>1.006503659331863</v>
      </c>
      <c r="AV3">
        <v>1.0181518804255889</v>
      </c>
      <c r="AW3">
        <v>0.98434532289649646</v>
      </c>
      <c r="AX3">
        <v>0.92977862343586837</v>
      </c>
      <c r="AY3">
        <v>0.93126966692232238</v>
      </c>
      <c r="AZ3">
        <v>0.98252805076530103</v>
      </c>
      <c r="BA3">
        <v>0.95379117311586303</v>
      </c>
      <c r="BB3">
        <v>0.98815179017201682</v>
      </c>
      <c r="BC3">
        <v>1</v>
      </c>
      <c r="BD3">
        <v>1.0227590675286671</v>
      </c>
      <c r="BE3">
        <v>1.2453425369312181</v>
      </c>
    </row>
    <row r="4" spans="1:57" ht="15" x14ac:dyDescent="0.2">
      <c r="A4" s="12" t="s">
        <v>21</v>
      </c>
      <c r="B4">
        <v>0.14118310083780139</v>
      </c>
      <c r="C4">
        <v>0.145296518154404</v>
      </c>
      <c r="D4">
        <v>0.15370019863675141</v>
      </c>
      <c r="E4">
        <v>0.1652211107448506</v>
      </c>
      <c r="F4">
        <v>0.17312502795988369</v>
      </c>
      <c r="G4">
        <v>0.1847687388238457</v>
      </c>
      <c r="H4">
        <v>0.21259378140728249</v>
      </c>
      <c r="I4">
        <v>0.26064205783020961</v>
      </c>
      <c r="J4">
        <v>0.281418072603416</v>
      </c>
      <c r="K4">
        <v>0.30562409996871492</v>
      </c>
      <c r="L4">
        <v>0.32980148734453379</v>
      </c>
      <c r="M4">
        <v>0.34865420871195019</v>
      </c>
      <c r="N4">
        <v>0.37652796291653001</v>
      </c>
      <c r="O4">
        <v>0.42757765427582878</v>
      </c>
      <c r="P4">
        <v>0.48896774080952771</v>
      </c>
      <c r="Q4">
        <v>0.54204306603692942</v>
      </c>
      <c r="R4">
        <v>0.57685870483154134</v>
      </c>
      <c r="S4">
        <v>0.60323281497573233</v>
      </c>
      <c r="T4">
        <v>0.62400843495119673</v>
      </c>
      <c r="U4">
        <v>0.60313868804054693</v>
      </c>
      <c r="V4">
        <v>0.60133519894561849</v>
      </c>
      <c r="W4">
        <v>0.61502434487342572</v>
      </c>
      <c r="X4">
        <v>0.65856621554702366</v>
      </c>
      <c r="Y4">
        <v>0.66650977905526154</v>
      </c>
      <c r="Z4">
        <v>0.67711593525261471</v>
      </c>
      <c r="AA4">
        <v>0.68190618371127276</v>
      </c>
      <c r="AB4">
        <v>0.66989515511649378</v>
      </c>
      <c r="AC4">
        <v>0.6833571941402351</v>
      </c>
      <c r="AD4">
        <v>0.70160336694118297</v>
      </c>
      <c r="AE4">
        <v>0.71021249732612601</v>
      </c>
      <c r="AF4">
        <v>0.72691317236113939</v>
      </c>
      <c r="AG4">
        <v>0.72453425944479344</v>
      </c>
      <c r="AH4">
        <v>0.72565716986087259</v>
      </c>
      <c r="AI4">
        <v>0.75566749342922179</v>
      </c>
      <c r="AJ4">
        <v>0.77684627048976795</v>
      </c>
      <c r="AK4">
        <v>0.77737760978614523</v>
      </c>
      <c r="AL4">
        <v>0.78198550669614719</v>
      </c>
      <c r="AM4">
        <v>0.79357784103391604</v>
      </c>
      <c r="AN4">
        <v>0.81640247099476948</v>
      </c>
      <c r="AO4">
        <v>0.83821019206934921</v>
      </c>
      <c r="AP4">
        <v>0.86782290895374015</v>
      </c>
      <c r="AQ4">
        <v>0.9136651251991228</v>
      </c>
      <c r="AR4">
        <v>0.89572810503980915</v>
      </c>
      <c r="AS4">
        <v>0.92437741997464684</v>
      </c>
      <c r="AT4">
        <v>0.96045954211357321</v>
      </c>
      <c r="AU4">
        <v>0.98152598887017484</v>
      </c>
      <c r="AV4">
        <v>0.98219557511776923</v>
      </c>
      <c r="AW4">
        <v>0.97766988316894277</v>
      </c>
      <c r="AX4">
        <v>0.96349013685178941</v>
      </c>
      <c r="AY4">
        <v>0.9535272367208556</v>
      </c>
      <c r="AZ4">
        <v>0.97838661151500483</v>
      </c>
      <c r="BA4">
        <v>0.99514263965763761</v>
      </c>
      <c r="BB4">
        <v>1.005960429702814</v>
      </c>
      <c r="BC4">
        <v>1</v>
      </c>
      <c r="BD4">
        <v>1.0522098725340321</v>
      </c>
      <c r="BE4">
        <v>1.1880642563494419</v>
      </c>
    </row>
    <row r="5" spans="1:57" ht="15" x14ac:dyDescent="0.2">
      <c r="A5" s="12" t="s">
        <v>22</v>
      </c>
      <c r="B5">
        <v>0.1238171217615687</v>
      </c>
      <c r="C5">
        <v>0.12972007144268369</v>
      </c>
      <c r="D5">
        <v>0.13692940427751449</v>
      </c>
      <c r="E5">
        <v>0.1473365654135366</v>
      </c>
      <c r="F5">
        <v>0.1571674557298364</v>
      </c>
      <c r="G5">
        <v>0.1657399557191151</v>
      </c>
      <c r="H5">
        <v>0.1824389714241576</v>
      </c>
      <c r="I5">
        <v>0.23189979966745949</v>
      </c>
      <c r="J5">
        <v>0.2535430532740473</v>
      </c>
      <c r="K5">
        <v>0.27305656945921081</v>
      </c>
      <c r="L5">
        <v>0.29434300130251378</v>
      </c>
      <c r="M5">
        <v>0.31361044167011032</v>
      </c>
      <c r="N5">
        <v>0.34466525748777538</v>
      </c>
      <c r="O5">
        <v>0.39465500405125609</v>
      </c>
      <c r="P5">
        <v>0.45144481245774398</v>
      </c>
      <c r="Q5">
        <v>0.50128029268184415</v>
      </c>
      <c r="R5">
        <v>0.53664876861360367</v>
      </c>
      <c r="S5">
        <v>0.55815314914014447</v>
      </c>
      <c r="T5">
        <v>0.58475451461547789</v>
      </c>
      <c r="U5">
        <v>0.56802932036675724</v>
      </c>
      <c r="V5">
        <v>0.57351896270787239</v>
      </c>
      <c r="W5">
        <v>0.58601163670232825</v>
      </c>
      <c r="X5">
        <v>0.62446041893374171</v>
      </c>
      <c r="Y5">
        <v>0.64175520417441567</v>
      </c>
      <c r="Z5">
        <v>0.65635312566688886</v>
      </c>
      <c r="AA5">
        <v>0.66213632275776768</v>
      </c>
      <c r="AB5">
        <v>0.66173544164552189</v>
      </c>
      <c r="AC5">
        <v>0.67484509312826446</v>
      </c>
      <c r="AD5">
        <v>0.69254101438562543</v>
      </c>
      <c r="AE5">
        <v>0.7001845783685986</v>
      </c>
      <c r="AF5">
        <v>0.71687188997945361</v>
      </c>
      <c r="AG5">
        <v>0.72368832547622652</v>
      </c>
      <c r="AH5">
        <v>0.72924945727353385</v>
      </c>
      <c r="AI5">
        <v>0.75580711540421253</v>
      </c>
      <c r="AJ5">
        <v>0.773934887723708</v>
      </c>
      <c r="AK5">
        <v>0.78128435221727377</v>
      </c>
      <c r="AL5">
        <v>0.78886661923491452</v>
      </c>
      <c r="AM5">
        <v>0.79989977487690722</v>
      </c>
      <c r="AN5">
        <v>0.82118388488101524</v>
      </c>
      <c r="AO5">
        <v>0.84290454657455205</v>
      </c>
      <c r="AP5">
        <v>0.86821431686683126</v>
      </c>
      <c r="AQ5">
        <v>0.90905178522353802</v>
      </c>
      <c r="AR5">
        <v>0.90115246706851859</v>
      </c>
      <c r="AS5">
        <v>0.92619535007161724</v>
      </c>
      <c r="AT5">
        <v>0.95544319513152298</v>
      </c>
      <c r="AU5">
        <v>0.97344527696455341</v>
      </c>
      <c r="AV5">
        <v>0.97341747988977045</v>
      </c>
      <c r="AW5">
        <v>0.9733413641353762</v>
      </c>
      <c r="AX5">
        <v>0.96368613089337685</v>
      </c>
      <c r="AY5">
        <v>0.95471162999030035</v>
      </c>
      <c r="AZ5">
        <v>0.97679116085618201</v>
      </c>
      <c r="BA5">
        <v>0.99596229319032925</v>
      </c>
      <c r="BB5">
        <v>1.0044893689198211</v>
      </c>
      <c r="BC5">
        <v>1</v>
      </c>
      <c r="BD5">
        <v>1.049922119555929</v>
      </c>
      <c r="BE5">
        <v>1.16640799632423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I2"/>
  <sheetViews>
    <sheetView workbookViewId="0"/>
  </sheetViews>
  <sheetFormatPr defaultRowHeight="14.25" x14ac:dyDescent="0.2"/>
  <sheetData>
    <row r="1" spans="1:61" ht="15" x14ac:dyDescent="0.2"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  <c r="BI1" s="12">
        <v>2025</v>
      </c>
    </row>
    <row r="2" spans="1:61" ht="15" x14ac:dyDescent="0.2">
      <c r="A2" s="12">
        <v>0</v>
      </c>
      <c r="AB2">
        <v>2806.736312638548</v>
      </c>
      <c r="AC2">
        <v>1102.727678978395</v>
      </c>
      <c r="AD2">
        <v>688.43794630470711</v>
      </c>
      <c r="AE2">
        <v>848.94641820809136</v>
      </c>
      <c r="AF2">
        <v>817.10852166698419</v>
      </c>
      <c r="AG2">
        <v>603.78018031795693</v>
      </c>
      <c r="AH2">
        <v>348.82165090320689</v>
      </c>
      <c r="AI2">
        <v>822.29228048745381</v>
      </c>
      <c r="AJ2">
        <v>1002.332289636963</v>
      </c>
      <c r="AK2">
        <v>387.72320148978167</v>
      </c>
      <c r="AL2">
        <v>190.00639811036601</v>
      </c>
      <c r="AM2">
        <v>-559.449944865916</v>
      </c>
      <c r="AN2">
        <v>-683.93581505573877</v>
      </c>
      <c r="AO2">
        <v>-1540.5725287385981</v>
      </c>
      <c r="AP2">
        <v>-782.31435495783558</v>
      </c>
      <c r="AQ2">
        <v>491.12013721109611</v>
      </c>
      <c r="AR2">
        <v>1786.4588945144731</v>
      </c>
      <c r="AS2">
        <v>368.49042769314161</v>
      </c>
      <c r="AT2">
        <v>-1311.747142814663</v>
      </c>
      <c r="AU2">
        <v>-1472.8249074123471</v>
      </c>
      <c r="AV2">
        <v>-2603.1997490770268</v>
      </c>
      <c r="AW2">
        <v>-2801.5080983629141</v>
      </c>
      <c r="AX2">
        <v>-2637.671591042626</v>
      </c>
      <c r="AY2">
        <v>-2770.138842751368</v>
      </c>
      <c r="AZ2">
        <v>-2913.1354023838621</v>
      </c>
      <c r="BA2">
        <v>-2923.2734582440148</v>
      </c>
      <c r="BB2">
        <v>-3320.3094182195769</v>
      </c>
      <c r="BC2">
        <v>-3349.3826489948819</v>
      </c>
      <c r="BD2">
        <v>-3490.563999855744</v>
      </c>
      <c r="BE2">
        <v>-3221.6854180073569</v>
      </c>
      <c r="BF2">
        <v>-1796.060342482295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S2"/>
  <sheetViews>
    <sheetView workbookViewId="0"/>
  </sheetViews>
  <sheetFormatPr defaultRowHeight="14.25" x14ac:dyDescent="0.2"/>
  <sheetData>
    <row r="1" spans="1:45" ht="15" x14ac:dyDescent="0.2">
      <c r="B1" s="12">
        <v>1982</v>
      </c>
      <c r="C1" s="12">
        <v>1983</v>
      </c>
      <c r="D1" s="12">
        <v>1984</v>
      </c>
      <c r="E1" s="12">
        <v>1985</v>
      </c>
      <c r="F1" s="12">
        <v>1986</v>
      </c>
      <c r="G1" s="12">
        <v>1987</v>
      </c>
      <c r="H1" s="12">
        <v>1988</v>
      </c>
      <c r="I1" s="12">
        <v>1989</v>
      </c>
      <c r="J1" s="12">
        <v>1990</v>
      </c>
      <c r="K1" s="12">
        <v>1991</v>
      </c>
      <c r="L1" s="12">
        <v>1992</v>
      </c>
      <c r="M1" s="12">
        <v>1993</v>
      </c>
      <c r="N1" s="12">
        <v>1994</v>
      </c>
      <c r="O1" s="12">
        <v>1995</v>
      </c>
      <c r="P1" s="12">
        <v>1996</v>
      </c>
      <c r="Q1" s="12">
        <v>1997</v>
      </c>
      <c r="R1" s="12">
        <v>1998</v>
      </c>
      <c r="S1" s="12">
        <v>1999</v>
      </c>
      <c r="T1" s="12">
        <v>2000</v>
      </c>
      <c r="U1" s="12">
        <v>2001</v>
      </c>
      <c r="V1" s="12">
        <v>2002</v>
      </c>
      <c r="W1" s="12">
        <v>2003</v>
      </c>
      <c r="X1" s="12">
        <v>2004</v>
      </c>
      <c r="Y1" s="12">
        <v>2005</v>
      </c>
      <c r="Z1" s="12">
        <v>2006</v>
      </c>
      <c r="AA1" s="12">
        <v>2007</v>
      </c>
      <c r="AB1" s="12">
        <v>2008</v>
      </c>
      <c r="AC1" s="12">
        <v>2009</v>
      </c>
      <c r="AD1" s="12">
        <v>2010</v>
      </c>
      <c r="AE1" s="12">
        <v>2011</v>
      </c>
      <c r="AF1" s="12">
        <v>2012</v>
      </c>
      <c r="AG1" s="12">
        <v>2013</v>
      </c>
      <c r="AH1" s="12">
        <v>2014</v>
      </c>
      <c r="AI1" s="12">
        <v>2015</v>
      </c>
      <c r="AJ1" s="12">
        <v>2016</v>
      </c>
      <c r="AK1" s="12">
        <v>2017</v>
      </c>
      <c r="AL1" s="12">
        <v>2018</v>
      </c>
      <c r="AM1" s="12">
        <v>2019</v>
      </c>
      <c r="AN1" s="12">
        <v>2020</v>
      </c>
      <c r="AO1" s="12">
        <v>2021</v>
      </c>
      <c r="AP1" s="12">
        <v>2022</v>
      </c>
      <c r="AQ1" s="12">
        <v>2023</v>
      </c>
      <c r="AR1" s="12">
        <v>2024</v>
      </c>
      <c r="AS1" s="12">
        <v>2025</v>
      </c>
    </row>
    <row r="2" spans="1:45" ht="15" x14ac:dyDescent="0.2">
      <c r="A2" s="12">
        <v>0</v>
      </c>
      <c r="B2">
        <v>45825.502031267803</v>
      </c>
      <c r="C2">
        <v>51810.607598652503</v>
      </c>
      <c r="D2">
        <v>57156.987288084987</v>
      </c>
      <c r="E2">
        <v>67819.589181374628</v>
      </c>
      <c r="F2">
        <v>66007.478465152701</v>
      </c>
      <c r="G2">
        <v>65298.183643555611</v>
      </c>
      <c r="H2">
        <v>65307.752545027397</v>
      </c>
      <c r="I2">
        <v>66502.462164270328</v>
      </c>
      <c r="J2">
        <v>61563.378888700878</v>
      </c>
      <c r="K2">
        <v>64213.928118164877</v>
      </c>
      <c r="L2">
        <v>62699.549849046751</v>
      </c>
      <c r="M2">
        <v>61858.598514510813</v>
      </c>
      <c r="N2">
        <v>63305.492682263997</v>
      </c>
      <c r="O2">
        <v>71828.408841899989</v>
      </c>
      <c r="P2">
        <v>73542.951833073632</v>
      </c>
      <c r="Q2">
        <v>83973.522565506049</v>
      </c>
      <c r="R2">
        <v>91592.738403006486</v>
      </c>
      <c r="S2">
        <v>99478.8081054535</v>
      </c>
      <c r="T2">
        <v>105976.18724440959</v>
      </c>
      <c r="U2">
        <v>117087.74105977549</v>
      </c>
      <c r="V2">
        <v>118049.70511474781</v>
      </c>
      <c r="W2">
        <v>119573.4167302717</v>
      </c>
      <c r="X2">
        <v>132817.64552336209</v>
      </c>
      <c r="Y2">
        <v>148000</v>
      </c>
      <c r="Z2">
        <v>185000</v>
      </c>
      <c r="AA2">
        <v>219990</v>
      </c>
      <c r="AB2">
        <v>257325</v>
      </c>
      <c r="AC2">
        <v>210010</v>
      </c>
      <c r="AD2">
        <v>171596</v>
      </c>
      <c r="AE2">
        <v>130209</v>
      </c>
      <c r="AF2">
        <v>130729</v>
      </c>
      <c r="AG2">
        <v>117152</v>
      </c>
      <c r="AH2">
        <v>128287</v>
      </c>
      <c r="AI2">
        <v>139866</v>
      </c>
      <c r="AJ2">
        <v>130916</v>
      </c>
      <c r="AK2">
        <v>128897</v>
      </c>
      <c r="AL2">
        <v>132099</v>
      </c>
      <c r="AM2">
        <v>131251</v>
      </c>
      <c r="AN2">
        <v>130383</v>
      </c>
      <c r="AO2">
        <v>135451</v>
      </c>
      <c r="AP2">
        <v>147610</v>
      </c>
      <c r="AQ2">
        <v>159603</v>
      </c>
      <c r="AR2">
        <v>167583</v>
      </c>
      <c r="AS2">
        <v>174500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5"/>
  <sheetViews>
    <sheetView workbookViewId="0"/>
  </sheetViews>
  <sheetFormatPr defaultRowHeight="14.25" x14ac:dyDescent="0.2"/>
  <sheetData>
    <row r="1" spans="1:32" ht="15" x14ac:dyDescent="0.2">
      <c r="A1" s="12" t="s">
        <v>9</v>
      </c>
      <c r="B1" s="12">
        <v>1992</v>
      </c>
      <c r="C1" s="12">
        <v>1993</v>
      </c>
      <c r="D1" s="12">
        <v>1994</v>
      </c>
      <c r="E1" s="12">
        <v>1995</v>
      </c>
      <c r="F1" s="12">
        <v>1996</v>
      </c>
      <c r="G1" s="12">
        <v>1997</v>
      </c>
      <c r="H1" s="12">
        <v>1998</v>
      </c>
      <c r="I1" s="12">
        <v>1999</v>
      </c>
      <c r="J1" s="12">
        <v>2000</v>
      </c>
      <c r="K1" s="12">
        <v>2001</v>
      </c>
      <c r="L1" s="12">
        <v>2002</v>
      </c>
      <c r="M1" s="12">
        <v>2003</v>
      </c>
      <c r="N1" s="12">
        <v>2004</v>
      </c>
      <c r="O1" s="12">
        <v>2005</v>
      </c>
      <c r="P1" s="12">
        <v>2006</v>
      </c>
      <c r="Q1" s="12">
        <v>2007</v>
      </c>
      <c r="R1" s="12">
        <v>2008</v>
      </c>
      <c r="S1" s="12">
        <v>2009</v>
      </c>
      <c r="T1" s="12">
        <v>2010</v>
      </c>
      <c r="U1" s="12">
        <v>2011</v>
      </c>
      <c r="V1" s="12">
        <v>2012</v>
      </c>
      <c r="W1" s="12">
        <v>2013</v>
      </c>
      <c r="X1" s="12">
        <v>2014</v>
      </c>
      <c r="Y1" s="12">
        <v>2015</v>
      </c>
      <c r="Z1" s="12">
        <v>2016</v>
      </c>
      <c r="AA1" s="12">
        <v>2017</v>
      </c>
      <c r="AB1" s="12">
        <v>2018</v>
      </c>
      <c r="AC1" s="12">
        <v>2019</v>
      </c>
      <c r="AD1" s="12">
        <v>2020</v>
      </c>
      <c r="AE1" s="12">
        <v>2021</v>
      </c>
      <c r="AF1" s="12">
        <v>2022</v>
      </c>
    </row>
    <row r="2" spans="1:32" ht="15" x14ac:dyDescent="0.2">
      <c r="A2" s="12" t="s">
        <v>19</v>
      </c>
      <c r="B2">
        <v>0</v>
      </c>
      <c r="C2">
        <v>0.59891980744393547</v>
      </c>
      <c r="D2">
        <v>0.61780427631578927</v>
      </c>
      <c r="E2">
        <v>0.62368445135901873</v>
      </c>
      <c r="F2">
        <v>0.61463930238703401</v>
      </c>
      <c r="G2">
        <v>0.64103982300884943</v>
      </c>
      <c r="H2">
        <v>0.65792152870232579</v>
      </c>
      <c r="I2">
        <v>0.66401853690830837</v>
      </c>
      <c r="J2">
        <v>0.66950533175355431</v>
      </c>
      <c r="K2">
        <v>0.69320426708810745</v>
      </c>
      <c r="L2">
        <v>0.71696946269810591</v>
      </c>
      <c r="M2">
        <v>0.72670074714903643</v>
      </c>
      <c r="N2">
        <v>0.73275595422208462</v>
      </c>
      <c r="O2">
        <v>0.77004327734174416</v>
      </c>
      <c r="P2">
        <v>0.79750894068319145</v>
      </c>
      <c r="Q2">
        <v>0.81848605577689226</v>
      </c>
      <c r="R2">
        <v>0.85424552285181599</v>
      </c>
      <c r="S2">
        <v>0.83553185517822048</v>
      </c>
      <c r="T2">
        <v>0.83931050439611277</v>
      </c>
      <c r="U2">
        <v>0.85088458298230818</v>
      </c>
      <c r="V2">
        <v>0.89461908490882636</v>
      </c>
      <c r="W2">
        <v>0.90631899905372715</v>
      </c>
      <c r="X2">
        <v>0.92592592592592604</v>
      </c>
      <c r="Y2">
        <v>0.93778127812781276</v>
      </c>
      <c r="Z2">
        <v>0.9672528032619776</v>
      </c>
      <c r="AA2">
        <v>0.97615411723246803</v>
      </c>
      <c r="AB2">
        <v>0.9410301069917888</v>
      </c>
      <c r="AC2">
        <v>0.97365911799761617</v>
      </c>
      <c r="AD2">
        <v>1</v>
      </c>
      <c r="AE2">
        <v>1.004385070365083</v>
      </c>
      <c r="AF2">
        <v>1.06857751983892</v>
      </c>
    </row>
    <row r="3" spans="1:32" ht="15" x14ac:dyDescent="0.2">
      <c r="A3" s="12" t="s">
        <v>20</v>
      </c>
      <c r="B3">
        <v>0</v>
      </c>
      <c r="C3">
        <v>0.70532258064516107</v>
      </c>
      <c r="D3">
        <v>0.72013118850538793</v>
      </c>
      <c r="E3">
        <v>0.72734350669573322</v>
      </c>
      <c r="F3">
        <v>0.71465690327152454</v>
      </c>
      <c r="G3">
        <v>0.73621310295176368</v>
      </c>
      <c r="H3">
        <v>0.74597423510466954</v>
      </c>
      <c r="I3">
        <v>0.75458308693080978</v>
      </c>
      <c r="J3">
        <v>0.76224545954870626</v>
      </c>
      <c r="K3">
        <v>0.78232662192393687</v>
      </c>
      <c r="L3">
        <v>0.8073715058611356</v>
      </c>
      <c r="M3">
        <v>0.8192315552830568</v>
      </c>
      <c r="N3">
        <v>0.82065163894084026</v>
      </c>
      <c r="O3">
        <v>0.84041619656512445</v>
      </c>
      <c r="P3">
        <v>0.85732882061963023</v>
      </c>
      <c r="Q3">
        <v>0.89336863641834163</v>
      </c>
      <c r="R3">
        <v>0.92665157034557444</v>
      </c>
      <c r="S3">
        <v>0.91563742934896397</v>
      </c>
      <c r="T3">
        <v>0.89871414441147379</v>
      </c>
      <c r="U3">
        <v>0.90978753047718564</v>
      </c>
      <c r="V3">
        <v>0.92316543083610325</v>
      </c>
      <c r="W3">
        <v>0.92755164034021875</v>
      </c>
      <c r="X3">
        <v>0.96092908783264119</v>
      </c>
      <c r="Y3">
        <v>0.96474953617810755</v>
      </c>
      <c r="Z3">
        <v>0.97544316148967325</v>
      </c>
      <c r="AA3">
        <v>0.96605822899381499</v>
      </c>
      <c r="AB3">
        <v>0.96732329084588642</v>
      </c>
      <c r="AC3">
        <v>0.99242028227914258</v>
      </c>
      <c r="AD3">
        <v>1</v>
      </c>
      <c r="AE3">
        <v>1.0012951503813501</v>
      </c>
      <c r="AF3">
        <v>1.0655388304249369</v>
      </c>
    </row>
    <row r="4" spans="1:32" ht="15" x14ac:dyDescent="0.2">
      <c r="A4" s="12" t="s">
        <v>21</v>
      </c>
      <c r="B4">
        <v>0</v>
      </c>
      <c r="C4">
        <v>0.73022144146624901</v>
      </c>
      <c r="D4">
        <v>0.74273320988619551</v>
      </c>
      <c r="E4">
        <v>0.74568229770197036</v>
      </c>
      <c r="F4">
        <v>0.74686972490815762</v>
      </c>
      <c r="G4">
        <v>0.75301266083242691</v>
      </c>
      <c r="H4">
        <v>0.75533651812329361</v>
      </c>
      <c r="I4">
        <v>0.76736622353927797</v>
      </c>
      <c r="J4">
        <v>0.77768669709760396</v>
      </c>
      <c r="K4">
        <v>0.79813173955533512</v>
      </c>
      <c r="L4">
        <v>0.8139805233788111</v>
      </c>
      <c r="M4">
        <v>0.81849180693192924</v>
      </c>
      <c r="N4">
        <v>0.826277493600725</v>
      </c>
      <c r="O4">
        <v>0.83922047806848243</v>
      </c>
      <c r="P4">
        <v>0.85937486804542573</v>
      </c>
      <c r="Q4">
        <v>0.8914535480667044</v>
      </c>
      <c r="R4">
        <v>0.92709445056645956</v>
      </c>
      <c r="S4">
        <v>0.89058778487674495</v>
      </c>
      <c r="T4">
        <v>0.89226769042819243</v>
      </c>
      <c r="U4">
        <v>0.90949898911636839</v>
      </c>
      <c r="V4">
        <v>0.93093272523390558</v>
      </c>
      <c r="W4">
        <v>0.93645085962155161</v>
      </c>
      <c r="X4">
        <v>0.93680468658847416</v>
      </c>
      <c r="Y4">
        <v>0.94693676706219643</v>
      </c>
      <c r="Z4">
        <v>0.9623841369020284</v>
      </c>
      <c r="AA4">
        <v>0.97031311405523157</v>
      </c>
      <c r="AB4">
        <v>0.97873354917396638</v>
      </c>
      <c r="AC4">
        <v>0.99311240606685436</v>
      </c>
      <c r="AD4">
        <v>1</v>
      </c>
      <c r="AE4">
        <v>1.0179594441152751</v>
      </c>
      <c r="AF4">
        <v>1.105485381254125</v>
      </c>
    </row>
    <row r="5" spans="1:32" ht="15" x14ac:dyDescent="0.2">
      <c r="A5" s="12" t="s">
        <v>22</v>
      </c>
      <c r="B5">
        <v>0</v>
      </c>
      <c r="C5">
        <v>0.71824959997558535</v>
      </c>
      <c r="D5">
        <v>0.72813971761405283</v>
      </c>
      <c r="E5">
        <v>0.73099618936391497</v>
      </c>
      <c r="F5">
        <v>0.73458853957036918</v>
      </c>
      <c r="G5">
        <v>0.74450914854311623</v>
      </c>
      <c r="H5">
        <v>0.74776425948767611</v>
      </c>
      <c r="I5">
        <v>0.76174131214835628</v>
      </c>
      <c r="J5">
        <v>0.77419427763520998</v>
      </c>
      <c r="K5">
        <v>0.79630371388261989</v>
      </c>
      <c r="L5">
        <v>0.81185757097737765</v>
      </c>
      <c r="M5">
        <v>0.81612298065503408</v>
      </c>
      <c r="N5">
        <v>0.82537663091390556</v>
      </c>
      <c r="O5">
        <v>0.83883549034554217</v>
      </c>
      <c r="P5">
        <v>0.86030626375493813</v>
      </c>
      <c r="Q5">
        <v>0.89248108229577383</v>
      </c>
      <c r="R5">
        <v>0.92645344675064301</v>
      </c>
      <c r="S5">
        <v>0.8937871001381551</v>
      </c>
      <c r="T5">
        <v>0.89550849933605592</v>
      </c>
      <c r="U5">
        <v>0.91174545939162721</v>
      </c>
      <c r="V5">
        <v>0.93193180202625081</v>
      </c>
      <c r="W5">
        <v>0.93612977316786217</v>
      </c>
      <c r="X5">
        <v>0.93606860145959436</v>
      </c>
      <c r="Y5">
        <v>0.94504483707991882</v>
      </c>
      <c r="Z5">
        <v>0.9598477738374428</v>
      </c>
      <c r="AA5">
        <v>0.96920472041530459</v>
      </c>
      <c r="AB5">
        <v>0.97951072146495122</v>
      </c>
      <c r="AC5">
        <v>0.99439792663497761</v>
      </c>
      <c r="AD5">
        <v>1</v>
      </c>
      <c r="AE5">
        <v>1.0185212705354521</v>
      </c>
      <c r="AF5">
        <v>1.1049391524236389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B2">
        <v>-1.2376348547397239E-2</v>
      </c>
      <c r="C2">
        <v>-1.6765218790182841E-2</v>
      </c>
      <c r="D2">
        <v>-2.25344319581205E-2</v>
      </c>
      <c r="E2">
        <v>-3.3629352047307311E-3</v>
      </c>
      <c r="F2">
        <v>-6.2708076874356481E-3</v>
      </c>
      <c r="G2">
        <v>-6.5536906014796526E-3</v>
      </c>
      <c r="H2">
        <v>-5.0160878345904311E-2</v>
      </c>
      <c r="I2">
        <v>-5.4100472992501078E-2</v>
      </c>
      <c r="J2">
        <v>-6.6165748834920532E-2</v>
      </c>
      <c r="K2">
        <v>-5.8304544526032509E-2</v>
      </c>
      <c r="L2">
        <v>-5.02153987161119E-2</v>
      </c>
      <c r="M2">
        <v>-5.0746188517185667E-2</v>
      </c>
      <c r="N2">
        <v>-5.3230045865016312E-2</v>
      </c>
      <c r="O2">
        <v>-4.3144278874680191E-2</v>
      </c>
      <c r="P2">
        <v>-3.8592020142096242E-2</v>
      </c>
      <c r="Q2">
        <v>-4.0589376361469601E-2</v>
      </c>
      <c r="R2">
        <v>-4.9547595011573721E-2</v>
      </c>
      <c r="S2">
        <v>-5.591334949890403E-2</v>
      </c>
      <c r="T2">
        <v>-5.7299766326517412E-2</v>
      </c>
      <c r="U2">
        <v>-4.2904944883624258E-2</v>
      </c>
      <c r="V2">
        <v>-5.1068282282157512E-2</v>
      </c>
      <c r="W2">
        <v>-3.3441145974470662E-2</v>
      </c>
      <c r="X2">
        <v>-1.7255781672510458E-2</v>
      </c>
      <c r="Y2">
        <v>-2.9627826491146168E-2</v>
      </c>
      <c r="Z2">
        <v>-2.0575914131807978E-2</v>
      </c>
      <c r="AA2">
        <v>-3.005295157462088E-2</v>
      </c>
      <c r="AB2">
        <v>-6.0261219016017498E-2</v>
      </c>
      <c r="AC2">
        <v>-6.147536645776519E-2</v>
      </c>
      <c r="AD2">
        <v>-6.6185113446014424E-2</v>
      </c>
      <c r="AE2">
        <v>-6.5204186076355558E-2</v>
      </c>
      <c r="AF2">
        <v>-5.4699244073555121E-2</v>
      </c>
      <c r="AG2">
        <v>-6.3749631181074892E-2</v>
      </c>
      <c r="AH2">
        <v>-6.391965505005727E-2</v>
      </c>
      <c r="AI2">
        <v>-5.9812410373560228E-2</v>
      </c>
      <c r="AJ2">
        <v>-6.017928272142431E-2</v>
      </c>
      <c r="AK2">
        <v>-2.2637156953961131E-2</v>
      </c>
      <c r="AL2">
        <v>-1.5080067871265781E-2</v>
      </c>
      <c r="AM2">
        <v>-1.37931604580544E-2</v>
      </c>
      <c r="AN2">
        <v>3.3835601634554978E-2</v>
      </c>
      <c r="AO2">
        <v>3.2178119187497453E-2</v>
      </c>
      <c r="AP2">
        <v>3.9765899363414972E-2</v>
      </c>
      <c r="AQ2">
        <v>3.3112142501674761E-2</v>
      </c>
      <c r="AR2">
        <v>3.6430674286755491E-2</v>
      </c>
      <c r="AS2">
        <v>3.6490522265517931E-2</v>
      </c>
      <c r="AT2">
        <v>4.017788297313743E-2</v>
      </c>
      <c r="AU2">
        <v>3.996296388042412E-2</v>
      </c>
      <c r="AV2">
        <v>3.7472269702380587E-2</v>
      </c>
      <c r="AW2">
        <v>3.5396834557828341E-2</v>
      </c>
      <c r="AX2">
        <v>3.3915056360100233E-2</v>
      </c>
      <c r="AY2">
        <v>3.3843178488972878E-2</v>
      </c>
      <c r="AZ2">
        <v>2.840644665204551E-2</v>
      </c>
      <c r="BA2">
        <v>2.9015031479143031E-2</v>
      </c>
      <c r="BB2">
        <v>2.737990775404129E-2</v>
      </c>
      <c r="BC2">
        <v>2.6431837104599211E-2</v>
      </c>
      <c r="BD2">
        <v>2.8306324973656791E-2</v>
      </c>
      <c r="BE2">
        <v>2.489703482170845E-2</v>
      </c>
    </row>
    <row r="3" spans="1:57" ht="15" x14ac:dyDescent="0.2">
      <c r="A3" s="12" t="s">
        <v>20</v>
      </c>
      <c r="B3">
        <v>-1.7138944946831141E-2</v>
      </c>
      <c r="C3">
        <v>-3.2985841261733248E-2</v>
      </c>
      <c r="D3">
        <v>-3.442263710742121E-2</v>
      </c>
      <c r="E3">
        <v>-4.6213122920219021E-2</v>
      </c>
      <c r="F3">
        <v>-6.432765781142287E-2</v>
      </c>
      <c r="G3">
        <v>-4.476028110171601E-2</v>
      </c>
      <c r="H3">
        <v>-4.9618150049370027E-3</v>
      </c>
      <c r="I3">
        <v>-3.284731066443362E-3</v>
      </c>
      <c r="J3">
        <v>-1.6000976358149371E-2</v>
      </c>
      <c r="K3">
        <v>-3.4004631195062559E-3</v>
      </c>
      <c r="L3">
        <v>4.3499588180987122E-3</v>
      </c>
      <c r="M3">
        <v>1.9333676999369689E-3</v>
      </c>
      <c r="N3">
        <v>3.7045307952766659E-3</v>
      </c>
      <c r="O3">
        <v>2.0440913007505248E-3</v>
      </c>
      <c r="P3">
        <v>3.8134249504496098E-3</v>
      </c>
      <c r="Q3">
        <v>1.4723824316847339E-3</v>
      </c>
      <c r="R3">
        <v>2.9582609619796642E-3</v>
      </c>
      <c r="S3">
        <v>-2.2129541173048261E-3</v>
      </c>
      <c r="T3">
        <v>-2.2681362779593318E-3</v>
      </c>
      <c r="U3">
        <v>-2.3454109930464971E-4</v>
      </c>
      <c r="V3">
        <v>-9.9864433922606209E-3</v>
      </c>
      <c r="W3">
        <v>-7.9212166056204653E-3</v>
      </c>
      <c r="X3">
        <v>6.8466760054470607E-3</v>
      </c>
      <c r="Y3">
        <v>6.7387168899239293E-3</v>
      </c>
      <c r="Z3">
        <v>7.683098279840068E-3</v>
      </c>
      <c r="AA3">
        <v>2.35374376896993E-3</v>
      </c>
      <c r="AB3">
        <v>-3.105084143071834E-3</v>
      </c>
      <c r="AC3">
        <v>-2.7029361570624582E-4</v>
      </c>
      <c r="AD3">
        <v>-2.3572128372520498E-3</v>
      </c>
      <c r="AE3">
        <v>-2.7298841724066802E-3</v>
      </c>
      <c r="AF3">
        <v>-2.5350967705464488E-3</v>
      </c>
      <c r="AG3">
        <v>-4.3101845074922042E-4</v>
      </c>
      <c r="AH3">
        <v>2.8970078254330709E-3</v>
      </c>
      <c r="AI3">
        <v>4.4174752329808947E-3</v>
      </c>
      <c r="AJ3">
        <v>3.7580368316017022E-3</v>
      </c>
      <c r="AK3">
        <v>-1.242554700368086E-2</v>
      </c>
      <c r="AL3">
        <v>-1.9315907569668809E-2</v>
      </c>
      <c r="AM3">
        <v>-1.623094965894175E-2</v>
      </c>
      <c r="AN3">
        <v>1.8559468825775881E-2</v>
      </c>
      <c r="AO3">
        <v>1.4062022537629891E-2</v>
      </c>
      <c r="AP3">
        <v>1.4694934302991691E-2</v>
      </c>
      <c r="AQ3">
        <v>1.7760676239327079E-2</v>
      </c>
      <c r="AR3">
        <v>1.524955637040549E-2</v>
      </c>
      <c r="AS3">
        <v>1.546160376076553E-2</v>
      </c>
      <c r="AT3">
        <v>1.7062291113538419E-2</v>
      </c>
      <c r="AU3">
        <v>2.2838766951109681E-2</v>
      </c>
      <c r="AV3">
        <v>1.63298630318786E-2</v>
      </c>
      <c r="AW3">
        <v>1.346903919929565E-2</v>
      </c>
      <c r="AX3">
        <v>1.1907844559451991E-2</v>
      </c>
      <c r="AY3">
        <v>1.1420180166394289E-2</v>
      </c>
      <c r="AZ3">
        <v>8.6934294545017009E-3</v>
      </c>
      <c r="BA3">
        <v>9.2794034528719486E-3</v>
      </c>
      <c r="BB3">
        <v>4.9286323230328093E-3</v>
      </c>
      <c r="BC3">
        <v>5.0627682582888066E-3</v>
      </c>
      <c r="BD3">
        <v>6.2260740464780478E-3</v>
      </c>
      <c r="BE3">
        <v>6.1585632527472681E-3</v>
      </c>
    </row>
    <row r="4" spans="1:57" ht="15" x14ac:dyDescent="0.2">
      <c r="A4" s="12" t="s">
        <v>21</v>
      </c>
      <c r="B4">
        <v>2.049126837382674E-2</v>
      </c>
      <c r="C4">
        <v>1.467260489209055E-2</v>
      </c>
      <c r="D4">
        <v>1.247857375270147E-2</v>
      </c>
      <c r="E4">
        <v>1.145511238213601E-2</v>
      </c>
      <c r="F4">
        <v>4.769189915091925E-3</v>
      </c>
      <c r="G4">
        <v>1.228478500613151E-2</v>
      </c>
      <c r="H4">
        <v>9.7711622319280721E-3</v>
      </c>
      <c r="I4">
        <v>1.1522891796211609E-2</v>
      </c>
      <c r="J4">
        <v>7.5525336933705157E-3</v>
      </c>
      <c r="K4">
        <v>1.515563673292337E-2</v>
      </c>
      <c r="L4">
        <v>2.0930660552800781E-2</v>
      </c>
      <c r="M4">
        <v>2.2637073123550091E-2</v>
      </c>
      <c r="N4">
        <v>2.2969553741164911E-2</v>
      </c>
      <c r="O4">
        <v>2.097957812931122E-2</v>
      </c>
      <c r="P4">
        <v>2.0747809246767949E-2</v>
      </c>
      <c r="Q4">
        <v>1.9698110451244741E-2</v>
      </c>
      <c r="R4">
        <v>2.0995922761408291E-2</v>
      </c>
      <c r="S4">
        <v>1.140599647156398E-2</v>
      </c>
      <c r="T4">
        <v>1.4969920328645889E-2</v>
      </c>
      <c r="U4">
        <v>2.7510937594866971E-2</v>
      </c>
      <c r="V4">
        <v>2.7421503133502851E-2</v>
      </c>
      <c r="W4">
        <v>3.038853893228801E-2</v>
      </c>
      <c r="X4">
        <v>3.4909818200846043E-2</v>
      </c>
      <c r="Y4">
        <v>3.5529301787536209E-2</v>
      </c>
      <c r="Z4">
        <v>3.6664892576142118E-2</v>
      </c>
      <c r="AA4">
        <v>3.4163616277139028E-2</v>
      </c>
      <c r="AB4">
        <v>3.17362778770316E-2</v>
      </c>
      <c r="AC4">
        <v>3.120021027944974E-2</v>
      </c>
      <c r="AD4">
        <v>3.1729120850111557E-2</v>
      </c>
      <c r="AE4">
        <v>3.4720696846990508E-2</v>
      </c>
      <c r="AF4">
        <v>3.8589754083608652E-2</v>
      </c>
      <c r="AG4">
        <v>4.3918322207293657E-2</v>
      </c>
      <c r="AH4">
        <v>4.5214826605948832E-2</v>
      </c>
      <c r="AI4">
        <v>3.957562051278897E-2</v>
      </c>
      <c r="AJ4">
        <v>3.9687457365900229E-2</v>
      </c>
      <c r="AK4">
        <v>4.0309666657333418E-2</v>
      </c>
      <c r="AL4">
        <v>4.0639066227104351E-2</v>
      </c>
      <c r="AM4">
        <v>4.2676239397065413E-2</v>
      </c>
      <c r="AN4">
        <v>4.8416311282585341E-2</v>
      </c>
      <c r="AO4">
        <v>4.6969788817205087E-2</v>
      </c>
      <c r="AP4">
        <v>4.6519952290935092E-2</v>
      </c>
      <c r="AQ4">
        <v>4.3889872354826047E-2</v>
      </c>
      <c r="AR4">
        <v>4.4685974829770818E-2</v>
      </c>
      <c r="AS4">
        <v>4.6305882456636173E-2</v>
      </c>
      <c r="AT4">
        <v>4.5453982140789433E-2</v>
      </c>
      <c r="AU4">
        <v>4.4980893576160481E-2</v>
      </c>
      <c r="AV4">
        <v>4.3994697466560442E-2</v>
      </c>
      <c r="AW4">
        <v>4.2315693295745041E-2</v>
      </c>
      <c r="AX4">
        <v>4.0919909057564853E-2</v>
      </c>
      <c r="AY4">
        <v>4.0396300113926108E-2</v>
      </c>
      <c r="AZ4">
        <v>3.8210457323835142E-2</v>
      </c>
      <c r="BA4">
        <v>3.8293694837716663E-2</v>
      </c>
      <c r="BB4">
        <v>3.5861951904750299E-2</v>
      </c>
      <c r="BC4">
        <v>3.5962912372115727E-2</v>
      </c>
      <c r="BD4">
        <v>3.5847096865289529E-2</v>
      </c>
      <c r="BE4">
        <v>3.3442532752583139E-2</v>
      </c>
    </row>
    <row r="5" spans="1:57" ht="15" x14ac:dyDescent="0.2">
      <c r="A5" s="12" t="s">
        <v>22</v>
      </c>
      <c r="B5">
        <v>4.0971187390671439E-2</v>
      </c>
      <c r="C5">
        <v>4.3202636117995408E-2</v>
      </c>
      <c r="D5">
        <v>4.082556585128537E-2</v>
      </c>
      <c r="E5">
        <v>4.0882688187058508E-2</v>
      </c>
      <c r="F5">
        <v>3.9095715435134619E-2</v>
      </c>
      <c r="G5">
        <v>4.2522171315866858E-2</v>
      </c>
      <c r="H5">
        <v>3.3201086199075677E-2</v>
      </c>
      <c r="I5">
        <v>3.4531364319566028E-2</v>
      </c>
      <c r="J5">
        <v>3.3038714379878438E-2</v>
      </c>
      <c r="K5">
        <v>3.9696549478882681E-2</v>
      </c>
      <c r="L5">
        <v>4.6082500988224577E-2</v>
      </c>
      <c r="M5">
        <v>5.1480964624496021E-2</v>
      </c>
      <c r="N5">
        <v>5.4950938504048648E-2</v>
      </c>
      <c r="O5">
        <v>5.6658354560212613E-2</v>
      </c>
      <c r="P5">
        <v>5.5775265792724682E-2</v>
      </c>
      <c r="Q5">
        <v>5.4296157147680567E-2</v>
      </c>
      <c r="R5">
        <v>5.5241622262593118E-2</v>
      </c>
      <c r="S5">
        <v>3.858712052334623E-2</v>
      </c>
      <c r="T5">
        <v>4.2926145374247507E-2</v>
      </c>
      <c r="U5">
        <v>5.6524102531657232E-2</v>
      </c>
      <c r="V5">
        <v>6.0246572776243179E-2</v>
      </c>
      <c r="W5">
        <v>6.2819872622877512E-2</v>
      </c>
      <c r="X5">
        <v>6.3839020559065138E-2</v>
      </c>
      <c r="Y5">
        <v>6.4835097653194951E-2</v>
      </c>
      <c r="Z5">
        <v>6.5607245434980102E-2</v>
      </c>
      <c r="AA5">
        <v>6.597461143026187E-2</v>
      </c>
      <c r="AB5">
        <v>6.5943153067581403E-2</v>
      </c>
      <c r="AC5">
        <v>6.2884509882901771E-2</v>
      </c>
      <c r="AD5">
        <v>6.1491622409964371E-2</v>
      </c>
      <c r="AE5">
        <v>6.4313789730258003E-2</v>
      </c>
      <c r="AF5">
        <v>6.7356695532880997E-2</v>
      </c>
      <c r="AG5">
        <v>7.4735228860866518E-2</v>
      </c>
      <c r="AH5">
        <v>7.4470647853036712E-2</v>
      </c>
      <c r="AI5">
        <v>6.9200370514340054E-2</v>
      </c>
      <c r="AJ5">
        <v>6.9691813752659079E-2</v>
      </c>
      <c r="AK5">
        <v>7.0741597139952775E-2</v>
      </c>
      <c r="AL5">
        <v>7.1473320078257963E-2</v>
      </c>
      <c r="AM5">
        <v>7.3189897245015123E-2</v>
      </c>
      <c r="AN5">
        <v>7.1895438712284362E-2</v>
      </c>
      <c r="AO5">
        <v>7.0057667218030431E-2</v>
      </c>
      <c r="AP5">
        <v>6.7728792403641672E-2</v>
      </c>
      <c r="AQ5">
        <v>6.5803430896286152E-2</v>
      </c>
      <c r="AR5">
        <v>6.9465890726145549E-2</v>
      </c>
      <c r="AS5">
        <v>7.1205486571629839E-2</v>
      </c>
      <c r="AT5">
        <v>6.9411293122674106E-2</v>
      </c>
      <c r="AU5">
        <v>6.8888608640857218E-2</v>
      </c>
      <c r="AV5">
        <v>6.8368146021542481E-2</v>
      </c>
      <c r="AW5">
        <v>6.6716705344572302E-2</v>
      </c>
      <c r="AX5">
        <v>6.4691152775824712E-2</v>
      </c>
      <c r="AY5">
        <v>6.3869396993418412E-2</v>
      </c>
      <c r="AZ5">
        <v>6.1898004220916979E-2</v>
      </c>
      <c r="BA5">
        <v>6.1876777564087201E-2</v>
      </c>
      <c r="BB5">
        <v>5.8693094921516788E-2</v>
      </c>
      <c r="BC5">
        <v>6.0297732647712862E-2</v>
      </c>
      <c r="BD5">
        <v>5.929331523772511E-2</v>
      </c>
      <c r="BE5">
        <v>5.5250274759200149E-2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F17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 t="s">
        <v>23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5" t="s">
        <v>19</v>
      </c>
      <c r="B2" s="1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1.8420410132019001E-3</v>
      </c>
      <c r="AP2">
        <v>1.4387585109091E-3</v>
      </c>
      <c r="AQ2">
        <v>3.2360600490195998E-3</v>
      </c>
      <c r="AR2">
        <v>7.4371301801919997E-4</v>
      </c>
      <c r="AS2">
        <v>9.9889495544430002E-4</v>
      </c>
      <c r="AT2">
        <v>3.6996876118309998E-4</v>
      </c>
      <c r="AU2">
        <v>3.7898416151960001E-4</v>
      </c>
      <c r="AV2">
        <v>1.547636341539E-4</v>
      </c>
      <c r="AW2">
        <v>1.056436260995E-4</v>
      </c>
      <c r="AX2">
        <v>1.8005051190830999E-3</v>
      </c>
      <c r="AY2">
        <v>2.7114454375498998E-3</v>
      </c>
      <c r="AZ2">
        <v>2.0487845327890998E-3</v>
      </c>
      <c r="BA2">
        <v>3.1910653658213002E-3</v>
      </c>
      <c r="BB2">
        <v>2.593954263087E-3</v>
      </c>
      <c r="BC2">
        <v>2.0474313205008999E-3</v>
      </c>
      <c r="BD2">
        <v>3.0241495261801002E-3</v>
      </c>
      <c r="BE2">
        <v>2.8596906160219E-3</v>
      </c>
      <c r="BF2">
        <v>8.3750739415189995E-4</v>
      </c>
    </row>
    <row r="3" spans="1:58" ht="15" x14ac:dyDescent="0.2">
      <c r="A3" s="15"/>
      <c r="B3" s="1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9.9838542357279995E-4</v>
      </c>
      <c r="AP3">
        <v>8.7008654314100001E-4</v>
      </c>
      <c r="AQ3">
        <v>5.4678916119439995E-4</v>
      </c>
      <c r="AR3">
        <v>6.3402672236150003E-4</v>
      </c>
      <c r="AS3">
        <v>4.7394553440670002E-4</v>
      </c>
      <c r="AT3">
        <v>9.9717686563942601E-5</v>
      </c>
      <c r="AU3">
        <v>8.2988641682039331E-5</v>
      </c>
      <c r="AV3">
        <v>4.3366648085997118E-5</v>
      </c>
      <c r="AW3">
        <v>5.0334624584235998E-5</v>
      </c>
      <c r="AX3">
        <v>9.7918906325889996E-4</v>
      </c>
      <c r="AY3">
        <v>6.4934080798709996E-4</v>
      </c>
      <c r="AZ3">
        <v>1.8893959880569001E-3</v>
      </c>
      <c r="BA3">
        <v>2.6899660450299002E-3</v>
      </c>
      <c r="BB3">
        <v>3.6951628490634E-3</v>
      </c>
      <c r="BC3">
        <v>2.6131308745447998E-3</v>
      </c>
      <c r="BD3">
        <v>2.7211327733557E-3</v>
      </c>
      <c r="BE3">
        <v>1.8291737491499E-3</v>
      </c>
      <c r="BF3">
        <v>2.1156733821384999E-3</v>
      </c>
    </row>
    <row r="4" spans="1:58" ht="15" x14ac:dyDescent="0.2">
      <c r="A4" s="15"/>
      <c r="B4" s="12" t="s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1.5925120079746001E-3</v>
      </c>
      <c r="AP4">
        <v>1.3237851959219001E-3</v>
      </c>
      <c r="AQ4">
        <v>1.6657212146312E-3</v>
      </c>
      <c r="AR4">
        <v>1.7758313730087999E-3</v>
      </c>
      <c r="AS4">
        <v>8.644409620549E-4</v>
      </c>
      <c r="AT4">
        <v>2.8636538323019997E-4</v>
      </c>
      <c r="AU4">
        <v>2.6194772920799998E-4</v>
      </c>
      <c r="AV4">
        <v>1.4914708465890001E-4</v>
      </c>
      <c r="AW4">
        <v>1.2548547287840001E-4</v>
      </c>
      <c r="AX4">
        <v>1.5853257873149E-3</v>
      </c>
      <c r="AY4">
        <v>2.1919412390007998E-3</v>
      </c>
      <c r="AZ4">
        <v>2.4494362532522999E-3</v>
      </c>
      <c r="BA4">
        <v>3.8549916388933001E-3</v>
      </c>
      <c r="BB4">
        <v>3.5907397526633998E-3</v>
      </c>
      <c r="BC4">
        <v>3.1096993378336001E-3</v>
      </c>
      <c r="BD4">
        <v>3.4853576006366E-3</v>
      </c>
      <c r="BE4">
        <v>3.1624088978272E-3</v>
      </c>
      <c r="BF4">
        <v>2.0209081782563E-3</v>
      </c>
    </row>
    <row r="5" spans="1:58" ht="15" x14ac:dyDescent="0.2">
      <c r="A5" s="15"/>
      <c r="B5" s="12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2.2092195454260001E-3</v>
      </c>
      <c r="AP5">
        <v>1.802094128667E-3</v>
      </c>
      <c r="AQ5">
        <v>2.8002846122157999E-3</v>
      </c>
      <c r="AR5">
        <v>2.9104180852910998E-3</v>
      </c>
      <c r="AS5">
        <v>1.2556069015775E-3</v>
      </c>
      <c r="AT5">
        <v>5.0531998926609998E-4</v>
      </c>
      <c r="AU5">
        <v>4.0714758622120001E-4</v>
      </c>
      <c r="AV5">
        <v>2.7679672802349999E-4</v>
      </c>
      <c r="AW5">
        <v>2.147195371962E-4</v>
      </c>
      <c r="AX5">
        <v>2.3111455132251001E-3</v>
      </c>
      <c r="AY5">
        <v>4.2111735345887E-3</v>
      </c>
      <c r="AZ5">
        <v>3.2926475269833E-3</v>
      </c>
      <c r="BA5">
        <v>5.3100950788963E-3</v>
      </c>
      <c r="BB5">
        <v>3.7524819283604001E-3</v>
      </c>
      <c r="BC5">
        <v>4.0182335224638E-3</v>
      </c>
      <c r="BD5">
        <v>4.7507634601083003E-3</v>
      </c>
      <c r="BE5">
        <v>4.9687103932810001E-3</v>
      </c>
      <c r="BF5">
        <v>2.1006307232645E-3</v>
      </c>
    </row>
    <row r="6" spans="1:58" ht="15" x14ac:dyDescent="0.2">
      <c r="A6" s="15" t="s">
        <v>20</v>
      </c>
      <c r="B6" s="12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6.7324968902129998E-3</v>
      </c>
      <c r="AP6">
        <v>6.0516894931482001E-3</v>
      </c>
      <c r="AQ6">
        <v>5.4229550474643997E-3</v>
      </c>
      <c r="AR6">
        <v>2.2090068507225999E-3</v>
      </c>
      <c r="AS6">
        <v>4.0604466709017002E-3</v>
      </c>
      <c r="AT6">
        <v>2.1234438547814002E-3</v>
      </c>
      <c r="AU6">
        <v>2.7230340349649999E-4</v>
      </c>
      <c r="AV6">
        <v>1.769798369089E-4</v>
      </c>
      <c r="AW6">
        <v>1.4150476163520001E-4</v>
      </c>
      <c r="AX6">
        <v>1.472029007317E-3</v>
      </c>
      <c r="AY6">
        <v>1.3802895320621999E-3</v>
      </c>
      <c r="AZ6">
        <v>1.9062548659412001E-3</v>
      </c>
      <c r="BA6">
        <v>2.2032769072630001E-3</v>
      </c>
      <c r="BB6">
        <v>3.1907646240125001E-3</v>
      </c>
      <c r="BC6">
        <v>1.2586673124545999E-3</v>
      </c>
      <c r="BD6">
        <v>2.1573679075990002E-3</v>
      </c>
      <c r="BE6">
        <v>3.318675064417E-3</v>
      </c>
      <c r="BF6">
        <v>1.0205563476278E-3</v>
      </c>
    </row>
    <row r="7" spans="1:58" ht="15" x14ac:dyDescent="0.2">
      <c r="A7" s="15"/>
      <c r="B7" s="1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2.0514498421763401E-2</v>
      </c>
      <c r="AP7">
        <v>1.64216138793538E-2</v>
      </c>
      <c r="AQ7">
        <v>1.5613955155858301E-2</v>
      </c>
      <c r="AR7">
        <v>1.16381969906693E-2</v>
      </c>
      <c r="AS7">
        <v>1.0051719730009999E-2</v>
      </c>
      <c r="AT7">
        <v>2.7382307351999E-3</v>
      </c>
      <c r="AU7">
        <v>1.9283462215451E-3</v>
      </c>
      <c r="AV7">
        <v>6.4670288411360001E-4</v>
      </c>
      <c r="AW7">
        <v>4.1268240874400001E-4</v>
      </c>
      <c r="AX7">
        <v>5.4861510631259002E-3</v>
      </c>
      <c r="AY7">
        <v>6.5547141360790002E-3</v>
      </c>
      <c r="AZ7">
        <v>6.5575591854174003E-3</v>
      </c>
      <c r="BA7">
        <v>6.0943069816780998E-3</v>
      </c>
      <c r="BB7">
        <v>6.7098761464734003E-3</v>
      </c>
      <c r="BC7">
        <v>5.9904792007081003E-3</v>
      </c>
      <c r="BD7">
        <v>6.0506970276215004E-3</v>
      </c>
      <c r="BE7">
        <v>5.939442193787E-3</v>
      </c>
      <c r="BF7">
        <v>6.3922574026744E-3</v>
      </c>
    </row>
    <row r="8" spans="1:58" ht="15" x14ac:dyDescent="0.2">
      <c r="A8" s="15"/>
      <c r="B8" s="12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1.2168061230402601E-2</v>
      </c>
      <c r="AP8">
        <v>9.7814483086594E-3</v>
      </c>
      <c r="AQ8">
        <v>9.6188166163140004E-3</v>
      </c>
      <c r="AR8">
        <v>6.6532831790595999E-3</v>
      </c>
      <c r="AS8">
        <v>6.1617239492437002E-3</v>
      </c>
      <c r="AT8">
        <v>2.0306887313945002E-3</v>
      </c>
      <c r="AU8">
        <v>1.3129464619127001E-3</v>
      </c>
      <c r="AV8">
        <v>6.1388624091600005E-4</v>
      </c>
      <c r="AW8">
        <v>3.982437482998E-4</v>
      </c>
      <c r="AX8">
        <v>4.4509000155012997E-3</v>
      </c>
      <c r="AY8">
        <v>5.5762338815789E-3</v>
      </c>
      <c r="AZ8">
        <v>5.3758034439301003E-3</v>
      </c>
      <c r="BA8">
        <v>5.1910011366244997E-3</v>
      </c>
      <c r="BB8">
        <v>5.4164399863763004E-3</v>
      </c>
      <c r="BC8">
        <v>4.7400187361410998E-3</v>
      </c>
      <c r="BD8">
        <v>4.5165812601941002E-3</v>
      </c>
      <c r="BE8">
        <v>4.7412993905419001E-3</v>
      </c>
      <c r="BF8">
        <v>5.0897864915441004E-3</v>
      </c>
    </row>
    <row r="9" spans="1:58" ht="15" x14ac:dyDescent="0.2">
      <c r="A9" s="15"/>
      <c r="B9" s="12" t="s">
        <v>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4.0389229704900003E-3</v>
      </c>
      <c r="AP9">
        <v>2.9488357503015998E-3</v>
      </c>
      <c r="AQ9">
        <v>3.0028009229774002E-3</v>
      </c>
      <c r="AR9">
        <v>2.5309820734761E-3</v>
      </c>
      <c r="AS9">
        <v>2.3553065350274001E-3</v>
      </c>
      <c r="AT9">
        <v>1.2161752845191E-3</v>
      </c>
      <c r="AU9">
        <v>7.8018632308240001E-4</v>
      </c>
      <c r="AV9">
        <v>6.5392053334520004E-4</v>
      </c>
      <c r="AW9">
        <v>4.3269199702879998E-4</v>
      </c>
      <c r="AX9">
        <v>3.5224735685467998E-3</v>
      </c>
      <c r="AY9">
        <v>4.9988181761959002E-3</v>
      </c>
      <c r="AZ9">
        <v>4.5289268019049001E-3</v>
      </c>
      <c r="BA9">
        <v>4.6651551736118001E-3</v>
      </c>
      <c r="BB9">
        <v>4.2782911870214001E-3</v>
      </c>
      <c r="BC9">
        <v>3.9831260493543002E-3</v>
      </c>
      <c r="BD9">
        <v>3.1446624882845E-3</v>
      </c>
      <c r="BE9">
        <v>3.5445801562550001E-3</v>
      </c>
      <c r="BF9">
        <v>4.1954809830745E-3</v>
      </c>
    </row>
    <row r="10" spans="1:58" ht="15" x14ac:dyDescent="0.2">
      <c r="A10" s="15" t="s">
        <v>21</v>
      </c>
      <c r="B10" s="12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4.5465759232138003E-3</v>
      </c>
      <c r="AP10">
        <v>4.3732437429065E-3</v>
      </c>
      <c r="AQ10">
        <v>4.2717578518005001E-3</v>
      </c>
      <c r="AR10">
        <v>1.9398596912462E-3</v>
      </c>
      <c r="AS10">
        <v>3.0885097709278E-3</v>
      </c>
      <c r="AT10">
        <v>1.4987185979919999E-3</v>
      </c>
      <c r="AU10">
        <v>3.3191140563030002E-4</v>
      </c>
      <c r="AV10">
        <v>1.8795265655369999E-4</v>
      </c>
      <c r="AW10">
        <v>1.5251146840349999E-4</v>
      </c>
      <c r="AX10">
        <v>1.8781903729894001E-3</v>
      </c>
      <c r="AY10">
        <v>1.9774324791159001E-3</v>
      </c>
      <c r="AZ10">
        <v>1.804694128866E-3</v>
      </c>
      <c r="BA10">
        <v>2.3996712802006998E-3</v>
      </c>
      <c r="BB10">
        <v>2.6219201292521001E-3</v>
      </c>
      <c r="BC10">
        <v>1.5585385103840999E-3</v>
      </c>
      <c r="BD10">
        <v>2.0963619415948999E-3</v>
      </c>
      <c r="BE10">
        <v>2.4121110486062E-3</v>
      </c>
      <c r="BF10">
        <v>1.0301432866896001E-3</v>
      </c>
    </row>
    <row r="11" spans="1:58" ht="15" x14ac:dyDescent="0.2">
      <c r="A11" s="15"/>
      <c r="B11" s="1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1.3653750602134199E-2</v>
      </c>
      <c r="AP11">
        <v>1.11931370817673E-2</v>
      </c>
      <c r="AQ11">
        <v>1.0319791692380301E-2</v>
      </c>
      <c r="AR11">
        <v>8.3464028667172997E-3</v>
      </c>
      <c r="AS11">
        <v>7.1103614067592E-3</v>
      </c>
      <c r="AT11">
        <v>1.8972601442826E-3</v>
      </c>
      <c r="AU11">
        <v>1.3402672190742E-3</v>
      </c>
      <c r="AV11">
        <v>5.0125206380320002E-4</v>
      </c>
      <c r="AW11">
        <v>3.3916937608750001E-4</v>
      </c>
      <c r="AX11">
        <v>4.3036173182295001E-3</v>
      </c>
      <c r="AY11">
        <v>4.8013357231963E-3</v>
      </c>
      <c r="AZ11">
        <v>5.2967036009193003E-3</v>
      </c>
      <c r="BA11">
        <v>4.9650418549909998E-3</v>
      </c>
      <c r="BB11">
        <v>5.3841676198187003E-3</v>
      </c>
      <c r="BC11">
        <v>4.7197355955389004E-3</v>
      </c>
      <c r="BD11">
        <v>4.7061839811009002E-3</v>
      </c>
      <c r="BE11">
        <v>4.4313628755400002E-3</v>
      </c>
      <c r="BF11">
        <v>4.8283118438350002E-3</v>
      </c>
    </row>
    <row r="12" spans="1:58" ht="15" x14ac:dyDescent="0.2">
      <c r="A12" s="15"/>
      <c r="B12" s="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2.6169601937310999E-3</v>
      </c>
      <c r="AP12">
        <v>2.2598503073806E-3</v>
      </c>
      <c r="AQ12">
        <v>2.4004041730401001E-3</v>
      </c>
      <c r="AR12">
        <v>2.0607258434194998E-3</v>
      </c>
      <c r="AS12">
        <v>1.9517834199140999E-3</v>
      </c>
      <c r="AT12">
        <v>1.0185216904705001E-3</v>
      </c>
      <c r="AU12">
        <v>7.8847548982270005E-4</v>
      </c>
      <c r="AV12">
        <v>5.4574677504219996E-4</v>
      </c>
      <c r="AW12">
        <v>4.0744466515540002E-4</v>
      </c>
      <c r="AX12">
        <v>2.0141625687502E-3</v>
      </c>
      <c r="AY12">
        <v>2.6940811139873001E-3</v>
      </c>
      <c r="AZ12">
        <v>2.4937932326606002E-3</v>
      </c>
      <c r="BA12">
        <v>2.3901811745608002E-3</v>
      </c>
      <c r="BB12">
        <v>2.3644346700326998E-3</v>
      </c>
      <c r="BC12">
        <v>2.1843901985865999E-3</v>
      </c>
      <c r="BD12">
        <v>2.2243238427973001E-3</v>
      </c>
      <c r="BE12">
        <v>2.4129363122605998E-3</v>
      </c>
      <c r="BF12">
        <v>1.9188595501547999E-3</v>
      </c>
    </row>
    <row r="13" spans="1:58" ht="15" x14ac:dyDescent="0.2">
      <c r="A13" s="15"/>
      <c r="B13" s="12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1.5211608508553E-3</v>
      </c>
      <c r="AP13">
        <v>1.4055330184802001E-3</v>
      </c>
      <c r="AQ13">
        <v>1.5946201233316001E-3</v>
      </c>
      <c r="AR13">
        <v>1.5208691425958999E-3</v>
      </c>
      <c r="AS13">
        <v>1.4453213888987999E-3</v>
      </c>
      <c r="AT13">
        <v>9.2537068432400004E-4</v>
      </c>
      <c r="AU13">
        <v>7.4365080816130003E-4</v>
      </c>
      <c r="AV13">
        <v>5.5409682773670005E-4</v>
      </c>
      <c r="AW13">
        <v>4.1730747823829999E-4</v>
      </c>
      <c r="AX13">
        <v>1.7817183607198E-3</v>
      </c>
      <c r="AY13">
        <v>2.4869023795484001E-3</v>
      </c>
      <c r="AZ13">
        <v>2.2439010905533998E-3</v>
      </c>
      <c r="BA13">
        <v>2.1641922185134002E-3</v>
      </c>
      <c r="BB13">
        <v>2.1062009694593998E-3</v>
      </c>
      <c r="BC13">
        <v>1.9874831765879998E-3</v>
      </c>
      <c r="BD13">
        <v>2.0142966953203998E-3</v>
      </c>
      <c r="BE13">
        <v>2.2547206500672999E-3</v>
      </c>
      <c r="BF13">
        <v>1.7214433868731999E-3</v>
      </c>
    </row>
    <row r="14" spans="1:58" ht="15" x14ac:dyDescent="0.2">
      <c r="A14" s="15" t="s">
        <v>22</v>
      </c>
      <c r="B14" s="12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1.7864491670509001E-3</v>
      </c>
      <c r="AP14">
        <v>3.6700024107631998E-3</v>
      </c>
      <c r="AQ14">
        <v>5.2900825485408002E-3</v>
      </c>
      <c r="AR14">
        <v>1.0447402138258399E-2</v>
      </c>
      <c r="AS14">
        <v>1.1875425416593101E-2</v>
      </c>
      <c r="AT14">
        <v>2.5821454812062E-3</v>
      </c>
      <c r="AU14">
        <v>1.6236575239176999E-3</v>
      </c>
      <c r="AV14">
        <v>9.6731685667430004E-4</v>
      </c>
      <c r="AW14">
        <v>8.9354019866250004E-4</v>
      </c>
      <c r="AX14">
        <v>2.6690398879670001E-3</v>
      </c>
      <c r="AY14">
        <v>2.6192626815196999E-3</v>
      </c>
      <c r="AZ14">
        <v>1.402430278636E-3</v>
      </c>
      <c r="BA14">
        <v>1.9598205415128E-3</v>
      </c>
      <c r="BB14">
        <v>1.6186630177217999E-3</v>
      </c>
      <c r="BC14">
        <v>1.7317582192846999E-3</v>
      </c>
      <c r="BD14">
        <v>1.4467193246607999E-3</v>
      </c>
      <c r="BE14">
        <v>1.2732171140750999E-3</v>
      </c>
      <c r="BF14">
        <v>1.1924478646197E-3</v>
      </c>
    </row>
    <row r="15" spans="1:58" ht="15" x14ac:dyDescent="0.2">
      <c r="A15" s="15"/>
      <c r="B15" s="1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1.3381629733029201E-2</v>
      </c>
      <c r="AP15">
        <v>1.1511751752667901E-2</v>
      </c>
      <c r="AQ15">
        <v>1.1045242368264801E-2</v>
      </c>
      <c r="AR15">
        <v>1.1507662414018901E-2</v>
      </c>
      <c r="AS15">
        <v>1.1731867557215401E-2</v>
      </c>
      <c r="AT15">
        <v>2.9837261148664999E-3</v>
      </c>
      <c r="AU15">
        <v>1.9577918862142998E-3</v>
      </c>
      <c r="AV15">
        <v>1.3381888011664001E-3</v>
      </c>
      <c r="AW15">
        <v>1.0515157939368E-3</v>
      </c>
      <c r="AX15">
        <v>4.5129763969160002E-3</v>
      </c>
      <c r="AY15">
        <v>4.6375456537617998E-3</v>
      </c>
      <c r="AZ15">
        <v>5.4245698772354004E-3</v>
      </c>
      <c r="BA15">
        <v>4.4160865526490997E-3</v>
      </c>
      <c r="BB15">
        <v>4.3655013259645001E-3</v>
      </c>
      <c r="BC15">
        <v>3.8330180477347E-3</v>
      </c>
      <c r="BD15">
        <v>3.6532283881875998E-3</v>
      </c>
      <c r="BE15">
        <v>3.6170359539202E-3</v>
      </c>
      <c r="BF15">
        <v>4.0564880705894002E-3</v>
      </c>
    </row>
    <row r="16" spans="1:58" ht="15" x14ac:dyDescent="0.2">
      <c r="A16" s="15"/>
      <c r="B16" s="12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2.1401979817199999E-3</v>
      </c>
      <c r="AP16">
        <v>3.1707961386907E-3</v>
      </c>
      <c r="AQ16">
        <v>2.4511721418993002E-3</v>
      </c>
      <c r="AR16">
        <v>2.2180711973821001E-3</v>
      </c>
      <c r="AS16">
        <v>2.9631036183830999E-3</v>
      </c>
      <c r="AT16">
        <v>1.3252000928671E-3</v>
      </c>
      <c r="AU16">
        <v>9.2740617576919995E-4</v>
      </c>
      <c r="AV16">
        <v>8.9945832984210004E-4</v>
      </c>
      <c r="AW16">
        <v>6.6291693412800004E-4</v>
      </c>
      <c r="AX16">
        <v>1.8014066252269E-3</v>
      </c>
      <c r="AY16">
        <v>2.4110360362231001E-3</v>
      </c>
      <c r="AZ16">
        <v>2.2010180001281001E-3</v>
      </c>
      <c r="BA16">
        <v>2.0727587089761999E-3</v>
      </c>
      <c r="BB16">
        <v>2.0404754507067999E-3</v>
      </c>
      <c r="BC16">
        <v>1.927401608125E-3</v>
      </c>
      <c r="BD16">
        <v>2.2476352013051002E-3</v>
      </c>
      <c r="BE16">
        <v>2.2537649432763998E-3</v>
      </c>
      <c r="BF16">
        <v>1.7169074884845E-3</v>
      </c>
    </row>
    <row r="17" spans="1:58" ht="15" x14ac:dyDescent="0.2">
      <c r="A17" s="15"/>
      <c r="B17" s="12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1.7248803366707E-3</v>
      </c>
      <c r="AP17">
        <v>2.8763341479735999E-3</v>
      </c>
      <c r="AQ17">
        <v>2.1208766051740002E-3</v>
      </c>
      <c r="AR17">
        <v>1.8951507210443E-3</v>
      </c>
      <c r="AS17">
        <v>2.6484932833550998E-3</v>
      </c>
      <c r="AT17">
        <v>1.2642278206189E-3</v>
      </c>
      <c r="AU17">
        <v>8.9159843589789998E-4</v>
      </c>
      <c r="AV17">
        <v>8.841743183386E-4</v>
      </c>
      <c r="AW17">
        <v>6.4820972412920003E-4</v>
      </c>
      <c r="AX17">
        <v>1.7057043406970001E-3</v>
      </c>
      <c r="AY17">
        <v>2.3298131953681002E-3</v>
      </c>
      <c r="AZ17">
        <v>2.0947787436386002E-3</v>
      </c>
      <c r="BA17">
        <v>1.9955650924271999E-3</v>
      </c>
      <c r="BB17">
        <v>1.9686886861346002E-3</v>
      </c>
      <c r="BC17">
        <v>1.8656160454777E-3</v>
      </c>
      <c r="BD17">
        <v>2.2031298955924E-3</v>
      </c>
      <c r="BE17">
        <v>2.2186963349478E-3</v>
      </c>
      <c r="BF17">
        <v>1.6586926276443001E-3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7.1995089722804079E-2</v>
      </c>
      <c r="AD2">
        <v>6.1894864765052501E-2</v>
      </c>
      <c r="AE2">
        <v>5.0762689457129542E-2</v>
      </c>
      <c r="AF2">
        <v>7.743644885456083E-2</v>
      </c>
      <c r="AG2">
        <v>7.5521430484461347E-2</v>
      </c>
      <c r="AH2">
        <v>5.136071258088281E-2</v>
      </c>
      <c r="AI2">
        <v>8.9482691521566085E-2</v>
      </c>
      <c r="AJ2">
        <v>0.1158844530989534</v>
      </c>
      <c r="AK2">
        <v>0.1166388702890042</v>
      </c>
      <c r="AL2">
        <v>0.12549178133187891</v>
      </c>
      <c r="AM2">
        <v>0.11608717548267861</v>
      </c>
      <c r="AN2">
        <v>0.21912165118606619</v>
      </c>
      <c r="AO2">
        <v>0.1564639436802544</v>
      </c>
      <c r="AP2">
        <v>0.1845536237292297</v>
      </c>
      <c r="AQ2">
        <v>0.14431042815653719</v>
      </c>
      <c r="AR2">
        <v>0.1448236086582107</v>
      </c>
      <c r="AS2">
        <v>0.19149788598105799</v>
      </c>
      <c r="AT2">
        <v>0.22236004772846951</v>
      </c>
      <c r="AU2">
        <v>0.36164198628969518</v>
      </c>
      <c r="AV2">
        <v>0.34667388346902139</v>
      </c>
      <c r="AW2">
        <v>0.34963277927536729</v>
      </c>
      <c r="AX2">
        <v>0.31988171247864677</v>
      </c>
      <c r="AY2">
        <v>0.35291262250875938</v>
      </c>
      <c r="AZ2">
        <v>0.30305915738159822</v>
      </c>
      <c r="BA2">
        <v>0.23103016406082649</v>
      </c>
      <c r="BB2">
        <v>0.30849236690706289</v>
      </c>
      <c r="BC2">
        <v>0.31779009216506438</v>
      </c>
      <c r="BD2">
        <v>0.25118983002200918</v>
      </c>
      <c r="BE2">
        <v>0.37140279689528077</v>
      </c>
    </row>
    <row r="3" spans="1:57" ht="15" x14ac:dyDescent="0.2">
      <c r="A3" s="12" t="s">
        <v>20</v>
      </c>
      <c r="AC3">
        <v>0.42921344668725753</v>
      </c>
      <c r="AD3">
        <v>0.4172873251435808</v>
      </c>
      <c r="AE3">
        <v>0.3875409987277566</v>
      </c>
      <c r="AF3">
        <v>0.40061619412518468</v>
      </c>
      <c r="AG3">
        <v>0.37960250734902712</v>
      </c>
      <c r="AH3">
        <v>0.37289910032520168</v>
      </c>
      <c r="AI3">
        <v>0.37321285465207971</v>
      </c>
      <c r="AJ3">
        <v>0.42289898388796859</v>
      </c>
      <c r="AK3">
        <v>0.3819790777814282</v>
      </c>
      <c r="AL3">
        <v>0.365389271806562</v>
      </c>
      <c r="AM3">
        <v>0.36906319609021332</v>
      </c>
      <c r="AN3">
        <v>0.416370017593582</v>
      </c>
      <c r="AO3">
        <v>0.39547777463149358</v>
      </c>
      <c r="AP3">
        <v>0.43914769300211193</v>
      </c>
      <c r="AQ3">
        <v>0.42921897532543818</v>
      </c>
      <c r="AR3">
        <v>0.39102219643858938</v>
      </c>
      <c r="AS3">
        <v>0.39185807376094511</v>
      </c>
      <c r="AT3">
        <v>0.44076169420929889</v>
      </c>
      <c r="AU3">
        <v>0.47123314539878119</v>
      </c>
      <c r="AV3">
        <v>0.48620352768119501</v>
      </c>
      <c r="AW3">
        <v>0.51390093870956211</v>
      </c>
      <c r="AX3">
        <v>0.49538166675687573</v>
      </c>
      <c r="AY3">
        <v>0.48313366559260362</v>
      </c>
      <c r="AZ3">
        <v>0.48551402243462388</v>
      </c>
      <c r="BA3">
        <v>0.47034898277197562</v>
      </c>
      <c r="BB3">
        <v>0.49813281490651962</v>
      </c>
      <c r="BC3">
        <v>0.49713934325442288</v>
      </c>
      <c r="BD3">
        <v>0.50349677768486223</v>
      </c>
      <c r="BE3">
        <v>0.59921047658234372</v>
      </c>
    </row>
    <row r="4" spans="1:57" ht="15" x14ac:dyDescent="0.2">
      <c r="A4" s="12" t="s">
        <v>21</v>
      </c>
      <c r="AC4">
        <v>6.3348880891773748E-2</v>
      </c>
      <c r="AD4">
        <v>6.2494028148848212E-2</v>
      </c>
      <c r="AE4">
        <v>6.3326343749317948E-2</v>
      </c>
      <c r="AF4">
        <v>6.4959844330557459E-2</v>
      </c>
      <c r="AG4">
        <v>6.8126144483129675E-2</v>
      </c>
      <c r="AH4">
        <v>7.3474578055297737E-2</v>
      </c>
      <c r="AI4">
        <v>8.8930759127376802E-2</v>
      </c>
      <c r="AJ4">
        <v>0.10615051570016421</v>
      </c>
      <c r="AK4">
        <v>9.8179594882175869E-2</v>
      </c>
      <c r="AL4">
        <v>9.1473540512478788E-2</v>
      </c>
      <c r="AM4">
        <v>9.2054873175251017E-2</v>
      </c>
      <c r="AN4">
        <v>0.1247219165509592</v>
      </c>
      <c r="AO4">
        <v>0.1233297936156213</v>
      </c>
      <c r="AP4">
        <v>0.15020129356700751</v>
      </c>
      <c r="AQ4">
        <v>0.1358904540268234</v>
      </c>
      <c r="AR4">
        <v>9.1651476135452714E-2</v>
      </c>
      <c r="AS4">
        <v>9.7761363079129027E-2</v>
      </c>
      <c r="AT4">
        <v>0.1207827891050046</v>
      </c>
      <c r="AU4">
        <v>0.14178600981486181</v>
      </c>
      <c r="AV4">
        <v>0.1334667020538442</v>
      </c>
      <c r="AW4">
        <v>0.13447820528873899</v>
      </c>
      <c r="AX4">
        <v>0.1372166925095242</v>
      </c>
      <c r="AY4">
        <v>0.1468602226907606</v>
      </c>
      <c r="AZ4">
        <v>0.14401722367888861</v>
      </c>
      <c r="BA4">
        <v>0.1429238613930201</v>
      </c>
      <c r="BB4">
        <v>0.14648188322101441</v>
      </c>
      <c r="BC4">
        <v>0.13321741383589819</v>
      </c>
      <c r="BD4">
        <v>0.15454832976468419</v>
      </c>
      <c r="BE4">
        <v>0.22076101414511781</v>
      </c>
    </row>
    <row r="5" spans="1:57" ht="15" x14ac:dyDescent="0.2">
      <c r="A5" s="12" t="s">
        <v>22</v>
      </c>
      <c r="AC5">
        <v>3.4557434519290019E-2</v>
      </c>
      <c r="AD5">
        <v>3.6226083101919208E-2</v>
      </c>
      <c r="AE5">
        <v>3.9041414029142872E-2</v>
      </c>
      <c r="AF5">
        <v>4.1133615750495588E-2</v>
      </c>
      <c r="AG5">
        <v>4.389725587503384E-2</v>
      </c>
      <c r="AH5">
        <v>4.9349659130042071E-2</v>
      </c>
      <c r="AI5">
        <v>5.9649308686673827E-2</v>
      </c>
      <c r="AJ5">
        <v>7.145113480094939E-2</v>
      </c>
      <c r="AK5">
        <v>6.5657717726783346E-2</v>
      </c>
      <c r="AL5">
        <v>6.0399589233424728E-2</v>
      </c>
      <c r="AM5">
        <v>6.1220913526920641E-2</v>
      </c>
      <c r="AN5">
        <v>8.4466321967184316E-2</v>
      </c>
      <c r="AO5">
        <v>8.5193752718662669E-2</v>
      </c>
      <c r="AP5">
        <v>0.1036903754405638</v>
      </c>
      <c r="AQ5">
        <v>9.266070521098993E-2</v>
      </c>
      <c r="AR5">
        <v>6.2438220952658878E-2</v>
      </c>
      <c r="AS5">
        <v>6.5010465257209396E-2</v>
      </c>
      <c r="AT5">
        <v>7.8533056020779882E-2</v>
      </c>
      <c r="AU5">
        <v>9.1644257625057804E-2</v>
      </c>
      <c r="AV5">
        <v>8.406598543258062E-2</v>
      </c>
      <c r="AW5">
        <v>8.6123511140373754E-2</v>
      </c>
      <c r="AX5">
        <v>8.9126817244521664E-2</v>
      </c>
      <c r="AY5">
        <v>9.6152604408011655E-2</v>
      </c>
      <c r="AZ5">
        <v>9.553386345503663E-2</v>
      </c>
      <c r="BA5">
        <v>9.6751478997605944E-2</v>
      </c>
      <c r="BB5">
        <v>9.8573929920183614E-2</v>
      </c>
      <c r="BC5">
        <v>8.8030175786314072E-2</v>
      </c>
      <c r="BD5">
        <v>0.1038029392498576</v>
      </c>
      <c r="BE5">
        <v>0.14820878877079441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4.8217995918837089E-2</v>
      </c>
      <c r="AD2">
        <v>5.8430977486236803E-2</v>
      </c>
      <c r="AE2">
        <v>7.6383991215084227E-2</v>
      </c>
      <c r="AF2">
        <v>5.563865589464647E-2</v>
      </c>
      <c r="AG2">
        <v>6.2353261838672042E-2</v>
      </c>
      <c r="AH2">
        <v>8.1444267509888202E-2</v>
      </c>
      <c r="AI2">
        <v>4.6531298636740277E-2</v>
      </c>
      <c r="AJ2">
        <v>4.2976191395721217E-2</v>
      </c>
      <c r="AK2">
        <v>4.4913423595065519E-2</v>
      </c>
      <c r="AL2">
        <v>5.7577688676594602E-2</v>
      </c>
      <c r="AM2">
        <v>6.7203806291658064E-2</v>
      </c>
      <c r="AN2">
        <v>4.0768786523211371E-2</v>
      </c>
      <c r="AO2">
        <v>5.1684981848249732E-2</v>
      </c>
      <c r="AP2">
        <v>2.8223213505281081E-2</v>
      </c>
      <c r="AQ2">
        <v>2.2934660206375478E-2</v>
      </c>
      <c r="AR2">
        <v>3.5970067662175878E-2</v>
      </c>
      <c r="AS2">
        <v>4.9899833459660717E-2</v>
      </c>
      <c r="AT2">
        <v>3.8796050518485448E-2</v>
      </c>
      <c r="AU2">
        <v>2.9303363722168581E-2</v>
      </c>
      <c r="AV2">
        <v>3.110646873989447E-2</v>
      </c>
      <c r="AW2">
        <v>3.4626173833972179E-2</v>
      </c>
      <c r="AX2">
        <v>3.655974416695261E-2</v>
      </c>
      <c r="AY2">
        <v>3.1306540710223332E-2</v>
      </c>
      <c r="AZ2">
        <v>4.4198131462351103E-2</v>
      </c>
      <c r="BA2">
        <v>7.1031390756212426E-2</v>
      </c>
      <c r="BB2">
        <v>5.3737746744820167E-2</v>
      </c>
      <c r="BC2">
        <v>5.3351192048653427E-2</v>
      </c>
      <c r="BD2">
        <v>6.6244862373209409E-2</v>
      </c>
      <c r="BE2">
        <v>1.8434974703009911E-2</v>
      </c>
    </row>
    <row r="3" spans="1:57" ht="15" x14ac:dyDescent="0.2">
      <c r="A3" s="12" t="s">
        <v>20</v>
      </c>
      <c r="AC3">
        <v>5.7517736268422647E-3</v>
      </c>
      <c r="AD3">
        <v>6.5548359049594209E-3</v>
      </c>
      <c r="AE3">
        <v>7.9399222766700535E-3</v>
      </c>
      <c r="AF3">
        <v>7.7536570865607453E-3</v>
      </c>
      <c r="AG3">
        <v>9.2751562470879279E-3</v>
      </c>
      <c r="AH3">
        <v>1.006514676749537E-2</v>
      </c>
      <c r="AI3">
        <v>9.6906235804445108E-3</v>
      </c>
      <c r="AJ3">
        <v>6.8138285715229141E-3</v>
      </c>
      <c r="AK3">
        <v>8.5110771250653527E-3</v>
      </c>
      <c r="AL3">
        <v>9.4722907950667897E-3</v>
      </c>
      <c r="AM3">
        <v>9.7729509831112789E-3</v>
      </c>
      <c r="AN3">
        <v>7.1128534525792993E-3</v>
      </c>
      <c r="AO3">
        <v>8.0178746647243809E-3</v>
      </c>
      <c r="AP3">
        <v>5.5780684719355907E-3</v>
      </c>
      <c r="AQ3">
        <v>5.8422777945537994E-3</v>
      </c>
      <c r="AR3">
        <v>8.2227669163881991E-3</v>
      </c>
      <c r="AS3">
        <v>8.3853433181958481E-3</v>
      </c>
      <c r="AT3">
        <v>5.6935793124099181E-3</v>
      </c>
      <c r="AU3">
        <v>4.4590538569488922E-3</v>
      </c>
      <c r="AV3">
        <v>4.0513190586574438E-3</v>
      </c>
      <c r="AW3">
        <v>3.3810400849236528E-3</v>
      </c>
      <c r="AX3">
        <v>3.659993688099382E-3</v>
      </c>
      <c r="AY3">
        <v>4.2079482127990626E-3</v>
      </c>
      <c r="AZ3">
        <v>4.3979389380457302E-3</v>
      </c>
      <c r="BA3">
        <v>4.8476447798720609E-3</v>
      </c>
      <c r="BB3">
        <v>4.1077496268089736E-3</v>
      </c>
      <c r="BC3">
        <v>3.9659600677833806E-3</v>
      </c>
      <c r="BD3">
        <v>4.246078580548633E-3</v>
      </c>
      <c r="BE3">
        <v>2.2211509666392039E-3</v>
      </c>
    </row>
    <row r="4" spans="1:57" ht="15" x14ac:dyDescent="0.2">
      <c r="A4" s="12" t="s">
        <v>21</v>
      </c>
      <c r="AC4">
        <v>0.1266798178326087</v>
      </c>
      <c r="AD4">
        <v>0.1304345916053346</v>
      </c>
      <c r="AE4">
        <v>0.1318216558557774</v>
      </c>
      <c r="AF4">
        <v>0.13234731325037541</v>
      </c>
      <c r="AG4">
        <v>0.12874107239952279</v>
      </c>
      <c r="AH4">
        <v>0.1234537905334095</v>
      </c>
      <c r="AI4">
        <v>0.10928889254436561</v>
      </c>
      <c r="AJ4">
        <v>9.2548744506716074E-2</v>
      </c>
      <c r="AK4">
        <v>9.988142152565635E-2</v>
      </c>
      <c r="AL4">
        <v>0.1092669435309883</v>
      </c>
      <c r="AM4">
        <v>0.1113531999083817</v>
      </c>
      <c r="AN4">
        <v>8.3995855381117049E-2</v>
      </c>
      <c r="AO4">
        <v>8.7486937565604203E-2</v>
      </c>
      <c r="AP4">
        <v>7.074536033283392E-2</v>
      </c>
      <c r="AQ4">
        <v>7.8591943735573669E-2</v>
      </c>
      <c r="AR4">
        <v>0.1151170742967626</v>
      </c>
      <c r="AS4">
        <v>0.1109112441434653</v>
      </c>
      <c r="AT4">
        <v>9.143903900955104E-2</v>
      </c>
      <c r="AU4">
        <v>7.7256927480850487E-2</v>
      </c>
      <c r="AV4">
        <v>8.3419830432225367E-2</v>
      </c>
      <c r="AW4">
        <v>8.3439091307136337E-2</v>
      </c>
      <c r="AX4">
        <v>8.1342874288301184E-2</v>
      </c>
      <c r="AY4">
        <v>7.6961711263011268E-2</v>
      </c>
      <c r="AZ4">
        <v>8.0718841021600637E-2</v>
      </c>
      <c r="BA4">
        <v>8.2817005949898298E-2</v>
      </c>
      <c r="BB4">
        <v>8.0816499580063594E-2</v>
      </c>
      <c r="BC4">
        <v>8.9142290847653571E-2</v>
      </c>
      <c r="BD4">
        <v>7.7146625582159567E-2</v>
      </c>
      <c r="BE4">
        <v>4.6300075155597087E-2</v>
      </c>
    </row>
    <row r="5" spans="1:57" ht="15" x14ac:dyDescent="0.2">
      <c r="A5" s="12" t="s">
        <v>22</v>
      </c>
      <c r="AC5">
        <v>0.18900822970083</v>
      </c>
      <c r="AD5">
        <v>0.18689386568088051</v>
      </c>
      <c r="AE5">
        <v>0.18323840217410919</v>
      </c>
      <c r="AF5">
        <v>0.1798967039854803</v>
      </c>
      <c r="AG5">
        <v>0.17448565549105341</v>
      </c>
      <c r="AH5">
        <v>0.16456632214443859</v>
      </c>
      <c r="AI5">
        <v>0.15051476617479401</v>
      </c>
      <c r="AJ5">
        <v>0.1312932963279439</v>
      </c>
      <c r="AK5">
        <v>0.1410451825929267</v>
      </c>
      <c r="AL5">
        <v>0.15230353093048679</v>
      </c>
      <c r="AM5">
        <v>0.15393949631065271</v>
      </c>
      <c r="AN5">
        <v>0.1205509348847443</v>
      </c>
      <c r="AO5">
        <v>0.12231346827392391</v>
      </c>
      <c r="AP5">
        <v>0.1030142929142044</v>
      </c>
      <c r="AQ5">
        <v>0.1139771651205818</v>
      </c>
      <c r="AR5">
        <v>0.15436754662363431</v>
      </c>
      <c r="AS5">
        <v>0.15264517799878299</v>
      </c>
      <c r="AT5">
        <v>0.1338788228181933</v>
      </c>
      <c r="AU5">
        <v>0.11820819454380919</v>
      </c>
      <c r="AV5">
        <v>0.12819155806174951</v>
      </c>
      <c r="AW5">
        <v>0.12677281079670469</v>
      </c>
      <c r="AX5">
        <v>0.12391210432213361</v>
      </c>
      <c r="AY5">
        <v>0.11765562722479141</v>
      </c>
      <c r="AZ5">
        <v>0.12041928454178941</v>
      </c>
      <c r="BA5">
        <v>0.1206889869396344</v>
      </c>
      <c r="BB5">
        <v>0.11880722542893769</v>
      </c>
      <c r="BC5">
        <v>0.12974015802932681</v>
      </c>
      <c r="BD5">
        <v>0.11344801150479709</v>
      </c>
      <c r="BE5">
        <v>7.5634752621871665E-2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E5"/>
  <sheetViews>
    <sheetView workbookViewId="0"/>
  </sheetViews>
  <sheetFormatPr defaultRowHeight="14.25" x14ac:dyDescent="0.2"/>
  <sheetData>
    <row r="1" spans="1:57" ht="15" x14ac:dyDescent="0.2">
      <c r="A1" s="12" t="s">
        <v>9</v>
      </c>
      <c r="B1" s="12">
        <v>1967</v>
      </c>
      <c r="C1" s="12">
        <v>1968</v>
      </c>
      <c r="D1" s="12">
        <v>1969</v>
      </c>
      <c r="E1" s="12">
        <v>1970</v>
      </c>
      <c r="F1" s="12">
        <v>1971</v>
      </c>
      <c r="G1" s="12">
        <v>1972</v>
      </c>
      <c r="H1" s="12">
        <v>1973</v>
      </c>
      <c r="I1" s="12">
        <v>1974</v>
      </c>
      <c r="J1" s="12">
        <v>1975</v>
      </c>
      <c r="K1" s="12">
        <v>1976</v>
      </c>
      <c r="L1" s="12">
        <v>1977</v>
      </c>
      <c r="M1" s="12">
        <v>1978</v>
      </c>
      <c r="N1" s="12">
        <v>1979</v>
      </c>
      <c r="O1" s="12">
        <v>1980</v>
      </c>
      <c r="P1" s="12">
        <v>1981</v>
      </c>
      <c r="Q1" s="12">
        <v>1982</v>
      </c>
      <c r="R1" s="12">
        <v>1983</v>
      </c>
      <c r="S1" s="12">
        <v>1984</v>
      </c>
      <c r="T1" s="12">
        <v>1985</v>
      </c>
      <c r="U1" s="12">
        <v>1986</v>
      </c>
      <c r="V1" s="12">
        <v>1987</v>
      </c>
      <c r="W1" s="12">
        <v>1988</v>
      </c>
      <c r="X1" s="12">
        <v>1989</v>
      </c>
      <c r="Y1" s="12">
        <v>1990</v>
      </c>
      <c r="Z1" s="12">
        <v>1991</v>
      </c>
      <c r="AA1" s="12">
        <v>1992</v>
      </c>
      <c r="AB1" s="12">
        <v>1993</v>
      </c>
      <c r="AC1" s="12">
        <v>1994</v>
      </c>
      <c r="AD1" s="12">
        <v>1995</v>
      </c>
      <c r="AE1" s="12">
        <v>1996</v>
      </c>
      <c r="AF1" s="12">
        <v>1997</v>
      </c>
      <c r="AG1" s="12">
        <v>1998</v>
      </c>
      <c r="AH1" s="12">
        <v>1999</v>
      </c>
      <c r="AI1" s="12">
        <v>2000</v>
      </c>
      <c r="AJ1" s="12">
        <v>2001</v>
      </c>
      <c r="AK1" s="12">
        <v>2002</v>
      </c>
      <c r="AL1" s="12">
        <v>2003</v>
      </c>
      <c r="AM1" s="12">
        <v>2004</v>
      </c>
      <c r="AN1" s="12">
        <v>2005</v>
      </c>
      <c r="AO1" s="12">
        <v>2006</v>
      </c>
      <c r="AP1" s="12">
        <v>2007</v>
      </c>
      <c r="AQ1" s="12">
        <v>2008</v>
      </c>
      <c r="AR1" s="12">
        <v>2009</v>
      </c>
      <c r="AS1" s="12">
        <v>2010</v>
      </c>
      <c r="AT1" s="12">
        <v>2011</v>
      </c>
      <c r="AU1" s="12">
        <v>2012</v>
      </c>
      <c r="AV1" s="12">
        <v>2013</v>
      </c>
      <c r="AW1" s="12">
        <v>2014</v>
      </c>
      <c r="AX1" s="12">
        <v>2015</v>
      </c>
      <c r="AY1" s="12">
        <v>2016</v>
      </c>
      <c r="AZ1" s="12">
        <v>2017</v>
      </c>
      <c r="BA1" s="12">
        <v>2018</v>
      </c>
      <c r="BB1" s="12">
        <v>2019</v>
      </c>
      <c r="BC1" s="12">
        <v>2020</v>
      </c>
      <c r="BD1" s="12">
        <v>2021</v>
      </c>
      <c r="BE1" s="12">
        <v>2022</v>
      </c>
    </row>
    <row r="2" spans="1:57" ht="15" x14ac:dyDescent="0.2">
      <c r="A2" s="12" t="s">
        <v>19</v>
      </c>
      <c r="AC2">
        <v>7.9665025846807347E-2</v>
      </c>
      <c r="AD2">
        <v>9.9528185503366617E-2</v>
      </c>
      <c r="AE2">
        <v>0.12545570602087469</v>
      </c>
      <c r="AF2">
        <v>8.817003932129118E-2</v>
      </c>
      <c r="AG2">
        <v>9.1449248802532718E-2</v>
      </c>
      <c r="AH2">
        <v>0.13417033142553239</v>
      </c>
      <c r="AI2">
        <v>8.510051410869407E-2</v>
      </c>
      <c r="AJ2">
        <v>6.4650461169139112E-2</v>
      </c>
      <c r="AK2">
        <v>6.2654845762814354E-2</v>
      </c>
      <c r="AL2">
        <v>6.190521485067213E-2</v>
      </c>
      <c r="AM2">
        <v>7.039653806073537E-2</v>
      </c>
      <c r="AN2">
        <v>2.7318536292248639E-2</v>
      </c>
      <c r="AO2">
        <v>5.1241888754597079E-2</v>
      </c>
      <c r="AP2">
        <v>4.5085571696695602E-2</v>
      </c>
      <c r="AQ2">
        <v>5.3402778965173453E-2</v>
      </c>
      <c r="AR2">
        <v>5.3356412125480583E-2</v>
      </c>
      <c r="AS2">
        <v>4.1692646489241092E-2</v>
      </c>
      <c r="AT2">
        <v>3.0337988725795011E-2</v>
      </c>
      <c r="AU2">
        <v>1.2049851295422759E-2</v>
      </c>
      <c r="AV2">
        <v>1.248893504159581E-2</v>
      </c>
      <c r="AW2">
        <v>1.496186918860183E-2</v>
      </c>
      <c r="AX2">
        <v>1.5685184776554461E-2</v>
      </c>
      <c r="AY2">
        <v>1.143952151797039E-2</v>
      </c>
      <c r="AZ2">
        <v>1.9168033597938939E-2</v>
      </c>
      <c r="BA2">
        <v>3.3588195441604192E-2</v>
      </c>
      <c r="BB2">
        <v>2.050711012743181E-2</v>
      </c>
      <c r="BC2">
        <v>1.9423137935646921E-2</v>
      </c>
      <c r="BD2">
        <v>3.4151764267408569E-2</v>
      </c>
      <c r="BE2">
        <v>1.346466547622455E-2</v>
      </c>
    </row>
    <row r="3" spans="1:57" ht="15" x14ac:dyDescent="0.2">
      <c r="A3" s="12" t="s">
        <v>20</v>
      </c>
      <c r="AC3">
        <v>5.7517736268422647E-3</v>
      </c>
      <c r="AD3">
        <v>6.5548359049594209E-3</v>
      </c>
      <c r="AE3">
        <v>7.9399222766700535E-3</v>
      </c>
      <c r="AF3">
        <v>7.7536570865607453E-3</v>
      </c>
      <c r="AG3">
        <v>9.2751562470879279E-3</v>
      </c>
      <c r="AH3">
        <v>1.006514676749537E-2</v>
      </c>
      <c r="AI3">
        <v>9.6906235804445108E-3</v>
      </c>
      <c r="AJ3">
        <v>6.8138285715229141E-3</v>
      </c>
      <c r="AK3">
        <v>8.5110771250653527E-3</v>
      </c>
      <c r="AL3">
        <v>9.4722907950667897E-3</v>
      </c>
      <c r="AM3">
        <v>9.7729509831112789E-3</v>
      </c>
      <c r="AN3">
        <v>7.1128534525792993E-3</v>
      </c>
      <c r="AO3">
        <v>8.0178746647243809E-3</v>
      </c>
      <c r="AP3">
        <v>5.5780684719355907E-3</v>
      </c>
      <c r="AQ3">
        <v>5.8422777945537994E-3</v>
      </c>
      <c r="AR3">
        <v>8.2227669163881991E-3</v>
      </c>
      <c r="AS3">
        <v>8.3853433181958481E-3</v>
      </c>
      <c r="AT3">
        <v>5.6935793124099181E-3</v>
      </c>
      <c r="AU3">
        <v>4.4590538569488922E-3</v>
      </c>
      <c r="AV3">
        <v>4.0513190586574438E-3</v>
      </c>
      <c r="AW3">
        <v>3.3810400849236528E-3</v>
      </c>
      <c r="AX3">
        <v>3.659993688099382E-3</v>
      </c>
      <c r="AY3">
        <v>4.2079482127990626E-3</v>
      </c>
      <c r="AZ3">
        <v>4.3979389380457302E-3</v>
      </c>
      <c r="BA3">
        <v>4.8476447798720609E-3</v>
      </c>
      <c r="BB3">
        <v>4.1077496268089736E-3</v>
      </c>
      <c r="BC3">
        <v>3.9659600677833806E-3</v>
      </c>
      <c r="BD3">
        <v>4.246078580548633E-3</v>
      </c>
      <c r="BE3">
        <v>2.2211509666392039E-3</v>
      </c>
    </row>
    <row r="4" spans="1:57" ht="15" x14ac:dyDescent="0.2">
      <c r="A4" s="12" t="s">
        <v>21</v>
      </c>
      <c r="AC4">
        <v>0.1266798178326087</v>
      </c>
      <c r="AD4">
        <v>0.1304345916053346</v>
      </c>
      <c r="AE4">
        <v>0.1318216558557774</v>
      </c>
      <c r="AF4">
        <v>0.13234731325037541</v>
      </c>
      <c r="AG4">
        <v>0.12874107239952279</v>
      </c>
      <c r="AH4">
        <v>0.1234537905334095</v>
      </c>
      <c r="AI4">
        <v>0.10928889254436561</v>
      </c>
      <c r="AJ4">
        <v>9.2548744506716074E-2</v>
      </c>
      <c r="AK4">
        <v>9.988142152565635E-2</v>
      </c>
      <c r="AL4">
        <v>0.1092669435309883</v>
      </c>
      <c r="AM4">
        <v>0.1113531999083817</v>
      </c>
      <c r="AN4">
        <v>8.3995855381117049E-2</v>
      </c>
      <c r="AO4">
        <v>8.7486937565604203E-2</v>
      </c>
      <c r="AP4">
        <v>7.074536033283392E-2</v>
      </c>
      <c r="AQ4">
        <v>7.8591943735573669E-2</v>
      </c>
      <c r="AR4">
        <v>0.1151170742967626</v>
      </c>
      <c r="AS4">
        <v>0.1109112441434653</v>
      </c>
      <c r="AT4">
        <v>9.143903900955104E-2</v>
      </c>
      <c r="AU4">
        <v>7.7256927480850487E-2</v>
      </c>
      <c r="AV4">
        <v>8.3419830432225367E-2</v>
      </c>
      <c r="AW4">
        <v>8.3439091307136337E-2</v>
      </c>
      <c r="AX4">
        <v>8.1342874288301184E-2</v>
      </c>
      <c r="AY4">
        <v>7.6961711263011268E-2</v>
      </c>
      <c r="AZ4">
        <v>8.0718841021600637E-2</v>
      </c>
      <c r="BA4">
        <v>8.2817005949898298E-2</v>
      </c>
      <c r="BB4">
        <v>8.0816499580063594E-2</v>
      </c>
      <c r="BC4">
        <v>8.9142290847653571E-2</v>
      </c>
      <c r="BD4">
        <v>7.7146625582159567E-2</v>
      </c>
      <c r="BE4">
        <v>4.6300075155597087E-2</v>
      </c>
    </row>
    <row r="5" spans="1:57" ht="15" x14ac:dyDescent="0.2">
      <c r="A5" s="12" t="s">
        <v>22</v>
      </c>
      <c r="AC5">
        <v>0.18900822970083</v>
      </c>
      <c r="AD5">
        <v>0.18689386568088051</v>
      </c>
      <c r="AE5">
        <v>0.18323840217410919</v>
      </c>
      <c r="AF5">
        <v>0.1798967039854803</v>
      </c>
      <c r="AG5">
        <v>0.17448565549105341</v>
      </c>
      <c r="AH5">
        <v>0.16456632214443859</v>
      </c>
      <c r="AI5">
        <v>0.15051476617479401</v>
      </c>
      <c r="AJ5">
        <v>0.1312932963279439</v>
      </c>
      <c r="AK5">
        <v>0.1410451825929267</v>
      </c>
      <c r="AL5">
        <v>0.15230353093048679</v>
      </c>
      <c r="AM5">
        <v>0.15393949631065271</v>
      </c>
      <c r="AN5">
        <v>0.1205509348847443</v>
      </c>
      <c r="AO5">
        <v>0.12231346827392391</v>
      </c>
      <c r="AP5">
        <v>0.1030142929142044</v>
      </c>
      <c r="AQ5">
        <v>0.1139771651205818</v>
      </c>
      <c r="AR5">
        <v>0.15436754662363431</v>
      </c>
      <c r="AS5">
        <v>0.15264517799878299</v>
      </c>
      <c r="AT5">
        <v>0.1338788228181933</v>
      </c>
      <c r="AU5">
        <v>0.11820819454380919</v>
      </c>
      <c r="AV5">
        <v>0.12819155806174951</v>
      </c>
      <c r="AW5">
        <v>0.12677281079670469</v>
      </c>
      <c r="AX5">
        <v>0.12391210432213361</v>
      </c>
      <c r="AY5">
        <v>0.11765562722479141</v>
      </c>
      <c r="AZ5">
        <v>0.12041928454178941</v>
      </c>
      <c r="BA5">
        <v>0.1206889869396344</v>
      </c>
      <c r="BB5">
        <v>0.11880722542893769</v>
      </c>
      <c r="BC5">
        <v>0.12974015802932681</v>
      </c>
      <c r="BD5">
        <v>0.11344801150479709</v>
      </c>
      <c r="BE5">
        <v>7.5634752621871665E-2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H5"/>
  <sheetViews>
    <sheetView workbookViewId="0"/>
  </sheetViews>
  <sheetFormatPr defaultRowHeight="14.25" x14ac:dyDescent="0.2"/>
  <sheetData>
    <row r="1" spans="1:60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</row>
    <row r="2" spans="1:60" ht="15" x14ac:dyDescent="0.2">
      <c r="A2" s="12" t="s">
        <v>19</v>
      </c>
      <c r="AD2">
        <v>0.2953683051383364</v>
      </c>
      <c r="AE2">
        <v>0.28070002813309408</v>
      </c>
      <c r="AF2">
        <v>0.26371562832942219</v>
      </c>
      <c r="AG2">
        <v>0.27247070006121998</v>
      </c>
      <c r="AH2">
        <v>0.27862057411106239</v>
      </c>
      <c r="AI2">
        <v>0.25220164989022492</v>
      </c>
      <c r="AJ2">
        <v>0.28228000558029881</v>
      </c>
      <c r="AK2">
        <v>0.28916311546846818</v>
      </c>
      <c r="AL2">
        <v>0.28929707278618311</v>
      </c>
      <c r="AM2">
        <v>0.27271077332554022</v>
      </c>
      <c r="AN2">
        <v>0.26800872003512161</v>
      </c>
      <c r="AO2">
        <v>0.29981125743603182</v>
      </c>
      <c r="AP2">
        <v>0.25702207618086359</v>
      </c>
      <c r="AQ2">
        <v>0.27384381558811172</v>
      </c>
      <c r="AR2">
        <v>0.2437959485328437</v>
      </c>
      <c r="AS2">
        <v>0.22538221128272129</v>
      </c>
      <c r="AT2">
        <v>0.22414652183120651</v>
      </c>
      <c r="AU2">
        <v>0.2269980947687425</v>
      </c>
      <c r="AV2">
        <v>0.25200129674269828</v>
      </c>
      <c r="AW2">
        <v>0.24743025178271369</v>
      </c>
      <c r="AX2">
        <v>0.26115720179736801</v>
      </c>
      <c r="AY2">
        <v>0.28518147342275341</v>
      </c>
      <c r="AZ2">
        <v>0.29505678958554388</v>
      </c>
      <c r="BA2">
        <v>0.27090295333142811</v>
      </c>
      <c r="BB2">
        <v>0.23774169550532351</v>
      </c>
      <c r="BC2">
        <v>0.25900382333435501</v>
      </c>
      <c r="BD2">
        <v>0.27031009924311472</v>
      </c>
      <c r="BE2">
        <v>0.24375564331076979</v>
      </c>
      <c r="BF2">
        <v>0.28583745731639398</v>
      </c>
    </row>
    <row r="3" spans="1:60" ht="15" x14ac:dyDescent="0.2">
      <c r="A3" s="12" t="s">
        <v>20</v>
      </c>
      <c r="AD3">
        <v>1.1213524216708211</v>
      </c>
      <c r="AE3">
        <v>1.110961208407236</v>
      </c>
      <c r="AF3">
        <v>1.038590293023907</v>
      </c>
      <c r="AG3">
        <v>1.021037824988472</v>
      </c>
      <c r="AH3">
        <v>1.0406550329972939</v>
      </c>
      <c r="AI3">
        <v>1.0865760927085719</v>
      </c>
      <c r="AJ3">
        <v>1.041141512432326</v>
      </c>
      <c r="AK3">
        <v>1.1507321938419139</v>
      </c>
      <c r="AL3">
        <v>1.0982752005558249</v>
      </c>
      <c r="AM3">
        <v>1.0231184701050859</v>
      </c>
      <c r="AN3">
        <v>0.92966205332234875</v>
      </c>
      <c r="AO3">
        <v>0.94426333379645033</v>
      </c>
      <c r="AP3">
        <v>0.82756604043605497</v>
      </c>
      <c r="AQ3">
        <v>0.94175265743051828</v>
      </c>
      <c r="AR3">
        <v>0.8130818949715003</v>
      </c>
      <c r="AS3">
        <v>0.71414904118428457</v>
      </c>
      <c r="AT3">
        <v>0.65771667998836436</v>
      </c>
      <c r="AU3">
        <v>0.65506678514042704</v>
      </c>
      <c r="AV3">
        <v>0.66416055763584458</v>
      </c>
      <c r="AW3">
        <v>0.63601251704580941</v>
      </c>
      <c r="AX3">
        <v>0.6567927658530669</v>
      </c>
      <c r="AY3">
        <v>0.64174436679178848</v>
      </c>
      <c r="AZ3">
        <v>0.68050282253935379</v>
      </c>
      <c r="BA3">
        <v>0.6453102023629963</v>
      </c>
      <c r="BB3">
        <v>0.63158546710791263</v>
      </c>
      <c r="BC3">
        <v>0.665121663953125</v>
      </c>
      <c r="BD3">
        <v>0.70542589560810776</v>
      </c>
      <c r="BE3">
        <v>0.71040464276092674</v>
      </c>
      <c r="BF3">
        <v>0.72718440234847159</v>
      </c>
    </row>
    <row r="4" spans="1:60" ht="15" x14ac:dyDescent="0.2">
      <c r="A4" s="12" t="s">
        <v>21</v>
      </c>
      <c r="AD4">
        <v>0.40294637434360853</v>
      </c>
      <c r="AE4">
        <v>0.39976807436993422</v>
      </c>
      <c r="AF4">
        <v>0.40402652439816211</v>
      </c>
      <c r="AG4">
        <v>0.4057114706075014</v>
      </c>
      <c r="AH4">
        <v>0.42048860932470672</v>
      </c>
      <c r="AI4">
        <v>0.43057354057284031</v>
      </c>
      <c r="AJ4">
        <v>0.44796622635565569</v>
      </c>
      <c r="AK4">
        <v>0.47309936234004868</v>
      </c>
      <c r="AL4">
        <v>0.46083314554646537</v>
      </c>
      <c r="AM4">
        <v>0.44718238748853328</v>
      </c>
      <c r="AN4">
        <v>0.43793090636047449</v>
      </c>
      <c r="AO4">
        <v>0.47438842119054508</v>
      </c>
      <c r="AP4">
        <v>0.46222571915589611</v>
      </c>
      <c r="AQ4">
        <v>0.51168012020150888</v>
      </c>
      <c r="AR4">
        <v>0.47049425339850209</v>
      </c>
      <c r="AS4">
        <v>0.40406591917031309</v>
      </c>
      <c r="AT4">
        <v>0.39629339735975722</v>
      </c>
      <c r="AU4">
        <v>0.41830157005320528</v>
      </c>
      <c r="AV4">
        <v>0.43633775614931852</v>
      </c>
      <c r="AW4">
        <v>0.42759423613710429</v>
      </c>
      <c r="AX4">
        <v>0.42836706049844758</v>
      </c>
      <c r="AY4">
        <v>0.44693084749180267</v>
      </c>
      <c r="AZ4">
        <v>0.47189525055783521</v>
      </c>
      <c r="BA4">
        <v>0.45792702740675201</v>
      </c>
      <c r="BB4">
        <v>0.44977312998820179</v>
      </c>
      <c r="BC4">
        <v>0.45353896222824269</v>
      </c>
      <c r="BD4">
        <v>0.43094944795628171</v>
      </c>
      <c r="BE4">
        <v>0.45455053250619931</v>
      </c>
      <c r="BF4">
        <v>0.53508583564016821</v>
      </c>
    </row>
    <row r="5" spans="1:60" ht="15" x14ac:dyDescent="0.2">
      <c r="A5" s="12" t="s">
        <v>22</v>
      </c>
      <c r="AD5">
        <v>0.46468919769220213</v>
      </c>
      <c r="AE5">
        <v>0.46396093906891911</v>
      </c>
      <c r="AF5">
        <v>0.47588153434476932</v>
      </c>
      <c r="AG5">
        <v>0.48501838228545813</v>
      </c>
      <c r="AH5">
        <v>0.50506554466506359</v>
      </c>
      <c r="AI5">
        <v>0.52250940707890448</v>
      </c>
      <c r="AJ5">
        <v>0.54208102208066911</v>
      </c>
      <c r="AK5">
        <v>0.57911899313415582</v>
      </c>
      <c r="AL5">
        <v>0.56156019868637741</v>
      </c>
      <c r="AM5">
        <v>0.54913211118567806</v>
      </c>
      <c r="AN5">
        <v>0.54002193969344736</v>
      </c>
      <c r="AO5">
        <v>0.59196282272102618</v>
      </c>
      <c r="AP5">
        <v>0.57920990854878018</v>
      </c>
      <c r="AQ5">
        <v>0.63902286311829304</v>
      </c>
      <c r="AR5">
        <v>0.58647850574909555</v>
      </c>
      <c r="AS5">
        <v>0.51843491623057247</v>
      </c>
      <c r="AT5">
        <v>0.51214564944236374</v>
      </c>
      <c r="AU5">
        <v>0.53538411471718672</v>
      </c>
      <c r="AV5">
        <v>0.55760919815241772</v>
      </c>
      <c r="AW5">
        <v>0.54593092663637288</v>
      </c>
      <c r="AX5">
        <v>0.54684160081489919</v>
      </c>
      <c r="AY5">
        <v>0.56682613620422517</v>
      </c>
      <c r="AZ5">
        <v>0.59610056613777163</v>
      </c>
      <c r="BA5">
        <v>0.57769329887124266</v>
      </c>
      <c r="BB5">
        <v>0.57007556803953507</v>
      </c>
      <c r="BC5">
        <v>0.57541806982637056</v>
      </c>
      <c r="BD5">
        <v>0.5447899894222733</v>
      </c>
      <c r="BE5">
        <v>0.57743237663138791</v>
      </c>
      <c r="BF5">
        <v>0.67902565678807958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F5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2" t="s">
        <v>19</v>
      </c>
      <c r="AD2">
        <v>469.00207253634812</v>
      </c>
      <c r="AE2">
        <v>500.13619999404227</v>
      </c>
      <c r="AF2">
        <v>548.3283829785521</v>
      </c>
      <c r="AG2">
        <v>524.29480449294886</v>
      </c>
      <c r="AH2">
        <v>509.32000327641572</v>
      </c>
      <c r="AI2">
        <v>586.32870456775038</v>
      </c>
      <c r="AJ2">
        <v>501.67301806637431</v>
      </c>
      <c r="AK2">
        <v>489.10011023694659</v>
      </c>
      <c r="AL2">
        <v>488.8688870518032</v>
      </c>
      <c r="AM2">
        <v>520.54262123036176</v>
      </c>
      <c r="AN2">
        <v>530.93525030502531</v>
      </c>
      <c r="AO2">
        <v>479.54106278327151</v>
      </c>
      <c r="AP2">
        <v>551.8296859196372</v>
      </c>
      <c r="AQ2">
        <v>519.1451819694089</v>
      </c>
      <c r="AR2">
        <v>581.75004439596512</v>
      </c>
      <c r="AS2">
        <v>639.44779832348797</v>
      </c>
      <c r="AT2">
        <v>644.13881498383989</v>
      </c>
      <c r="AU2">
        <v>633.85547837316938</v>
      </c>
      <c r="AV2">
        <v>566.74472208074337</v>
      </c>
      <c r="AW2">
        <v>576.68389350762448</v>
      </c>
      <c r="AX2">
        <v>548.56924167852981</v>
      </c>
      <c r="AY2">
        <v>511.34549196132048</v>
      </c>
      <c r="AZ2">
        <v>500.84382989858682</v>
      </c>
      <c r="BA2">
        <v>532.5921070273082</v>
      </c>
      <c r="BB2">
        <v>602.82389757816827</v>
      </c>
      <c r="BC2">
        <v>555.84421176799128</v>
      </c>
      <c r="BD2">
        <v>536.75867349331941</v>
      </c>
      <c r="BE2">
        <v>593.35166973240666</v>
      </c>
      <c r="BF2">
        <v>516.6249334893987</v>
      </c>
    </row>
    <row r="3" spans="1:58" ht="15" x14ac:dyDescent="0.2">
      <c r="A3" s="12" t="s">
        <v>20</v>
      </c>
      <c r="AD3">
        <v>434.14055627521537</v>
      </c>
      <c r="AE3">
        <v>436.05954874600758</v>
      </c>
      <c r="AF3">
        <v>450.72742600214741</v>
      </c>
      <c r="AG3">
        <v>455.06643969593023</v>
      </c>
      <c r="AH3">
        <v>451.16565985705302</v>
      </c>
      <c r="AI3">
        <v>442.67493806931191</v>
      </c>
      <c r="AJ3">
        <v>451.1886429664707</v>
      </c>
      <c r="AK3">
        <v>433.54069905226521</v>
      </c>
      <c r="AL3">
        <v>441.08859548469587</v>
      </c>
      <c r="AM3">
        <v>453.6369470118367</v>
      </c>
      <c r="AN3">
        <v>472.10347125712849</v>
      </c>
      <c r="AO3">
        <v>471.02267924272422</v>
      </c>
      <c r="AP3">
        <v>496.93066309541359</v>
      </c>
      <c r="AQ3">
        <v>473.86377827994232</v>
      </c>
      <c r="AR3">
        <v>500.38728296021071</v>
      </c>
      <c r="AS3">
        <v>530.79992234255587</v>
      </c>
      <c r="AT3">
        <v>553.46112911233081</v>
      </c>
      <c r="AU3">
        <v>554.66040278782646</v>
      </c>
      <c r="AV3">
        <v>551.16503203738046</v>
      </c>
      <c r="AW3">
        <v>563.09350515320011</v>
      </c>
      <c r="AX3">
        <v>555.93227273140917</v>
      </c>
      <c r="AY3">
        <v>561.50154877987347</v>
      </c>
      <c r="AZ3">
        <v>547.87270145256264</v>
      </c>
      <c r="BA3">
        <v>560.78945445472425</v>
      </c>
      <c r="BB3">
        <v>566.4457296017041</v>
      </c>
      <c r="BC3">
        <v>554.22846215868663</v>
      </c>
      <c r="BD3">
        <v>541.61494425175385</v>
      </c>
      <c r="BE3">
        <v>540.15110902689241</v>
      </c>
      <c r="BF3">
        <v>535.5398066376107</v>
      </c>
    </row>
    <row r="4" spans="1:58" ht="15" x14ac:dyDescent="0.2">
      <c r="A4" s="12" t="s">
        <v>21</v>
      </c>
      <c r="AD4">
        <v>752.89912325540035</v>
      </c>
      <c r="AE4">
        <v>759.84838122296833</v>
      </c>
      <c r="AF4">
        <v>752.6383181092018</v>
      </c>
      <c r="AG4">
        <v>750.96349133966828</v>
      </c>
      <c r="AH4">
        <v>727.79153700892721</v>
      </c>
      <c r="AI4">
        <v>714.6019542175934</v>
      </c>
      <c r="AJ4">
        <v>691.91009957147912</v>
      </c>
      <c r="AK4">
        <v>665.63746176067377</v>
      </c>
      <c r="AL4">
        <v>679.54455458836389</v>
      </c>
      <c r="AM4">
        <v>695.7401267310081</v>
      </c>
      <c r="AN4">
        <v>707.8068853773201</v>
      </c>
      <c r="AO4">
        <v>669.90468817919975</v>
      </c>
      <c r="AP4">
        <v>681.94759559297881</v>
      </c>
      <c r="AQ4">
        <v>642.64561107333554</v>
      </c>
      <c r="AR4">
        <v>674.82964431123582</v>
      </c>
      <c r="AS4">
        <v>751.65711816536725</v>
      </c>
      <c r="AT4">
        <v>764.19204352667759</v>
      </c>
      <c r="AU4">
        <v>732.47694581765768</v>
      </c>
      <c r="AV4">
        <v>711.85157083556226</v>
      </c>
      <c r="AW4">
        <v>721.13907606790269</v>
      </c>
      <c r="AX4">
        <v>720.23619366180947</v>
      </c>
      <c r="AY4">
        <v>701.16347450156206</v>
      </c>
      <c r="AZ4">
        <v>679.49203477804383</v>
      </c>
      <c r="BA4">
        <v>691.34069505478737</v>
      </c>
      <c r="BB4">
        <v>698.9062359549456</v>
      </c>
      <c r="BC4">
        <v>695.6971110108617</v>
      </c>
      <c r="BD4">
        <v>717.12417828514231</v>
      </c>
      <c r="BE4">
        <v>695.15185268323637</v>
      </c>
      <c r="BF4">
        <v>641.6628261933688</v>
      </c>
    </row>
    <row r="5" spans="1:58" ht="15" x14ac:dyDescent="0.2">
      <c r="A5" s="12" t="s">
        <v>22</v>
      </c>
      <c r="AD5">
        <v>700.79167521952434</v>
      </c>
      <c r="AE5">
        <v>702.89543369781427</v>
      </c>
      <c r="AF5">
        <v>688.6382980054849</v>
      </c>
      <c r="AG5">
        <v>679.06374435176076</v>
      </c>
      <c r="AH5">
        <v>659.66631630580912</v>
      </c>
      <c r="AI5">
        <v>645.26129225140505</v>
      </c>
      <c r="AJ5">
        <v>630.29201889778483</v>
      </c>
      <c r="AK5">
        <v>606.51919888479551</v>
      </c>
      <c r="AL5">
        <v>618.48644287028276</v>
      </c>
      <c r="AM5">
        <v>627.61593284453625</v>
      </c>
      <c r="AN5">
        <v>634.89881702964658</v>
      </c>
      <c r="AO5">
        <v>602.91749546943254</v>
      </c>
      <c r="AP5">
        <v>610.53205604742197</v>
      </c>
      <c r="AQ5">
        <v>582.58286775875013</v>
      </c>
      <c r="AR5">
        <v>607.22516536146941</v>
      </c>
      <c r="AS5">
        <v>652.02360530838098</v>
      </c>
      <c r="AT5">
        <v>657.47119088372892</v>
      </c>
      <c r="AU5">
        <v>639.82243659468543</v>
      </c>
      <c r="AV5">
        <v>625.97382815182004</v>
      </c>
      <c r="AW5">
        <v>633.02507887721765</v>
      </c>
      <c r="AX5">
        <v>632.55167786271807</v>
      </c>
      <c r="AY5">
        <v>621.14725303569185</v>
      </c>
      <c r="AZ5">
        <v>606.63403594096508</v>
      </c>
      <c r="BA5">
        <v>615.65824688715713</v>
      </c>
      <c r="BB5">
        <v>619.74791364614737</v>
      </c>
      <c r="BC5">
        <v>617.1853738721569</v>
      </c>
      <c r="BD5">
        <v>633.50938174301643</v>
      </c>
      <c r="BE5">
        <v>616.36186933753322</v>
      </c>
      <c r="BF5">
        <v>578.1642839743082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F17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 t="s">
        <v>23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5" t="s">
        <v>19</v>
      </c>
      <c r="B2" s="12" t="s">
        <v>19</v>
      </c>
      <c r="C2">
        <v>3.9261565614990759</v>
      </c>
      <c r="D2">
        <v>4.0349952823408586</v>
      </c>
      <c r="E2">
        <v>4.4500950640727126</v>
      </c>
      <c r="F2">
        <v>4.0081233004354546</v>
      </c>
      <c r="G2">
        <v>3.904805518241373</v>
      </c>
      <c r="H2">
        <v>4.3231716348802571</v>
      </c>
      <c r="I2">
        <v>3.973430183666264</v>
      </c>
      <c r="J2">
        <v>4.0253555012208473</v>
      </c>
      <c r="K2">
        <v>4.0962088577340223</v>
      </c>
      <c r="L2">
        <v>4.0876652471014312</v>
      </c>
      <c r="M2">
        <v>4.1451744107628583</v>
      </c>
      <c r="N2">
        <v>4.4654444012001928</v>
      </c>
      <c r="O2">
        <v>4.3775721913344388</v>
      </c>
      <c r="P2">
        <v>4.2334370349654158</v>
      </c>
      <c r="Q2">
        <v>4.0318840884669154</v>
      </c>
      <c r="R2">
        <v>4.4820897902742516</v>
      </c>
      <c r="S2">
        <v>4.5930998622553343</v>
      </c>
      <c r="T2">
        <v>4.7561993419240691</v>
      </c>
      <c r="U2">
        <v>4.6591604857229294</v>
      </c>
      <c r="V2">
        <v>4.9966125231676788</v>
      </c>
      <c r="W2">
        <v>5.0828053485136273</v>
      </c>
      <c r="X2">
        <v>5.7668021889182439</v>
      </c>
      <c r="Y2">
        <v>5.8214414742532536</v>
      </c>
      <c r="Z2">
        <v>5.9029333742093888</v>
      </c>
      <c r="AA2">
        <v>6.0788038225557246</v>
      </c>
      <c r="AB2">
        <v>5.335513641145246</v>
      </c>
      <c r="AC2">
        <v>4.7759267906047231</v>
      </c>
      <c r="AD2">
        <v>4.7542305720605409</v>
      </c>
      <c r="AE2">
        <v>4.4204490890537489</v>
      </c>
      <c r="AF2">
        <v>4.175152981488333</v>
      </c>
      <c r="AG2">
        <v>4.3037873041109469</v>
      </c>
      <c r="AH2">
        <v>4.3305758017080063</v>
      </c>
      <c r="AI2">
        <v>4.0195129491367521</v>
      </c>
      <c r="AJ2">
        <v>3.921425365651436</v>
      </c>
      <c r="AK2">
        <v>3.8227225390551758</v>
      </c>
      <c r="AL2">
        <v>5.0013064405716676</v>
      </c>
      <c r="AM2">
        <v>5.1163700693163809</v>
      </c>
      <c r="AN2">
        <v>5.3496937601908279</v>
      </c>
      <c r="AO2">
        <v>5.6087626510316371</v>
      </c>
      <c r="AP2">
        <v>5.739011732023334</v>
      </c>
      <c r="AQ2">
        <v>5.8969920848733084</v>
      </c>
      <c r="AR2">
        <v>6.1299087177210669</v>
      </c>
      <c r="AS2">
        <v>5.6097504679221073</v>
      </c>
      <c r="AT2">
        <v>5.9016049666542107</v>
      </c>
      <c r="AU2">
        <v>5.055889451067201</v>
      </c>
      <c r="AV2">
        <v>5.0774882411119471</v>
      </c>
      <c r="AW2">
        <v>5.3982742095224863</v>
      </c>
      <c r="AX2">
        <v>5.3719756640604741</v>
      </c>
      <c r="AY2">
        <v>5.3917733278964937</v>
      </c>
      <c r="AZ2">
        <v>5.3985515275946518</v>
      </c>
      <c r="BA2">
        <v>5.1140262341557214</v>
      </c>
      <c r="BB2">
        <v>4.9372224789576231</v>
      </c>
      <c r="BC2">
        <v>4.950372300078631</v>
      </c>
      <c r="BD2">
        <v>5.5016007448116602</v>
      </c>
      <c r="BE2">
        <v>5.0109948031339666</v>
      </c>
      <c r="BF2">
        <v>4.3129894630851977</v>
      </c>
    </row>
    <row r="3" spans="1:58" ht="15" x14ac:dyDescent="0.2">
      <c r="A3" s="15"/>
      <c r="B3" s="12" t="s">
        <v>20</v>
      </c>
      <c r="C3">
        <v>6.7779455250722966</v>
      </c>
      <c r="D3">
        <v>6.9050964297886166</v>
      </c>
      <c r="E3">
        <v>6.4255474653835831</v>
      </c>
      <c r="F3">
        <v>6.7655695575734356</v>
      </c>
      <c r="G3">
        <v>7.2387449701620206</v>
      </c>
      <c r="H3">
        <v>6.8421132776101707</v>
      </c>
      <c r="I3">
        <v>6.9519606054115677</v>
      </c>
      <c r="J3">
        <v>6.6847123901692527</v>
      </c>
      <c r="K3">
        <v>5.6415003449210532</v>
      </c>
      <c r="L3">
        <v>5.49775739766031</v>
      </c>
      <c r="M3">
        <v>5.4626044082246734</v>
      </c>
      <c r="N3">
        <v>5.0769361710941103</v>
      </c>
      <c r="O3">
        <v>5.0029158077007141</v>
      </c>
      <c r="P3">
        <v>5.1677541055967051</v>
      </c>
      <c r="Q3">
        <v>5.2849936313934824</v>
      </c>
      <c r="R3">
        <v>4.7880783576900878</v>
      </c>
      <c r="S3">
        <v>4.8093243041804481</v>
      </c>
      <c r="T3">
        <v>5.0634764826584693</v>
      </c>
      <c r="U3">
        <v>5.0418422474503473</v>
      </c>
      <c r="V3">
        <v>4.8969735723437378</v>
      </c>
      <c r="W3">
        <v>5.0618047079379043</v>
      </c>
      <c r="X3">
        <v>5.3278709427084747</v>
      </c>
      <c r="Y3">
        <v>5.0496310435574552</v>
      </c>
      <c r="Z3">
        <v>4.9360593530114043</v>
      </c>
      <c r="AA3">
        <v>4.8378415039477876</v>
      </c>
      <c r="AB3">
        <v>5.1258453718805406</v>
      </c>
      <c r="AC3">
        <v>5.1312485826195857</v>
      </c>
      <c r="AD3">
        <v>4.9974252831293411</v>
      </c>
      <c r="AE3">
        <v>5.1357707079247374</v>
      </c>
      <c r="AF3">
        <v>5.7445307793780316</v>
      </c>
      <c r="AG3">
        <v>5.8234732817961889</v>
      </c>
      <c r="AH3">
        <v>5.5690257732250084</v>
      </c>
      <c r="AI3">
        <v>6.2091526713715206</v>
      </c>
      <c r="AJ3">
        <v>6.07254380519446</v>
      </c>
      <c r="AK3">
        <v>5.9830411251141902</v>
      </c>
      <c r="AL3">
        <v>3.8753806239097019</v>
      </c>
      <c r="AM3">
        <v>3.628381946531118</v>
      </c>
      <c r="AN3">
        <v>3.4253410827862871</v>
      </c>
      <c r="AO3">
        <v>3.53494854662826</v>
      </c>
      <c r="AP3">
        <v>3.63143780751229</v>
      </c>
      <c r="AQ3">
        <v>3.401259751913102</v>
      </c>
      <c r="AR3">
        <v>3.5114629917900788</v>
      </c>
      <c r="AS3">
        <v>3.3984359318997459</v>
      </c>
      <c r="AT3">
        <v>3.33577776732638</v>
      </c>
      <c r="AU3">
        <v>3.4702824503503882</v>
      </c>
      <c r="AV3">
        <v>3.566493717960876</v>
      </c>
      <c r="AW3">
        <v>3.623979220188164</v>
      </c>
      <c r="AX3">
        <v>3.5059533646855821</v>
      </c>
      <c r="AY3">
        <v>3.3597086389570019</v>
      </c>
      <c r="AZ3">
        <v>3.2336552709090221</v>
      </c>
      <c r="BA3">
        <v>3.3539512262314761</v>
      </c>
      <c r="BB3">
        <v>3.2396172216574222</v>
      </c>
      <c r="BC3">
        <v>3.2041284235285592</v>
      </c>
      <c r="BD3">
        <v>3.1006229710253961</v>
      </c>
      <c r="BE3">
        <v>3.289374574493567</v>
      </c>
      <c r="BF3">
        <v>3.2913143615982068</v>
      </c>
    </row>
    <row r="4" spans="1:58" ht="15" x14ac:dyDescent="0.2">
      <c r="A4" s="15"/>
      <c r="B4" s="12" t="s">
        <v>21</v>
      </c>
      <c r="C4">
        <v>1.027053822780591</v>
      </c>
      <c r="D4">
        <v>1.0265571885509599</v>
      </c>
      <c r="E4">
        <v>1.0258861827966641</v>
      </c>
      <c r="F4">
        <v>1.0250833706556299</v>
      </c>
      <c r="G4">
        <v>1.0239571720066869</v>
      </c>
      <c r="H4">
        <v>1.022995750876601</v>
      </c>
      <c r="I4">
        <v>1.022846564778169</v>
      </c>
      <c r="J4">
        <v>1.0224693874607691</v>
      </c>
      <c r="K4">
        <v>1.021017015470624</v>
      </c>
      <c r="L4">
        <v>1.0195358656838489</v>
      </c>
      <c r="M4">
        <v>1.0178108041350671</v>
      </c>
      <c r="N4">
        <v>1.01697852086046</v>
      </c>
      <c r="O4">
        <v>1.015114993550178</v>
      </c>
      <c r="P4">
        <v>1.014055316275726</v>
      </c>
      <c r="Q4">
        <v>1.0134711741699809</v>
      </c>
      <c r="R4">
        <v>1.01212708937007</v>
      </c>
      <c r="S4">
        <v>1.0110330895334581</v>
      </c>
      <c r="T4">
        <v>1.0112371299441001</v>
      </c>
      <c r="U4">
        <v>1.010176665831962</v>
      </c>
      <c r="V4">
        <v>1.008723426938688</v>
      </c>
      <c r="W4">
        <v>1.0076276186930551</v>
      </c>
      <c r="X4">
        <v>1.0063019857273481</v>
      </c>
      <c r="Y4">
        <v>1.0065482024820349</v>
      </c>
      <c r="Z4">
        <v>1.0064448108159969</v>
      </c>
      <c r="AA4">
        <v>1.0063741333777501</v>
      </c>
      <c r="AB4">
        <v>1.0071964552049959</v>
      </c>
      <c r="AC4">
        <v>1.0066103425918751</v>
      </c>
      <c r="AD4">
        <v>1.0061797295956321</v>
      </c>
      <c r="AE4">
        <v>1.005710675566402</v>
      </c>
      <c r="AF4">
        <v>1.004570888250252</v>
      </c>
      <c r="AG4">
        <v>1.0052753633649221</v>
      </c>
      <c r="AH4">
        <v>1.004386859090348</v>
      </c>
      <c r="AI4">
        <v>1.0035186661039579</v>
      </c>
      <c r="AJ4">
        <v>1.003091167759917</v>
      </c>
      <c r="AK4">
        <v>1.003314982545598</v>
      </c>
      <c r="AL4">
        <v>1.002929530354004</v>
      </c>
      <c r="AM4">
        <v>1.0030970693949901</v>
      </c>
      <c r="AN4">
        <v>1.0031114947283479</v>
      </c>
      <c r="AO4">
        <v>1.0032819816672329</v>
      </c>
      <c r="AP4">
        <v>1.003536357211531</v>
      </c>
      <c r="AQ4">
        <v>1.0023736912033241</v>
      </c>
      <c r="AR4">
        <v>1.002092621259161</v>
      </c>
      <c r="AS4">
        <v>1.002392502256376</v>
      </c>
      <c r="AT4">
        <v>1.001957651006679</v>
      </c>
      <c r="AU4">
        <v>1.0018862003882429</v>
      </c>
      <c r="AV4">
        <v>1.0018641675687581</v>
      </c>
      <c r="AW4">
        <v>1.0014891939773869</v>
      </c>
      <c r="AX4">
        <v>1.0014725308708969</v>
      </c>
      <c r="AY4">
        <v>1.0012289531840011</v>
      </c>
      <c r="AZ4">
        <v>1.001147102968279</v>
      </c>
      <c r="BA4">
        <v>1.0009512149776081</v>
      </c>
      <c r="BB4">
        <v>1.0008769121107599</v>
      </c>
      <c r="BC4">
        <v>1.0015548497459521</v>
      </c>
      <c r="BD4">
        <v>1.0014327545522299</v>
      </c>
      <c r="BE4">
        <v>1.0013966070456071</v>
      </c>
      <c r="BF4">
        <v>1.00135191032542</v>
      </c>
    </row>
    <row r="5" spans="1:58" ht="15" x14ac:dyDescent="0.2">
      <c r="A5" s="15"/>
      <c r="B5" s="12" t="s">
        <v>22</v>
      </c>
      <c r="C5">
        <v>1.617299802861303</v>
      </c>
      <c r="D5">
        <v>1.5761544095383311</v>
      </c>
      <c r="E5">
        <v>1.546249948587995</v>
      </c>
      <c r="F5">
        <v>1.598251746006083</v>
      </c>
      <c r="G5">
        <v>1.57790908251358</v>
      </c>
      <c r="H5">
        <v>1.528520342375673</v>
      </c>
      <c r="I5">
        <v>1.5893449079746</v>
      </c>
      <c r="J5">
        <v>1.606586224421138</v>
      </c>
      <c r="K5">
        <v>1.7241204235230529</v>
      </c>
      <c r="L5">
        <v>1.7459871700016949</v>
      </c>
      <c r="M5">
        <v>1.7350070687230641</v>
      </c>
      <c r="N5">
        <v>1.721347482656358</v>
      </c>
      <c r="O5">
        <v>1.756830179467388</v>
      </c>
      <c r="P5">
        <v>1.7678937656303759</v>
      </c>
      <c r="Q5">
        <v>1.808073131403495</v>
      </c>
      <c r="R5">
        <v>1.7813664796397211</v>
      </c>
      <c r="S5">
        <v>1.7507689007727389</v>
      </c>
      <c r="T5">
        <v>1.6708277511230389</v>
      </c>
      <c r="U5">
        <v>1.693558123203359</v>
      </c>
      <c r="V5">
        <v>1.6510458646726001</v>
      </c>
      <c r="W5">
        <v>1.6150241018959279</v>
      </c>
      <c r="X5">
        <v>1.4828644972851579</v>
      </c>
      <c r="Y5">
        <v>1.50738485628226</v>
      </c>
      <c r="Z5">
        <v>1.5128705068575521</v>
      </c>
      <c r="AA5">
        <v>1.5063720558002489</v>
      </c>
      <c r="AB5">
        <v>1.556800903095398</v>
      </c>
      <c r="AC5">
        <v>1.6379611131348379</v>
      </c>
      <c r="AD5">
        <v>1.657671480442056</v>
      </c>
      <c r="AE5">
        <v>1.699827116311204</v>
      </c>
      <c r="AF5">
        <v>1.691034475106143</v>
      </c>
      <c r="AG5">
        <v>1.657059509670654</v>
      </c>
      <c r="AH5">
        <v>1.678478108295463</v>
      </c>
      <c r="AI5">
        <v>1.687683282224272</v>
      </c>
      <c r="AJ5">
        <v>1.7197855222272671</v>
      </c>
      <c r="AK5">
        <v>1.7523176292210809</v>
      </c>
      <c r="AL5">
        <v>1.847188506241052</v>
      </c>
      <c r="AM5">
        <v>1.8954733633622309</v>
      </c>
      <c r="AN5">
        <v>1.9232779486426179</v>
      </c>
      <c r="AO5">
        <v>1.855244813321683</v>
      </c>
      <c r="AP5">
        <v>1.8184317419877181</v>
      </c>
      <c r="AQ5">
        <v>1.866775126507062</v>
      </c>
      <c r="AR5">
        <v>1.810593070879329</v>
      </c>
      <c r="AS5">
        <v>1.899976317521836</v>
      </c>
      <c r="AT5">
        <v>1.891040706715138</v>
      </c>
      <c r="AU5">
        <v>1.9408908802128859</v>
      </c>
      <c r="AV5">
        <v>1.910240177694432</v>
      </c>
      <c r="AW5">
        <v>1.854065897854499</v>
      </c>
      <c r="AX5">
        <v>1.894566612471148</v>
      </c>
      <c r="AY5">
        <v>1.9408853583283869</v>
      </c>
      <c r="AZ5">
        <v>1.9847877649222321</v>
      </c>
      <c r="BA5">
        <v>1.9780210148343449</v>
      </c>
      <c r="BB5">
        <v>2.0448015227356162</v>
      </c>
      <c r="BC5">
        <v>2.0567400587682232</v>
      </c>
      <c r="BD5">
        <v>2.0172723414007652</v>
      </c>
      <c r="BE5">
        <v>2.0143840413704539</v>
      </c>
      <c r="BF5">
        <v>2.1472053083840281</v>
      </c>
    </row>
    <row r="6" spans="1:58" ht="15" x14ac:dyDescent="0.2">
      <c r="A6" s="15" t="s">
        <v>20</v>
      </c>
      <c r="B6" s="12" t="s">
        <v>19</v>
      </c>
      <c r="C6">
        <v>2.001104387320134</v>
      </c>
      <c r="D6">
        <v>2.187480171163998</v>
      </c>
      <c r="E6">
        <v>2.2257612565162428</v>
      </c>
      <c r="F6">
        <v>2.246837481206609</v>
      </c>
      <c r="G6">
        <v>2.3428213000165221</v>
      </c>
      <c r="H6">
        <v>2.4486908657483548</v>
      </c>
      <c r="I6">
        <v>2.3262995246797189</v>
      </c>
      <c r="J6">
        <v>2.4289006362945349</v>
      </c>
      <c r="K6">
        <v>2.3664545686622498</v>
      </c>
      <c r="L6">
        <v>2.4458980725840789</v>
      </c>
      <c r="M6">
        <v>2.4888784072970869</v>
      </c>
      <c r="N6">
        <v>2.444869840109114</v>
      </c>
      <c r="O6">
        <v>2.5923728769399381</v>
      </c>
      <c r="P6">
        <v>2.669047767633614</v>
      </c>
      <c r="Q6">
        <v>2.6943930337217168</v>
      </c>
      <c r="R6">
        <v>2.5684966224152288</v>
      </c>
      <c r="S6">
        <v>2.365834394967417</v>
      </c>
      <c r="T6">
        <v>2.4395898589399652</v>
      </c>
      <c r="U6">
        <v>2.551946630853255</v>
      </c>
      <c r="V6">
        <v>2.5936180963622308</v>
      </c>
      <c r="W6">
        <v>2.6784026506911949</v>
      </c>
      <c r="X6">
        <v>2.713291487483716</v>
      </c>
      <c r="Y6">
        <v>2.689128225692162</v>
      </c>
      <c r="Z6">
        <v>2.759250786541894</v>
      </c>
      <c r="AA6">
        <v>2.72611774230533</v>
      </c>
      <c r="AB6">
        <v>2.6947184265372681</v>
      </c>
      <c r="AC6">
        <v>2.648423063134405</v>
      </c>
      <c r="AD6">
        <v>2.6154084103288069</v>
      </c>
      <c r="AE6">
        <v>2.595844052563689</v>
      </c>
      <c r="AF6">
        <v>2.471905591756824</v>
      </c>
      <c r="AG6">
        <v>2.4164586201033318</v>
      </c>
      <c r="AH6">
        <v>2.4298940096982391</v>
      </c>
      <c r="AI6">
        <v>2.378076069302101</v>
      </c>
      <c r="AJ6">
        <v>2.4303006258113991</v>
      </c>
      <c r="AK6">
        <v>2.445350775119381</v>
      </c>
      <c r="AL6">
        <v>2.3531104975568939</v>
      </c>
      <c r="AM6">
        <v>2.345306476841694</v>
      </c>
      <c r="AN6">
        <v>2.342084980095084</v>
      </c>
      <c r="AO6">
        <v>2.4656231565973741</v>
      </c>
      <c r="AP6">
        <v>2.5090093858520031</v>
      </c>
      <c r="AQ6">
        <v>2.4531650573530031</v>
      </c>
      <c r="AR6">
        <v>2.478554341078421</v>
      </c>
      <c r="AS6">
        <v>2.624046100789883</v>
      </c>
      <c r="AT6">
        <v>2.435894449825418</v>
      </c>
      <c r="AU6">
        <v>2.4769853865448659</v>
      </c>
      <c r="AV6">
        <v>2.4909838614680848</v>
      </c>
      <c r="AW6">
        <v>2.4997048443849521</v>
      </c>
      <c r="AX6">
        <v>2.4629880886450439</v>
      </c>
      <c r="AY6">
        <v>2.507612084189299</v>
      </c>
      <c r="AZ6">
        <v>2.590779139847605</v>
      </c>
      <c r="BA6">
        <v>2.6520139535837401</v>
      </c>
      <c r="BB6">
        <v>2.6675685554612989</v>
      </c>
      <c r="BC6">
        <v>2.634719148941373</v>
      </c>
      <c r="BD6">
        <v>2.6761163475674792</v>
      </c>
      <c r="BE6">
        <v>2.634546443608432</v>
      </c>
      <c r="BF6">
        <v>2.6702696458798498</v>
      </c>
    </row>
    <row r="7" spans="1:58" ht="15" x14ac:dyDescent="0.2">
      <c r="A7" s="15"/>
      <c r="B7" s="12" t="s">
        <v>20</v>
      </c>
      <c r="C7">
        <v>4.6904792468325294</v>
      </c>
      <c r="D7">
        <v>4.0901876186672999</v>
      </c>
      <c r="E7">
        <v>4.0274604994699317</v>
      </c>
      <c r="F7">
        <v>3.974258090259613</v>
      </c>
      <c r="G7">
        <v>3.833389072849851</v>
      </c>
      <c r="H7">
        <v>3.6267314833940638</v>
      </c>
      <c r="I7">
        <v>3.8958000545482152</v>
      </c>
      <c r="J7">
        <v>3.7179640062080881</v>
      </c>
      <c r="K7">
        <v>3.8181081959143448</v>
      </c>
      <c r="L7">
        <v>3.6693314514666509</v>
      </c>
      <c r="M7">
        <v>3.4761480964130609</v>
      </c>
      <c r="N7">
        <v>3.512633325751485</v>
      </c>
      <c r="O7">
        <v>3.1389337424507961</v>
      </c>
      <c r="P7">
        <v>3.0665322198740501</v>
      </c>
      <c r="Q7">
        <v>3.0291615537280911</v>
      </c>
      <c r="R7">
        <v>3.4499606256344708</v>
      </c>
      <c r="S7">
        <v>4.1171382086965309</v>
      </c>
      <c r="T7">
        <v>4.0174871256198301</v>
      </c>
      <c r="U7">
        <v>3.520717029138241</v>
      </c>
      <c r="V7">
        <v>3.4566146771020372</v>
      </c>
      <c r="W7">
        <v>3.4529063290968862</v>
      </c>
      <c r="X7">
        <v>3.3895673700895088</v>
      </c>
      <c r="Y7">
        <v>3.5064155497029161</v>
      </c>
      <c r="Z7">
        <v>3.3750791330810328</v>
      </c>
      <c r="AA7">
        <v>3.5193664340702959</v>
      </c>
      <c r="AB7">
        <v>3.419390347348457</v>
      </c>
      <c r="AC7">
        <v>3.3003232587719058</v>
      </c>
      <c r="AD7">
        <v>3.4623379037761191</v>
      </c>
      <c r="AE7">
        <v>3.37734590117085</v>
      </c>
      <c r="AF7">
        <v>3.8559657303184212</v>
      </c>
      <c r="AG7">
        <v>4.0568064213589077</v>
      </c>
      <c r="AH7">
        <v>3.9157419065620411</v>
      </c>
      <c r="AI7">
        <v>4.2869903707659542</v>
      </c>
      <c r="AJ7">
        <v>4.0955907336582911</v>
      </c>
      <c r="AK7">
        <v>4.0023135421798122</v>
      </c>
      <c r="AL7">
        <v>4.2536927326752174</v>
      </c>
      <c r="AM7">
        <v>4.0624380810621954</v>
      </c>
      <c r="AN7">
        <v>3.994663191664626</v>
      </c>
      <c r="AO7">
        <v>3.8571344635209379</v>
      </c>
      <c r="AP7">
        <v>3.776146292206501</v>
      </c>
      <c r="AQ7">
        <v>3.7255032211306172</v>
      </c>
      <c r="AR7">
        <v>3.783124612373896</v>
      </c>
      <c r="AS7">
        <v>3.5934773833684162</v>
      </c>
      <c r="AT7">
        <v>3.771013754497873</v>
      </c>
      <c r="AU7">
        <v>3.804001367606018</v>
      </c>
      <c r="AV7">
        <v>3.6639465272160159</v>
      </c>
      <c r="AW7">
        <v>3.609363931109395</v>
      </c>
      <c r="AX7">
        <v>3.6014161122084349</v>
      </c>
      <c r="AY7">
        <v>3.5677499737138461</v>
      </c>
      <c r="AZ7">
        <v>3.8134513337256859</v>
      </c>
      <c r="BA7">
        <v>3.7870355072815891</v>
      </c>
      <c r="BB7">
        <v>3.766281889055723</v>
      </c>
      <c r="BC7">
        <v>3.6527870991176719</v>
      </c>
      <c r="BD7">
        <v>3.7155451919558051</v>
      </c>
      <c r="BE7">
        <v>3.7033315049257038</v>
      </c>
      <c r="BF7">
        <v>3.655184036335108</v>
      </c>
    </row>
    <row r="8" spans="1:58" ht="15" x14ac:dyDescent="0.2">
      <c r="A8" s="15"/>
      <c r="B8" s="12" t="s">
        <v>21</v>
      </c>
      <c r="C8">
        <v>1.005428016305778</v>
      </c>
      <c r="D8">
        <v>1.0055056546959229</v>
      </c>
      <c r="E8">
        <v>1.0054497101393911</v>
      </c>
      <c r="F8">
        <v>1.005423131217775</v>
      </c>
      <c r="G8">
        <v>1.005565800340749</v>
      </c>
      <c r="H8">
        <v>1.0055341238728419</v>
      </c>
      <c r="I8">
        <v>1.0051505650850709</v>
      </c>
      <c r="J8">
        <v>1.0056077307326401</v>
      </c>
      <c r="K8">
        <v>1.0047171699843089</v>
      </c>
      <c r="L8">
        <v>1.0043769195241361</v>
      </c>
      <c r="M8">
        <v>1.0040731339973481</v>
      </c>
      <c r="N8">
        <v>1.0039848143045931</v>
      </c>
      <c r="O8">
        <v>1.003691421138915</v>
      </c>
      <c r="P8">
        <v>1.003638881677327</v>
      </c>
      <c r="Q8">
        <v>1.00364837906941</v>
      </c>
      <c r="R8">
        <v>1.0034942221433929</v>
      </c>
      <c r="S8">
        <v>1.003365602681014</v>
      </c>
      <c r="T8">
        <v>1.003690690116761</v>
      </c>
      <c r="U8">
        <v>1.003391278806183</v>
      </c>
      <c r="V8">
        <v>1.0031079968556209</v>
      </c>
      <c r="W8">
        <v>1.0034241446268439</v>
      </c>
      <c r="X8">
        <v>1.003061875289383</v>
      </c>
      <c r="Y8">
        <v>1.003172118597949</v>
      </c>
      <c r="Z8">
        <v>1.0031751245921361</v>
      </c>
      <c r="AA8">
        <v>1.003243064816973</v>
      </c>
      <c r="AB8">
        <v>1.00341106333636</v>
      </c>
      <c r="AC8">
        <v>1.0030760568819159</v>
      </c>
      <c r="AD8">
        <v>1.0031585403678931</v>
      </c>
      <c r="AE8">
        <v>1.0031051180839281</v>
      </c>
      <c r="AF8">
        <v>1.003253523789631</v>
      </c>
      <c r="AG8">
        <v>1.003370975671539</v>
      </c>
      <c r="AH8">
        <v>1.003009806101762</v>
      </c>
      <c r="AI8">
        <v>1.0030532368024749</v>
      </c>
      <c r="AJ8">
        <v>1.00241046369696</v>
      </c>
      <c r="AK8">
        <v>1.002409014303596</v>
      </c>
      <c r="AL8">
        <v>1.002081211798274</v>
      </c>
      <c r="AM8">
        <v>1.0021082523094109</v>
      </c>
      <c r="AN8">
        <v>1.002051941570528</v>
      </c>
      <c r="AO8">
        <v>1.0026685925402321</v>
      </c>
      <c r="AP8">
        <v>1.002562176815611</v>
      </c>
      <c r="AQ8">
        <v>1.002159501506797</v>
      </c>
      <c r="AR8">
        <v>1.001822125187281</v>
      </c>
      <c r="AS8">
        <v>1.001992323146458</v>
      </c>
      <c r="AT8">
        <v>1.0017295252998659</v>
      </c>
      <c r="AU8">
        <v>1.0017508587888599</v>
      </c>
      <c r="AV8">
        <v>1.001917080923675</v>
      </c>
      <c r="AW8">
        <v>1.0018435363320251</v>
      </c>
      <c r="AX8">
        <v>1.002269373773069</v>
      </c>
      <c r="AY8">
        <v>1.0021794118178331</v>
      </c>
      <c r="AZ8">
        <v>1.0022140335622041</v>
      </c>
      <c r="BA8">
        <v>1.001980424848935</v>
      </c>
      <c r="BB8">
        <v>1.001990864925802</v>
      </c>
      <c r="BC8">
        <v>1.0021579706954531</v>
      </c>
      <c r="BD8">
        <v>1.001997547701537</v>
      </c>
      <c r="BE8">
        <v>1.001302035553199</v>
      </c>
      <c r="BF8">
        <v>1.0020739975897131</v>
      </c>
    </row>
    <row r="9" spans="1:58" ht="15" x14ac:dyDescent="0.2">
      <c r="A9" s="15"/>
      <c r="B9" s="12" t="s">
        <v>22</v>
      </c>
      <c r="C9">
        <v>4.078726834684387</v>
      </c>
      <c r="D9">
        <v>3.6590764108378249</v>
      </c>
      <c r="E9">
        <v>3.5504866648814821</v>
      </c>
      <c r="F9">
        <v>3.5175515875749461</v>
      </c>
      <c r="G9">
        <v>3.2977382880185768</v>
      </c>
      <c r="H9">
        <v>3.1896781299022008</v>
      </c>
      <c r="I9">
        <v>3.3039675777855542</v>
      </c>
      <c r="J9">
        <v>3.1393552644221141</v>
      </c>
      <c r="K9">
        <v>3.2194981916355729</v>
      </c>
      <c r="L9">
        <v>3.133278703918871</v>
      </c>
      <c r="M9">
        <v>3.232742160124916</v>
      </c>
      <c r="N9">
        <v>3.3235032601699062</v>
      </c>
      <c r="O9">
        <v>3.4223331714583161</v>
      </c>
      <c r="P9">
        <v>3.323882527531258</v>
      </c>
      <c r="Q9">
        <v>3.318462361366926</v>
      </c>
      <c r="R9">
        <v>3.086576676337434</v>
      </c>
      <c r="S9">
        <v>3.0304487721396192</v>
      </c>
      <c r="T9">
        <v>2.9165579796153231</v>
      </c>
      <c r="U9">
        <v>3.0746572962264511</v>
      </c>
      <c r="V9">
        <v>3.0465657972134408</v>
      </c>
      <c r="W9">
        <v>2.885108834211942</v>
      </c>
      <c r="X9">
        <v>2.8814120942652881</v>
      </c>
      <c r="Y9">
        <v>2.8249782000783479</v>
      </c>
      <c r="Z9">
        <v>2.8139307376677909</v>
      </c>
      <c r="AA9">
        <v>2.7536250967043978</v>
      </c>
      <c r="AB9">
        <v>2.8724078729260611</v>
      </c>
      <c r="AC9">
        <v>3.0582638945587082</v>
      </c>
      <c r="AD9">
        <v>2.973542374355362</v>
      </c>
      <c r="AE9">
        <v>3.0757296817170761</v>
      </c>
      <c r="AF9">
        <v>2.9347703069182178</v>
      </c>
      <c r="AG9">
        <v>2.9162303971941199</v>
      </c>
      <c r="AH9">
        <v>2.9724627931579679</v>
      </c>
      <c r="AI9">
        <v>2.8656325165628349</v>
      </c>
      <c r="AJ9">
        <v>2.8765610976980729</v>
      </c>
      <c r="AK9">
        <v>2.898554680352492</v>
      </c>
      <c r="AL9">
        <v>2.93306387534165</v>
      </c>
      <c r="AM9">
        <v>3.039650224296027</v>
      </c>
      <c r="AN9">
        <v>3.0812882169873199</v>
      </c>
      <c r="AO9">
        <v>2.9706200536679712</v>
      </c>
      <c r="AP9">
        <v>2.9629720273478952</v>
      </c>
      <c r="AQ9">
        <v>3.065088289604522</v>
      </c>
      <c r="AR9">
        <v>2.995964136661367</v>
      </c>
      <c r="AS9">
        <v>2.9275840006706768</v>
      </c>
      <c r="AT9">
        <v>3.049805165821287</v>
      </c>
      <c r="AU9">
        <v>2.9749933993593012</v>
      </c>
      <c r="AV9">
        <v>3.0439828636251942</v>
      </c>
      <c r="AW9">
        <v>3.0688846169533082</v>
      </c>
      <c r="AX9">
        <v>3.1334419543634362</v>
      </c>
      <c r="AY9">
        <v>3.0896799253899649</v>
      </c>
      <c r="AZ9">
        <v>2.8381666710621958</v>
      </c>
      <c r="BA9">
        <v>2.7897066054856272</v>
      </c>
      <c r="BB9">
        <v>2.7839072056309311</v>
      </c>
      <c r="BC9">
        <v>2.8823962941383501</v>
      </c>
      <c r="BD9">
        <v>2.799672285662282</v>
      </c>
      <c r="BE9">
        <v>2.8538740479205171</v>
      </c>
      <c r="BF9">
        <v>2.8446953452484491</v>
      </c>
    </row>
    <row r="10" spans="1:58" ht="15" x14ac:dyDescent="0.2">
      <c r="A10" s="15" t="s">
        <v>21</v>
      </c>
      <c r="B10" s="12" t="s">
        <v>19</v>
      </c>
      <c r="C10">
        <v>11.245574493393899</v>
      </c>
      <c r="D10">
        <v>12.143773211727639</v>
      </c>
      <c r="E10">
        <v>13.447232339525531</v>
      </c>
      <c r="F10">
        <v>13.32411801312149</v>
      </c>
      <c r="G10">
        <v>13.32814028312378</v>
      </c>
      <c r="H10">
        <v>14.55628178530268</v>
      </c>
      <c r="I10">
        <v>14.16606467273885</v>
      </c>
      <c r="J10">
        <v>14.22189266807284</v>
      </c>
      <c r="K10">
        <v>13.61429444653457</v>
      </c>
      <c r="L10">
        <v>14.314013196056051</v>
      </c>
      <c r="M10">
        <v>14.474628732585289</v>
      </c>
      <c r="N10">
        <v>14.253840173250889</v>
      </c>
      <c r="O10">
        <v>14.428245250784411</v>
      </c>
      <c r="P10">
        <v>14.038276472705149</v>
      </c>
      <c r="Q10">
        <v>13.555188691669681</v>
      </c>
      <c r="R10">
        <v>13.59918313633159</v>
      </c>
      <c r="S10">
        <v>13.404518053123089</v>
      </c>
      <c r="T10">
        <v>14.647245873136679</v>
      </c>
      <c r="U10">
        <v>15.36631737515741</v>
      </c>
      <c r="V10">
        <v>16.31225446725092</v>
      </c>
      <c r="W10">
        <v>16.832833120887059</v>
      </c>
      <c r="X10">
        <v>18.008668999348728</v>
      </c>
      <c r="Y10">
        <v>17.820616184280698</v>
      </c>
      <c r="Z10">
        <v>17.84792868485906</v>
      </c>
      <c r="AA10">
        <v>17.59790985322212</v>
      </c>
      <c r="AB10">
        <v>16.618158939326531</v>
      </c>
      <c r="AC10">
        <v>15.07746417152117</v>
      </c>
      <c r="AD10">
        <v>15.62958107257707</v>
      </c>
      <c r="AE10">
        <v>16.36856184843278</v>
      </c>
      <c r="AF10">
        <v>16.534028239506188</v>
      </c>
      <c r="AG10">
        <v>17.009875204423839</v>
      </c>
      <c r="AH10">
        <v>17.03069714204922</v>
      </c>
      <c r="AI10">
        <v>17.474280636114639</v>
      </c>
      <c r="AJ10">
        <v>18.384425117901898</v>
      </c>
      <c r="AK10">
        <v>19.02448892455978</v>
      </c>
      <c r="AL10">
        <v>18.731981764943889</v>
      </c>
      <c r="AM10">
        <v>18.104407992658881</v>
      </c>
      <c r="AN10">
        <v>18.560913774981401</v>
      </c>
      <c r="AO10">
        <v>20.938229186276519</v>
      </c>
      <c r="AP10">
        <v>22.493515006962252</v>
      </c>
      <c r="AQ10">
        <v>23.131976070627449</v>
      </c>
      <c r="AR10">
        <v>23.58246313711183</v>
      </c>
      <c r="AS10">
        <v>22.876331020726379</v>
      </c>
      <c r="AT10">
        <v>22.596592155742378</v>
      </c>
      <c r="AU10">
        <v>23.019569355004158</v>
      </c>
      <c r="AV10">
        <v>23.862377890680651</v>
      </c>
      <c r="AW10">
        <v>23.649887358624241</v>
      </c>
      <c r="AX10">
        <v>23.970396524407018</v>
      </c>
      <c r="AY10">
        <v>24.239124969608579</v>
      </c>
      <c r="AZ10">
        <v>25.790068662733731</v>
      </c>
      <c r="BA10">
        <v>26.030097980056318</v>
      </c>
      <c r="BB10">
        <v>26.20802947802455</v>
      </c>
      <c r="BC10">
        <v>26.768663295599321</v>
      </c>
      <c r="BD10">
        <v>26.2091264058182</v>
      </c>
      <c r="BE10">
        <v>26.487463738431281</v>
      </c>
      <c r="BF10">
        <v>27.730773073595959</v>
      </c>
    </row>
    <row r="11" spans="1:58" ht="15" x14ac:dyDescent="0.2">
      <c r="A11" s="15"/>
      <c r="B11" s="12" t="s">
        <v>20</v>
      </c>
      <c r="C11">
        <v>19.267593768623009</v>
      </c>
      <c r="D11">
        <v>17.885812636972759</v>
      </c>
      <c r="E11">
        <v>18.361939479349662</v>
      </c>
      <c r="F11">
        <v>18.380444812523489</v>
      </c>
      <c r="G11">
        <v>17.976942365768451</v>
      </c>
      <c r="H11">
        <v>17.44230681375241</v>
      </c>
      <c r="I11">
        <v>18.768958123823051</v>
      </c>
      <c r="J11">
        <v>17.71771882513395</v>
      </c>
      <c r="K11">
        <v>16.70591828367138</v>
      </c>
      <c r="L11">
        <v>16.591240494145229</v>
      </c>
      <c r="M11">
        <v>16.079865570144381</v>
      </c>
      <c r="N11">
        <v>15.68177060767492</v>
      </c>
      <c r="O11">
        <v>14.129702155910779</v>
      </c>
      <c r="P11">
        <v>13.465713952381421</v>
      </c>
      <c r="Q11">
        <v>13.02763800408326</v>
      </c>
      <c r="R11">
        <v>13.99798217499178</v>
      </c>
      <c r="S11">
        <v>15.63878130995467</v>
      </c>
      <c r="T11">
        <v>16.539251990972701</v>
      </c>
      <c r="U11">
        <v>15.661504769945109</v>
      </c>
      <c r="V11">
        <v>15.96579332033909</v>
      </c>
      <c r="W11">
        <v>16.240003270462399</v>
      </c>
      <c r="X11">
        <v>16.370527367531519</v>
      </c>
      <c r="Y11">
        <v>16.572080554109821</v>
      </c>
      <c r="Z11">
        <v>15.806957996771031</v>
      </c>
      <c r="AA11">
        <v>15.878232221861751</v>
      </c>
      <c r="AB11">
        <v>14.9397893984398</v>
      </c>
      <c r="AC11">
        <v>13.73995613916351</v>
      </c>
      <c r="AD11">
        <v>14.70799646240696</v>
      </c>
      <c r="AE11">
        <v>15.13423005847106</v>
      </c>
      <c r="AF11">
        <v>17.801545932746521</v>
      </c>
      <c r="AG11">
        <v>18.865826296414149</v>
      </c>
      <c r="AH11">
        <v>18.12369690962386</v>
      </c>
      <c r="AI11">
        <v>20.168534383819779</v>
      </c>
      <c r="AJ11">
        <v>20.39387133981802</v>
      </c>
      <c r="AK11">
        <v>20.742026684173549</v>
      </c>
      <c r="AL11">
        <v>19.56613296646033</v>
      </c>
      <c r="AM11">
        <v>18.804268663683239</v>
      </c>
      <c r="AN11">
        <v>18.225801011842432</v>
      </c>
      <c r="AO11">
        <v>19.394313849357811</v>
      </c>
      <c r="AP11">
        <v>20.227497160767879</v>
      </c>
      <c r="AQ11">
        <v>20.270079658161279</v>
      </c>
      <c r="AR11">
        <v>21.621811448682191</v>
      </c>
      <c r="AS11">
        <v>19.786162262441341</v>
      </c>
      <c r="AT11">
        <v>20.906673187322411</v>
      </c>
      <c r="AU11">
        <v>21.734153920193229</v>
      </c>
      <c r="AV11">
        <v>21.975942575169078</v>
      </c>
      <c r="AW11">
        <v>21.191520680287759</v>
      </c>
      <c r="AX11">
        <v>20.785680881958541</v>
      </c>
      <c r="AY11">
        <v>20.7368426778608</v>
      </c>
      <c r="AZ11">
        <v>22.246523525125749</v>
      </c>
      <c r="BA11">
        <v>22.27737560864697</v>
      </c>
      <c r="BB11">
        <v>22.005628962069071</v>
      </c>
      <c r="BC11">
        <v>21.948393612670461</v>
      </c>
      <c r="BD11">
        <v>21.589804876427429</v>
      </c>
      <c r="BE11">
        <v>23.066926461081639</v>
      </c>
      <c r="BF11">
        <v>23.708226968879671</v>
      </c>
    </row>
    <row r="12" spans="1:58" ht="15" x14ac:dyDescent="0.2">
      <c r="A12" s="15"/>
      <c r="B12" s="12" t="s">
        <v>21</v>
      </c>
      <c r="C12">
        <v>1.030035037814915</v>
      </c>
      <c r="D12">
        <v>1.029882563991674</v>
      </c>
      <c r="E12">
        <v>1.0292956348027</v>
      </c>
      <c r="F12">
        <v>1.029385539148284</v>
      </c>
      <c r="G12">
        <v>1.0282952665169169</v>
      </c>
      <c r="H12">
        <v>1.0277442132276711</v>
      </c>
      <c r="I12">
        <v>1.027838869782594</v>
      </c>
      <c r="J12">
        <v>1.0296798661988951</v>
      </c>
      <c r="K12">
        <v>1.028536189733793</v>
      </c>
      <c r="L12">
        <v>1.0264022328182809</v>
      </c>
      <c r="M12">
        <v>1.0247709513451631</v>
      </c>
      <c r="N12">
        <v>1.0251066605837671</v>
      </c>
      <c r="O12">
        <v>1.0232296669918699</v>
      </c>
      <c r="P12">
        <v>1.0225158870807589</v>
      </c>
      <c r="Q12">
        <v>1.023552590568265</v>
      </c>
      <c r="R12">
        <v>1.0219598860380641</v>
      </c>
      <c r="S12">
        <v>1.0217802310031801</v>
      </c>
      <c r="T12">
        <v>1.02382121975339</v>
      </c>
      <c r="U12">
        <v>1.022133521185937</v>
      </c>
      <c r="V12">
        <v>1.02056846371785</v>
      </c>
      <c r="W12">
        <v>1.0211681237030259</v>
      </c>
      <c r="X12">
        <v>1.0204190611086259</v>
      </c>
      <c r="Y12">
        <v>1.0211029739029041</v>
      </c>
      <c r="Z12">
        <v>1.0192708079498449</v>
      </c>
      <c r="AA12">
        <v>1.02057939531938</v>
      </c>
      <c r="AB12">
        <v>1.023050372714426</v>
      </c>
      <c r="AC12">
        <v>1.020392081630848</v>
      </c>
      <c r="AD12">
        <v>1.019112595538948</v>
      </c>
      <c r="AE12">
        <v>1.018116910093751</v>
      </c>
      <c r="AF12">
        <v>1.01526399129571</v>
      </c>
      <c r="AG12">
        <v>1.015126399740361</v>
      </c>
      <c r="AH12">
        <v>1.0141870884570561</v>
      </c>
      <c r="AI12">
        <v>1.013431461257748</v>
      </c>
      <c r="AJ12">
        <v>1.011920058483881</v>
      </c>
      <c r="AK12">
        <v>1.0127303327104209</v>
      </c>
      <c r="AL12">
        <v>1.0122264299597641</v>
      </c>
      <c r="AM12">
        <v>1.0132656203355299</v>
      </c>
      <c r="AN12">
        <v>1.0135856432598529</v>
      </c>
      <c r="AO12">
        <v>1.013904994023082</v>
      </c>
      <c r="AP12">
        <v>1.013340175250955</v>
      </c>
      <c r="AQ12">
        <v>1.011726211244278</v>
      </c>
      <c r="AR12">
        <v>1.0114935711676321</v>
      </c>
      <c r="AS12">
        <v>1.0121606652388959</v>
      </c>
      <c r="AT12">
        <v>1.0126412918941821</v>
      </c>
      <c r="AU12">
        <v>1.0114836187867471</v>
      </c>
      <c r="AV12">
        <v>1.0119267663845239</v>
      </c>
      <c r="AW12">
        <v>1.0117773638144121</v>
      </c>
      <c r="AX12">
        <v>1.012237174982016</v>
      </c>
      <c r="AY12">
        <v>1.0119961846492771</v>
      </c>
      <c r="AZ12">
        <v>1.0114558059698</v>
      </c>
      <c r="BA12">
        <v>1.0102187134252929</v>
      </c>
      <c r="BB12">
        <v>1.0099412094847919</v>
      </c>
      <c r="BC12">
        <v>1.010184280080157</v>
      </c>
      <c r="BD12">
        <v>1.009486012710247</v>
      </c>
      <c r="BE12">
        <v>1.008821315865825</v>
      </c>
      <c r="BF12">
        <v>1.0097976013892229</v>
      </c>
    </row>
    <row r="13" spans="1:58" ht="15" x14ac:dyDescent="0.2">
      <c r="A13" s="15"/>
      <c r="B13" s="12" t="s">
        <v>22</v>
      </c>
      <c r="C13">
        <v>1.181460542465278</v>
      </c>
      <c r="D13">
        <v>1.172580130766508</v>
      </c>
      <c r="E13">
        <v>1.1477731900490731</v>
      </c>
      <c r="F13">
        <v>1.149488475662189</v>
      </c>
      <c r="G13">
        <v>1.15223789392222</v>
      </c>
      <c r="H13">
        <v>1.1401454296259841</v>
      </c>
      <c r="I13">
        <v>1.136252850780326</v>
      </c>
      <c r="J13">
        <v>1.143475033477594</v>
      </c>
      <c r="K13">
        <v>1.1589355200738629</v>
      </c>
      <c r="L13">
        <v>1.1507732342300969</v>
      </c>
      <c r="M13">
        <v>1.15279945023014</v>
      </c>
      <c r="N13">
        <v>1.1591334986273409</v>
      </c>
      <c r="O13">
        <v>1.1719623625815569</v>
      </c>
      <c r="P13">
        <v>1.1839669514725311</v>
      </c>
      <c r="Q13">
        <v>1.1953035300429891</v>
      </c>
      <c r="R13">
        <v>1.184193545251591</v>
      </c>
      <c r="S13">
        <v>1.172464135896097</v>
      </c>
      <c r="T13">
        <v>1.1513337296804991</v>
      </c>
      <c r="U13">
        <v>1.150326184771878</v>
      </c>
      <c r="V13">
        <v>1.140109294928892</v>
      </c>
      <c r="W13">
        <v>1.1343595640972599</v>
      </c>
      <c r="X13">
        <v>1.1256906292401041</v>
      </c>
      <c r="Y13">
        <v>1.1257064116004929</v>
      </c>
      <c r="Z13">
        <v>1.130160300593529</v>
      </c>
      <c r="AA13">
        <v>1.1312374404773169</v>
      </c>
      <c r="AB13">
        <v>1.1430110136074321</v>
      </c>
      <c r="AC13">
        <v>1.1633168355187391</v>
      </c>
      <c r="AD13">
        <v>1.152479799257569</v>
      </c>
      <c r="AE13">
        <v>1.145123019233556</v>
      </c>
      <c r="AF13">
        <v>1.130899064037723</v>
      </c>
      <c r="AG13">
        <v>1.1240128503706039</v>
      </c>
      <c r="AH13">
        <v>1.12680195057249</v>
      </c>
      <c r="AI13">
        <v>1.117696074070861</v>
      </c>
      <c r="AJ13">
        <v>1.1134293515514091</v>
      </c>
      <c r="AK13">
        <v>1.1100031137854069</v>
      </c>
      <c r="AL13">
        <v>1.114675678395415</v>
      </c>
      <c r="AM13">
        <v>1.119565872062354</v>
      </c>
      <c r="AN13">
        <v>1.1199520080498639</v>
      </c>
      <c r="AO13">
        <v>1.108584884683488</v>
      </c>
      <c r="AP13">
        <v>1.102573148987497</v>
      </c>
      <c r="AQ13">
        <v>1.1011445789857699</v>
      </c>
      <c r="AR13">
        <v>1.096597408928299</v>
      </c>
      <c r="AS13">
        <v>1.1033298985793969</v>
      </c>
      <c r="AT13">
        <v>1.1007678492691051</v>
      </c>
      <c r="AU13">
        <v>1.097748520917043</v>
      </c>
      <c r="AV13">
        <v>1.0953420033647101</v>
      </c>
      <c r="AW13">
        <v>1.0978798402361849</v>
      </c>
      <c r="AX13">
        <v>1.0983348978208869</v>
      </c>
      <c r="AY13">
        <v>1.097923847896185</v>
      </c>
      <c r="AZ13">
        <v>1.0913104573464609</v>
      </c>
      <c r="BA13">
        <v>1.090846568493981</v>
      </c>
      <c r="BB13">
        <v>1.091196803922627</v>
      </c>
      <c r="BC13">
        <v>1.090457798113027</v>
      </c>
      <c r="BD13">
        <v>1.0922668460329359</v>
      </c>
      <c r="BE13">
        <v>1.0882645944447029</v>
      </c>
      <c r="BF13">
        <v>1.085036764355811</v>
      </c>
    </row>
    <row r="14" spans="1:58" ht="15" x14ac:dyDescent="0.2">
      <c r="A14" s="15" t="s">
        <v>22</v>
      </c>
      <c r="B14" s="12" t="s">
        <v>19</v>
      </c>
      <c r="C14">
        <v>182.2562718501475</v>
      </c>
      <c r="D14">
        <v>241.14599205862439</v>
      </c>
      <c r="E14">
        <v>250.45212698044179</v>
      </c>
      <c r="F14">
        <v>244.6443171736544</v>
      </c>
      <c r="G14">
        <v>235.67724133945691</v>
      </c>
      <c r="H14">
        <v>278.73642815249491</v>
      </c>
      <c r="I14">
        <v>275.8026036189562</v>
      </c>
      <c r="J14">
        <v>262.59935098065779</v>
      </c>
      <c r="K14">
        <v>263.17299184241932</v>
      </c>
      <c r="L14">
        <v>248.82912137270341</v>
      </c>
      <c r="M14">
        <v>229.57406015012751</v>
      </c>
      <c r="N14">
        <v>245.64113328446479</v>
      </c>
      <c r="O14">
        <v>290.72935388811447</v>
      </c>
      <c r="P14">
        <v>264.09072273789889</v>
      </c>
      <c r="Q14">
        <v>251.96107350251211</v>
      </c>
      <c r="R14">
        <v>245.63377045330941</v>
      </c>
      <c r="S14">
        <v>280.41722841113921</v>
      </c>
      <c r="T14">
        <v>307.55565889397269</v>
      </c>
      <c r="U14">
        <v>312.61840142406328</v>
      </c>
      <c r="V14">
        <v>319.86422153945728</v>
      </c>
      <c r="W14">
        <v>332.31341194395281</v>
      </c>
      <c r="X14">
        <v>325.19482342532763</v>
      </c>
      <c r="Y14">
        <v>265.54305252652699</v>
      </c>
      <c r="Z14">
        <v>349.12172731672439</v>
      </c>
      <c r="AA14">
        <v>296.4423446964658</v>
      </c>
      <c r="AB14">
        <v>293.83860856734663</v>
      </c>
      <c r="AC14">
        <v>229.63128472408829</v>
      </c>
      <c r="AD14">
        <v>259.10853443244503</v>
      </c>
      <c r="AE14">
        <v>304.41501915482019</v>
      </c>
      <c r="AF14">
        <v>294.73600240077599</v>
      </c>
      <c r="AG14">
        <v>385.87835886354031</v>
      </c>
      <c r="AH14">
        <v>328.63220948044489</v>
      </c>
      <c r="AI14">
        <v>332.50168244212301</v>
      </c>
      <c r="AJ14">
        <v>344.5859492272096</v>
      </c>
      <c r="AK14">
        <v>352.32448586185058</v>
      </c>
      <c r="AL14">
        <v>331.2337202519787</v>
      </c>
      <c r="AM14">
        <v>312.93425284708741</v>
      </c>
      <c r="AN14">
        <v>352.68158360186732</v>
      </c>
      <c r="AO14">
        <v>411.4817341828491</v>
      </c>
      <c r="AP14">
        <v>444.06046858876118</v>
      </c>
      <c r="AQ14">
        <v>440.46785029668729</v>
      </c>
      <c r="AR14">
        <v>421.33965046955677</v>
      </c>
      <c r="AS14">
        <v>391.85827573726499</v>
      </c>
      <c r="AT14">
        <v>428.31561511054491</v>
      </c>
      <c r="AU14">
        <v>555.23843752411415</v>
      </c>
      <c r="AV14">
        <v>541.55199295436626</v>
      </c>
      <c r="AW14">
        <v>511.0171811330826</v>
      </c>
      <c r="AX14">
        <v>510.02751077787588</v>
      </c>
      <c r="AY14">
        <v>442.98293134032679</v>
      </c>
      <c r="AZ14">
        <v>464.39603314033963</v>
      </c>
      <c r="BA14">
        <v>458.41665530458528</v>
      </c>
      <c r="BB14">
        <v>451.14544067668572</v>
      </c>
      <c r="BC14">
        <v>465.84473329378238</v>
      </c>
      <c r="BD14">
        <v>483.233118753398</v>
      </c>
      <c r="BE14">
        <v>372.50661076644622</v>
      </c>
      <c r="BF14">
        <v>427.66722927071982</v>
      </c>
    </row>
    <row r="15" spans="1:58" ht="15" x14ac:dyDescent="0.2">
      <c r="A15" s="15"/>
      <c r="B15" s="12" t="s">
        <v>20</v>
      </c>
      <c r="C15">
        <v>49.715390093360142</v>
      </c>
      <c r="D15">
        <v>50.377564342861668</v>
      </c>
      <c r="E15">
        <v>49.851250504343113</v>
      </c>
      <c r="F15">
        <v>50.527260286801358</v>
      </c>
      <c r="G15">
        <v>50.258327346531473</v>
      </c>
      <c r="H15">
        <v>47.051509541875987</v>
      </c>
      <c r="I15">
        <v>49.584551897540948</v>
      </c>
      <c r="J15">
        <v>49.368657435633708</v>
      </c>
      <c r="K15">
        <v>46.170493309476583</v>
      </c>
      <c r="L15">
        <v>47.887133001590449</v>
      </c>
      <c r="M15">
        <v>48.002422947153271</v>
      </c>
      <c r="N15">
        <v>48.009419296867328</v>
      </c>
      <c r="O15">
        <v>47.515529558710043</v>
      </c>
      <c r="P15">
        <v>44.397182174518832</v>
      </c>
      <c r="Q15">
        <v>43.401512762426833</v>
      </c>
      <c r="R15">
        <v>44.264945226546807</v>
      </c>
      <c r="S15">
        <v>40.398406645752523</v>
      </c>
      <c r="T15">
        <v>43.616106470674637</v>
      </c>
      <c r="U15">
        <v>43.740764190192742</v>
      </c>
      <c r="V15">
        <v>44.669931468792718</v>
      </c>
      <c r="W15">
        <v>45.15370270524312</v>
      </c>
      <c r="X15">
        <v>43.442329733962133</v>
      </c>
      <c r="Y15">
        <v>43.049202850808449</v>
      </c>
      <c r="Z15">
        <v>43.356647815001523</v>
      </c>
      <c r="AA15">
        <v>41.716177229805282</v>
      </c>
      <c r="AB15">
        <v>38.816884704053813</v>
      </c>
      <c r="AC15">
        <v>38.062584706296242</v>
      </c>
      <c r="AD15">
        <v>39.830844811302939</v>
      </c>
      <c r="AE15">
        <v>39.990555354140142</v>
      </c>
      <c r="AF15">
        <v>43.466829528605309</v>
      </c>
      <c r="AG15">
        <v>44.571474954147597</v>
      </c>
      <c r="AH15">
        <v>42.704643323363513</v>
      </c>
      <c r="AI15">
        <v>44.141681974062763</v>
      </c>
      <c r="AJ15">
        <v>45.545177332044737</v>
      </c>
      <c r="AK15">
        <v>46.615572024422903</v>
      </c>
      <c r="AL15">
        <v>48.047464621567123</v>
      </c>
      <c r="AM15">
        <v>49.775911800827977</v>
      </c>
      <c r="AN15">
        <v>47.463444907334051</v>
      </c>
      <c r="AO15">
        <v>50.581871407081657</v>
      </c>
      <c r="AP15">
        <v>53.622872459438547</v>
      </c>
      <c r="AQ15">
        <v>52.506473026360119</v>
      </c>
      <c r="AR15">
        <v>60.575538641467062</v>
      </c>
      <c r="AS15">
        <v>57.955224958608433</v>
      </c>
      <c r="AT15">
        <v>62.200716690503299</v>
      </c>
      <c r="AU15">
        <v>65.37038775647116</v>
      </c>
      <c r="AV15">
        <v>65.917460822588907</v>
      </c>
      <c r="AW15">
        <v>61.721439735546532</v>
      </c>
      <c r="AX15">
        <v>56.339347885366941</v>
      </c>
      <c r="AY15">
        <v>58.695668263817673</v>
      </c>
      <c r="AZ15">
        <v>63.912919415148117</v>
      </c>
      <c r="BA15">
        <v>63.096301492330433</v>
      </c>
      <c r="BB15">
        <v>61.2220898561539</v>
      </c>
      <c r="BC15">
        <v>58.998457824617603</v>
      </c>
      <c r="BD15">
        <v>61.625108602681017</v>
      </c>
      <c r="BE15">
        <v>67.196075159559626</v>
      </c>
      <c r="BF15">
        <v>64.220251763435741</v>
      </c>
    </row>
    <row r="16" spans="1:58" ht="15" x14ac:dyDescent="0.2">
      <c r="A16" s="15"/>
      <c r="B16" s="12" t="s">
        <v>21</v>
      </c>
      <c r="C16">
        <v>1.0511466013362269</v>
      </c>
      <c r="D16">
        <v>1.049560151907724</v>
      </c>
      <c r="E16">
        <v>1.050966971083253</v>
      </c>
      <c r="F16">
        <v>1.0529308994184861</v>
      </c>
      <c r="G16">
        <v>1.0456531609372079</v>
      </c>
      <c r="H16">
        <v>1.045160239098601</v>
      </c>
      <c r="I16">
        <v>1.045736062743035</v>
      </c>
      <c r="J16">
        <v>1.048463676550254</v>
      </c>
      <c r="K16">
        <v>1.048461960699161</v>
      </c>
      <c r="L16">
        <v>1.0469365692505881</v>
      </c>
      <c r="M16">
        <v>1.04213500854179</v>
      </c>
      <c r="N16">
        <v>1.042931183770083</v>
      </c>
      <c r="O16">
        <v>1.04163491304497</v>
      </c>
      <c r="P16">
        <v>1.0418932318871761</v>
      </c>
      <c r="Q16">
        <v>1.0438061234644651</v>
      </c>
      <c r="R16">
        <v>1.04064813030014</v>
      </c>
      <c r="S16">
        <v>1.039409390046645</v>
      </c>
      <c r="T16">
        <v>1.040940234563726</v>
      </c>
      <c r="U16">
        <v>1.037061453847359</v>
      </c>
      <c r="V16">
        <v>1.0334362512299751</v>
      </c>
      <c r="W16">
        <v>1.0334577943435219</v>
      </c>
      <c r="X16">
        <v>1.0325842672395591</v>
      </c>
      <c r="Y16">
        <v>1.0348246574220119</v>
      </c>
      <c r="Z16">
        <v>1.0314114073706999</v>
      </c>
      <c r="AA16">
        <v>1.0340723911309411</v>
      </c>
      <c r="AB16">
        <v>1.037088621083347</v>
      </c>
      <c r="AC16">
        <v>1.0350895783274221</v>
      </c>
      <c r="AD16">
        <v>1.0323189856614341</v>
      </c>
      <c r="AE16">
        <v>1.030895218554746</v>
      </c>
      <c r="AF16">
        <v>1.0286668290472489</v>
      </c>
      <c r="AG16">
        <v>1.028509761655918</v>
      </c>
      <c r="AH16">
        <v>1.0261428398332031</v>
      </c>
      <c r="AI16">
        <v>1.0251261111762919</v>
      </c>
      <c r="AJ16">
        <v>1.0227826316040789</v>
      </c>
      <c r="AK16">
        <v>1.0238174357642229</v>
      </c>
      <c r="AL16">
        <v>1.0225443869499229</v>
      </c>
      <c r="AM16">
        <v>1.024929440571033</v>
      </c>
      <c r="AN16">
        <v>1.02560960091418</v>
      </c>
      <c r="AO16">
        <v>1.0271880055957929</v>
      </c>
      <c r="AP16">
        <v>1.0268815144214409</v>
      </c>
      <c r="AQ16">
        <v>1.0238480709787541</v>
      </c>
      <c r="AR16">
        <v>1.0236403934472511</v>
      </c>
      <c r="AS16">
        <v>1.026481548153241</v>
      </c>
      <c r="AT16">
        <v>1.0276359024809909</v>
      </c>
      <c r="AU16">
        <v>1.0260394788158229</v>
      </c>
      <c r="AV16">
        <v>1.0258508051733559</v>
      </c>
      <c r="AW16">
        <v>1.0253759104166871</v>
      </c>
      <c r="AX16">
        <v>1.025936721447041</v>
      </c>
      <c r="AY16">
        <v>1.0259678465967621</v>
      </c>
      <c r="AZ16">
        <v>1.0245867077558941</v>
      </c>
      <c r="BA16">
        <v>1.024092121666941</v>
      </c>
      <c r="BB16">
        <v>1.023871230706541</v>
      </c>
      <c r="BC16">
        <v>1.023667943564569</v>
      </c>
      <c r="BD16">
        <v>1.0237974900994551</v>
      </c>
      <c r="BE16">
        <v>1.0224274912457301</v>
      </c>
      <c r="BF16">
        <v>1.0228941362102131</v>
      </c>
    </row>
    <row r="17" spans="1:58" ht="15" x14ac:dyDescent="0.2">
      <c r="A17" s="15"/>
      <c r="B17" s="12" t="s">
        <v>22</v>
      </c>
      <c r="C17">
        <v>1.0273017570151901</v>
      </c>
      <c r="D17">
        <v>1.024069897148876</v>
      </c>
      <c r="E17">
        <v>1.024044471530456</v>
      </c>
      <c r="F17">
        <v>1.023870859971127</v>
      </c>
      <c r="G17">
        <v>1.024324333990112</v>
      </c>
      <c r="H17">
        <v>1.0250037599801809</v>
      </c>
      <c r="I17">
        <v>1.0235936457693151</v>
      </c>
      <c r="J17">
        <v>1.0240729034660381</v>
      </c>
      <c r="K17">
        <v>1.0259178497075241</v>
      </c>
      <c r="L17">
        <v>1.0252276893171031</v>
      </c>
      <c r="M17">
        <v>1.0257778999390641</v>
      </c>
      <c r="N17">
        <v>1.025204678807407</v>
      </c>
      <c r="O17">
        <v>1.024415734067315</v>
      </c>
      <c r="P17">
        <v>1.026873238595535</v>
      </c>
      <c r="Q17">
        <v>1.0277879873954401</v>
      </c>
      <c r="R17">
        <v>1.02740485216182</v>
      </c>
      <c r="S17">
        <v>1.0292484670203299</v>
      </c>
      <c r="T17">
        <v>1.026637478333134</v>
      </c>
      <c r="U17">
        <v>1.026476119042667</v>
      </c>
      <c r="V17">
        <v>1.025811990954687</v>
      </c>
      <c r="W17">
        <v>1.025360265473009</v>
      </c>
      <c r="X17">
        <v>1.026472314025173</v>
      </c>
      <c r="Y17">
        <v>1.0275919162412841</v>
      </c>
      <c r="Z17">
        <v>1.026323077901923</v>
      </c>
      <c r="AA17">
        <v>1.027858456540562</v>
      </c>
      <c r="AB17">
        <v>1.029876074952941</v>
      </c>
      <c r="AC17">
        <v>1.0313694385998149</v>
      </c>
      <c r="AD17">
        <v>1.0295787197448549</v>
      </c>
      <c r="AE17">
        <v>1.028835746060905</v>
      </c>
      <c r="AF17">
        <v>1.026823702666297</v>
      </c>
      <c r="AG17">
        <v>1.025298967466951</v>
      </c>
      <c r="AH17">
        <v>1.0268770274063139</v>
      </c>
      <c r="AI17">
        <v>1.0260285706852521</v>
      </c>
      <c r="AJ17">
        <v>1.025192556072587</v>
      </c>
      <c r="AK17">
        <v>1.024613346192311</v>
      </c>
      <c r="AL17">
        <v>1.0241397595379651</v>
      </c>
      <c r="AM17">
        <v>1.023580174070043</v>
      </c>
      <c r="AN17">
        <v>1.024211188531535</v>
      </c>
      <c r="AO17">
        <v>1.022484424367714</v>
      </c>
      <c r="AP17">
        <v>1.0211721267244831</v>
      </c>
      <c r="AQ17">
        <v>1.021589817966053</v>
      </c>
      <c r="AR17">
        <v>1.019107388628822</v>
      </c>
      <c r="AS17">
        <v>1.020067845911236</v>
      </c>
      <c r="AT17">
        <v>1.018660625870867</v>
      </c>
      <c r="AU17">
        <v>1.017342281006782</v>
      </c>
      <c r="AV17">
        <v>1.0172611748859079</v>
      </c>
      <c r="AW17">
        <v>1.0184676159504811</v>
      </c>
      <c r="AX17">
        <v>1.02008622488273</v>
      </c>
      <c r="AY17">
        <v>1.019673213655063</v>
      </c>
      <c r="AZ17">
        <v>1.018128298838761</v>
      </c>
      <c r="BA17">
        <v>1.018370462298656</v>
      </c>
      <c r="BB17">
        <v>1.0189130386354339</v>
      </c>
      <c r="BC17">
        <v>1.019465112791716</v>
      </c>
      <c r="BD17">
        <v>1.0186375493043991</v>
      </c>
      <c r="BE17">
        <v>1.017880431370608</v>
      </c>
      <c r="BF17">
        <v>1.018219043380526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F17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 t="s">
        <v>23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5" t="s">
        <v>19</v>
      </c>
      <c r="B2" s="12" t="s">
        <v>19</v>
      </c>
      <c r="C2">
        <v>0.85656570407138011</v>
      </c>
      <c r="D2">
        <v>0.91092706766037734</v>
      </c>
      <c r="E2">
        <v>0.9379666419281788</v>
      </c>
      <c r="F2">
        <v>0.93035850126963882</v>
      </c>
      <c r="G2">
        <v>0.90350060741648386</v>
      </c>
      <c r="H2">
        <v>0.96053944069993225</v>
      </c>
      <c r="I2">
        <v>0.94955632708744064</v>
      </c>
      <c r="J2">
        <v>0.93352551409698781</v>
      </c>
      <c r="K2">
        <v>0.94935878970922283</v>
      </c>
      <c r="L2">
        <v>0.94867414859009713</v>
      </c>
      <c r="M2">
        <v>0.95292628374685662</v>
      </c>
      <c r="N2">
        <v>0.9687492023542672</v>
      </c>
      <c r="O2">
        <v>0.9736507094005562</v>
      </c>
      <c r="P2">
        <v>0.97261602997903518</v>
      </c>
      <c r="Q2">
        <v>0.9694641476652881</v>
      </c>
      <c r="R2">
        <v>0.98050619359130331</v>
      </c>
      <c r="S2">
        <v>0.97182067723253451</v>
      </c>
      <c r="T2">
        <v>0.98655936464970961</v>
      </c>
      <c r="U2">
        <v>1.0015744837993401</v>
      </c>
      <c r="V2">
        <v>1.00134385833287</v>
      </c>
      <c r="W2">
        <v>1.0135023822301761</v>
      </c>
      <c r="X2">
        <v>0.98724748848735777</v>
      </c>
      <c r="Y2">
        <v>1.005085691748498</v>
      </c>
      <c r="Z2">
        <v>1.0049166993001719</v>
      </c>
      <c r="AA2">
        <v>1.006909694215292</v>
      </c>
      <c r="AB2">
        <v>0.87857320931094551</v>
      </c>
      <c r="AC2">
        <v>0.92887912330328182</v>
      </c>
      <c r="AD2">
        <v>0.94497750994953333</v>
      </c>
      <c r="AE2">
        <v>0.94960859651140905</v>
      </c>
      <c r="AF2">
        <v>0.94946865567672978</v>
      </c>
      <c r="AG2">
        <v>0.9512231047595906</v>
      </c>
      <c r="AH2">
        <v>0.94443173792395319</v>
      </c>
      <c r="AI2">
        <v>0.94653666332962605</v>
      </c>
      <c r="AJ2">
        <v>0.94293798593178224</v>
      </c>
      <c r="AK2">
        <v>0.9368984239913033</v>
      </c>
      <c r="AL2">
        <v>0.93088713822989511</v>
      </c>
      <c r="AM2">
        <v>0.93956812490555985</v>
      </c>
      <c r="AN2">
        <v>0.95294282191640001</v>
      </c>
      <c r="AO2">
        <v>0.94409963670506036</v>
      </c>
      <c r="AP2">
        <v>0.96066743336533567</v>
      </c>
      <c r="AQ2">
        <v>0.94598034747226811</v>
      </c>
      <c r="AR2">
        <v>0.89668043866962421</v>
      </c>
      <c r="AS2">
        <v>0.96097331215817183</v>
      </c>
      <c r="AT2">
        <v>0.96524097809994169</v>
      </c>
      <c r="AU2">
        <v>0.9608483661210051</v>
      </c>
      <c r="AV2">
        <v>0.97043008470600345</v>
      </c>
      <c r="AW2">
        <v>0.96941869341123443</v>
      </c>
      <c r="AX2">
        <v>0.97560426801570155</v>
      </c>
      <c r="AY2">
        <v>0.972133783533214</v>
      </c>
      <c r="AZ2">
        <v>0.96548021415727014</v>
      </c>
      <c r="BA2">
        <v>0.96396451785311166</v>
      </c>
      <c r="BB2">
        <v>0.95949870489132805</v>
      </c>
      <c r="BC2">
        <v>0.97769414565983925</v>
      </c>
      <c r="BD2">
        <v>0.99866919986120695</v>
      </c>
      <c r="BE2">
        <v>0.99808601298198518</v>
      </c>
      <c r="BF2">
        <v>0.98063638404688824</v>
      </c>
    </row>
    <row r="3" spans="1:58" ht="15" x14ac:dyDescent="0.2">
      <c r="A3" s="15"/>
      <c r="B3" s="12" t="s">
        <v>20</v>
      </c>
      <c r="C3">
        <v>0.62775616640682863</v>
      </c>
      <c r="D3">
        <v>0.62147291238739422</v>
      </c>
      <c r="E3">
        <v>0.62650687129234905</v>
      </c>
      <c r="F3">
        <v>0.62875218537155098</v>
      </c>
      <c r="G3">
        <v>0.62762887922445798</v>
      </c>
      <c r="H3">
        <v>0.6308637361629319</v>
      </c>
      <c r="I3">
        <v>0.56039342297411499</v>
      </c>
      <c r="J3">
        <v>0.61701583740539434</v>
      </c>
      <c r="K3">
        <v>0.65680204336100867</v>
      </c>
      <c r="L3">
        <v>0.62130688278712576</v>
      </c>
      <c r="M3">
        <v>0.60530826311863362</v>
      </c>
      <c r="N3">
        <v>0.64645372557947611</v>
      </c>
      <c r="O3">
        <v>0.63020746615931944</v>
      </c>
      <c r="P3">
        <v>0.61080577903366196</v>
      </c>
      <c r="Q3">
        <v>0.54863187347679965</v>
      </c>
      <c r="R3">
        <v>0.56095035145126504</v>
      </c>
      <c r="S3">
        <v>0.56595067961294176</v>
      </c>
      <c r="T3">
        <v>0.55452388242526607</v>
      </c>
      <c r="U3">
        <v>0.63509375806432589</v>
      </c>
      <c r="V3">
        <v>0.67987218125418825</v>
      </c>
      <c r="W3">
        <v>0.68262144206177555</v>
      </c>
      <c r="X3">
        <v>0.66451440435486953</v>
      </c>
      <c r="Y3">
        <v>0.64810699441177488</v>
      </c>
      <c r="Z3">
        <v>0.69527688306139079</v>
      </c>
      <c r="AA3">
        <v>0.66667365816673063</v>
      </c>
      <c r="AB3">
        <v>0.66681001508826232</v>
      </c>
      <c r="AC3">
        <v>0.62387149967681765</v>
      </c>
      <c r="AD3">
        <v>0.65049998553662625</v>
      </c>
      <c r="AE3">
        <v>0.69765814252729696</v>
      </c>
      <c r="AF3">
        <v>0.631521129510345</v>
      </c>
      <c r="AG3">
        <v>0.61277906101325719</v>
      </c>
      <c r="AH3">
        <v>0.71298834913970455</v>
      </c>
      <c r="AI3">
        <v>0.74083706904107716</v>
      </c>
      <c r="AJ3">
        <v>0.71947813634474034</v>
      </c>
      <c r="AK3">
        <v>0.75471996002366182</v>
      </c>
      <c r="AL3">
        <v>0.92731940369404675</v>
      </c>
      <c r="AM3">
        <v>0.96754364388025493</v>
      </c>
      <c r="AN3">
        <v>0.94290298682187823</v>
      </c>
      <c r="AO3">
        <v>0.97424025726478003</v>
      </c>
      <c r="AP3">
        <v>0.9520825071829182</v>
      </c>
      <c r="AQ3">
        <v>0.95264080915407134</v>
      </c>
      <c r="AR3">
        <v>0.96432581125610861</v>
      </c>
      <c r="AS3">
        <v>0.93780445114058331</v>
      </c>
      <c r="AT3">
        <v>0.88214106687972882</v>
      </c>
      <c r="AU3">
        <v>0.91738759878106957</v>
      </c>
      <c r="AV3">
        <v>0.85501011918912606</v>
      </c>
      <c r="AW3">
        <v>0.88304485916506126</v>
      </c>
      <c r="AX3">
        <v>0.88347027723043348</v>
      </c>
      <c r="AY3">
        <v>0.88476726487964141</v>
      </c>
      <c r="AZ3">
        <v>0.90568605563226523</v>
      </c>
      <c r="BA3">
        <v>0.92593295322033087</v>
      </c>
      <c r="BB3">
        <v>0.90692387589256906</v>
      </c>
      <c r="BC3">
        <v>0.91195647321383366</v>
      </c>
      <c r="BD3">
        <v>0.88906570972973253</v>
      </c>
      <c r="BE3">
        <v>0.85143962521472327</v>
      </c>
      <c r="BF3">
        <v>0.86006417694616089</v>
      </c>
    </row>
    <row r="4" spans="1:58" ht="15" x14ac:dyDescent="0.2">
      <c r="A4" s="15"/>
      <c r="B4" s="12" t="s">
        <v>21</v>
      </c>
      <c r="C4">
        <v>0.74472684747376872</v>
      </c>
      <c r="D4">
        <v>0.77916250181861113</v>
      </c>
      <c r="E4">
        <v>0.79456026958642101</v>
      </c>
      <c r="F4">
        <v>0.79380641393552731</v>
      </c>
      <c r="G4">
        <v>0.77664789464865724</v>
      </c>
      <c r="H4">
        <v>0.81675173097320641</v>
      </c>
      <c r="I4">
        <v>0.78356575250670979</v>
      </c>
      <c r="J4">
        <v>0.74950798505797378</v>
      </c>
      <c r="K4">
        <v>0.77441279169168065</v>
      </c>
      <c r="L4">
        <v>0.76934676610440034</v>
      </c>
      <c r="M4">
        <v>0.75822852199456037</v>
      </c>
      <c r="N4">
        <v>0.80309445654823852</v>
      </c>
      <c r="O4">
        <v>0.78737592915010568</v>
      </c>
      <c r="P4">
        <v>0.76040295873116326</v>
      </c>
      <c r="Q4">
        <v>0.71921967145044696</v>
      </c>
      <c r="R4">
        <v>0.72115372884741236</v>
      </c>
      <c r="S4">
        <v>0.71984711706780913</v>
      </c>
      <c r="T4">
        <v>0.69866695183119332</v>
      </c>
      <c r="U4">
        <v>0.74944956535686114</v>
      </c>
      <c r="V4">
        <v>0.79963690781462859</v>
      </c>
      <c r="W4">
        <v>0.8344276413759113</v>
      </c>
      <c r="X4">
        <v>0.80571157321617737</v>
      </c>
      <c r="Y4">
        <v>0.78914070393480795</v>
      </c>
      <c r="Z4">
        <v>0.82242772498532246</v>
      </c>
      <c r="AA4">
        <v>0.81063950788712968</v>
      </c>
      <c r="AB4">
        <v>0.77373876426093069</v>
      </c>
      <c r="AC4">
        <v>0.78587775214053879</v>
      </c>
      <c r="AD4">
        <v>0.8166496370252927</v>
      </c>
      <c r="AE4">
        <v>0.84154152725208098</v>
      </c>
      <c r="AF4">
        <v>0.81999620386367567</v>
      </c>
      <c r="AG4">
        <v>0.8121429186689797</v>
      </c>
      <c r="AH4">
        <v>0.84153811298385772</v>
      </c>
      <c r="AI4">
        <v>0.86648294827811567</v>
      </c>
      <c r="AJ4">
        <v>0.83717673612466448</v>
      </c>
      <c r="AK4">
        <v>0.82610630275133035</v>
      </c>
      <c r="AL4">
        <v>0.84613658041802509</v>
      </c>
      <c r="AM4">
        <v>0.86934024471874738</v>
      </c>
      <c r="AN4">
        <v>0.84541768155610619</v>
      </c>
      <c r="AO4">
        <v>0.84825025291494938</v>
      </c>
      <c r="AP4">
        <v>0.8437865019866494</v>
      </c>
      <c r="AQ4">
        <v>0.8415365500729044</v>
      </c>
      <c r="AR4">
        <v>0.78401768796737858</v>
      </c>
      <c r="AS4">
        <v>0.81297638986889997</v>
      </c>
      <c r="AT4">
        <v>0.78695383396579288</v>
      </c>
      <c r="AU4">
        <v>0.77270931453577485</v>
      </c>
      <c r="AV4">
        <v>0.7544206619548478</v>
      </c>
      <c r="AW4">
        <v>0.75978099462097737</v>
      </c>
      <c r="AX4">
        <v>0.77263964829196963</v>
      </c>
      <c r="AY4">
        <v>0.78553673241179156</v>
      </c>
      <c r="AZ4">
        <v>0.8045882755782906</v>
      </c>
      <c r="BA4">
        <v>0.81122045558777078</v>
      </c>
      <c r="BB4">
        <v>0.79240818165823701</v>
      </c>
      <c r="BC4">
        <v>0.80596646565688446</v>
      </c>
      <c r="BD4">
        <v>0.82324153376503362</v>
      </c>
      <c r="BE4">
        <v>0.77837525905125393</v>
      </c>
      <c r="BF4">
        <v>0.73772869990150447</v>
      </c>
    </row>
    <row r="5" spans="1:58" ht="15" x14ac:dyDescent="0.2">
      <c r="A5" s="15"/>
      <c r="B5" s="12" t="s">
        <v>22</v>
      </c>
      <c r="C5">
        <v>0.93939418335463665</v>
      </c>
      <c r="D5">
        <v>0.93068511161577538</v>
      </c>
      <c r="E5">
        <v>0.93629704309272865</v>
      </c>
      <c r="F5">
        <v>0.95059845928967124</v>
      </c>
      <c r="G5">
        <v>0.94061593553180001</v>
      </c>
      <c r="H5">
        <v>0.96894908565144244</v>
      </c>
      <c r="I5">
        <v>0.97604640457529368</v>
      </c>
      <c r="J5">
        <v>0.85330819833870641</v>
      </c>
      <c r="K5">
        <v>0.85234823373673807</v>
      </c>
      <c r="L5">
        <v>0.90052612418001743</v>
      </c>
      <c r="M5">
        <v>0.91422331267596924</v>
      </c>
      <c r="N5">
        <v>0.93088093154456741</v>
      </c>
      <c r="O5">
        <v>0.89594431835999699</v>
      </c>
      <c r="P5">
        <v>0.86333424248182411</v>
      </c>
      <c r="Q5">
        <v>0.85105844952258103</v>
      </c>
      <c r="R5">
        <v>0.83910514683486104</v>
      </c>
      <c r="S5">
        <v>0.84568822511193587</v>
      </c>
      <c r="T5">
        <v>0.7992778523330839</v>
      </c>
      <c r="U5">
        <v>0.80212767441738886</v>
      </c>
      <c r="V5">
        <v>0.86502566087311517</v>
      </c>
      <c r="W5">
        <v>0.89135475339963599</v>
      </c>
      <c r="X5">
        <v>0.91483018639592695</v>
      </c>
      <c r="Y5">
        <v>0.89785096044428458</v>
      </c>
      <c r="Z5">
        <v>0.89250040519470886</v>
      </c>
      <c r="AA5">
        <v>0.88898280408842789</v>
      </c>
      <c r="AB5">
        <v>0.91779584951374504</v>
      </c>
      <c r="AC5">
        <v>0.9120913969933433</v>
      </c>
      <c r="AD5">
        <v>0.9356440063004412</v>
      </c>
      <c r="AE5">
        <v>0.92775862985386937</v>
      </c>
      <c r="AF5">
        <v>0.93156352617947247</v>
      </c>
      <c r="AG5">
        <v>0.93421489169385441</v>
      </c>
      <c r="AH5">
        <v>0.93572057337098247</v>
      </c>
      <c r="AI5">
        <v>0.92404071815142474</v>
      </c>
      <c r="AJ5">
        <v>0.92881920517588956</v>
      </c>
      <c r="AK5">
        <v>0.92943436022092429</v>
      </c>
      <c r="AL5">
        <v>0.92689767557315972</v>
      </c>
      <c r="AM5">
        <v>0.91592792284536528</v>
      </c>
      <c r="AN5">
        <v>0.88313146745079618</v>
      </c>
      <c r="AO5">
        <v>0.89325551291664063</v>
      </c>
      <c r="AP5">
        <v>0.89147120362534693</v>
      </c>
      <c r="AQ5">
        <v>0.89538812499258136</v>
      </c>
      <c r="AR5">
        <v>0.79841213600888539</v>
      </c>
      <c r="AS5">
        <v>0.84876133132217746</v>
      </c>
      <c r="AT5">
        <v>0.8443218511974323</v>
      </c>
      <c r="AU5">
        <v>0.7903294097537561</v>
      </c>
      <c r="AV5">
        <v>0.80172521580237188</v>
      </c>
      <c r="AW5">
        <v>0.80050135749358076</v>
      </c>
      <c r="AX5">
        <v>0.82197712393473188</v>
      </c>
      <c r="AY5">
        <v>0.84350592491603071</v>
      </c>
      <c r="AZ5">
        <v>0.86244475228880679</v>
      </c>
      <c r="BA5">
        <v>0.84500587461836552</v>
      </c>
      <c r="BB5">
        <v>0.83184279969395469</v>
      </c>
      <c r="BC5">
        <v>0.83794466846009541</v>
      </c>
      <c r="BD5">
        <v>0.87587587816516654</v>
      </c>
      <c r="BE5">
        <v>0.81456947384074863</v>
      </c>
      <c r="BF5">
        <v>0.73836384558592683</v>
      </c>
    </row>
    <row r="6" spans="1:58" ht="15" x14ac:dyDescent="0.2">
      <c r="A6" s="15" t="s">
        <v>20</v>
      </c>
      <c r="B6" s="12" t="s">
        <v>19</v>
      </c>
      <c r="C6">
        <v>0.93102331457832332</v>
      </c>
      <c r="D6">
        <v>0.94294546196862561</v>
      </c>
      <c r="E6">
        <v>0.9482688916992118</v>
      </c>
      <c r="F6">
        <v>0.94972752485188738</v>
      </c>
      <c r="G6">
        <v>0.9540696504886923</v>
      </c>
      <c r="H6">
        <v>0.95848082743337537</v>
      </c>
      <c r="I6">
        <v>0.98014901433493273</v>
      </c>
      <c r="J6">
        <v>0.95489256068413886</v>
      </c>
      <c r="K6">
        <v>0.96946897959435996</v>
      </c>
      <c r="L6">
        <v>0.97410899882510082</v>
      </c>
      <c r="M6">
        <v>0.96612859476121549</v>
      </c>
      <c r="N6">
        <v>0.98135328182582926</v>
      </c>
      <c r="O6">
        <v>0.97558094489569691</v>
      </c>
      <c r="P6">
        <v>0.98371003236595722</v>
      </c>
      <c r="Q6">
        <v>0.98643391438619255</v>
      </c>
      <c r="R6">
        <v>0.98507525650877381</v>
      </c>
      <c r="S6">
        <v>0.98164036550352696</v>
      </c>
      <c r="T6">
        <v>0.97445308828008337</v>
      </c>
      <c r="U6">
        <v>0.97894127644505957</v>
      </c>
      <c r="V6">
        <v>0.9839613591756402</v>
      </c>
      <c r="W6">
        <v>0.98757162032550494</v>
      </c>
      <c r="X6">
        <v>0.99272257655495488</v>
      </c>
      <c r="Y6">
        <v>0.99621081994875271</v>
      </c>
      <c r="Z6">
        <v>0.99513998990910357</v>
      </c>
      <c r="AA6">
        <v>0.99181178068310294</v>
      </c>
      <c r="AB6">
        <v>0.99588296537820276</v>
      </c>
      <c r="AC6">
        <v>0.98706667199666909</v>
      </c>
      <c r="AD6">
        <v>0.98601219766992243</v>
      </c>
      <c r="AE6">
        <v>0.98971874995867126</v>
      </c>
      <c r="AF6">
        <v>0.99295582273954675</v>
      </c>
      <c r="AG6">
        <v>0.9849929869336832</v>
      </c>
      <c r="AH6">
        <v>0.97248319394382288</v>
      </c>
      <c r="AI6">
        <v>0.9778185000058327</v>
      </c>
      <c r="AJ6">
        <v>0.9838181935585405</v>
      </c>
      <c r="AK6">
        <v>0.98800313562789432</v>
      </c>
      <c r="AL6">
        <v>0.97407348805458516</v>
      </c>
      <c r="AM6">
        <v>0.96564184924916607</v>
      </c>
      <c r="AN6">
        <v>0.97513026853096718</v>
      </c>
      <c r="AO6">
        <v>0.97859299444088121</v>
      </c>
      <c r="AP6">
        <v>0.98241893258136781</v>
      </c>
      <c r="AQ6">
        <v>0.9642328349683289</v>
      </c>
      <c r="AR6">
        <v>0.94485681487770656</v>
      </c>
      <c r="AS6">
        <v>0.96129458006979562</v>
      </c>
      <c r="AT6">
        <v>0.97155688566248333</v>
      </c>
      <c r="AU6">
        <v>0.97532607250204861</v>
      </c>
      <c r="AV6">
        <v>0.98028261017522533</v>
      </c>
      <c r="AW6">
        <v>0.97940607815067826</v>
      </c>
      <c r="AX6">
        <v>0.98049723213892293</v>
      </c>
      <c r="AY6">
        <v>0.97142132937117232</v>
      </c>
      <c r="AZ6">
        <v>0.97607151071363474</v>
      </c>
      <c r="BA6">
        <v>0.98268354281059445</v>
      </c>
      <c r="BB6">
        <v>0.97602589872073098</v>
      </c>
      <c r="BC6">
        <v>0.97782469114036652</v>
      </c>
      <c r="BD6">
        <v>0.98558606318590769</v>
      </c>
      <c r="BE6">
        <v>0.98536858699252627</v>
      </c>
      <c r="BF6">
        <v>0.98344693765947633</v>
      </c>
    </row>
    <row r="7" spans="1:58" ht="15" x14ac:dyDescent="0.2">
      <c r="A7" s="15"/>
      <c r="B7" s="12" t="s">
        <v>20</v>
      </c>
      <c r="C7">
        <v>0.98745674797768335</v>
      </c>
      <c r="D7">
        <v>0.97809603931766953</v>
      </c>
      <c r="E7">
        <v>0.98246192235010033</v>
      </c>
      <c r="F7">
        <v>0.97816552852951655</v>
      </c>
      <c r="G7">
        <v>0.97737932040403241</v>
      </c>
      <c r="H7">
        <v>0.98353237573162355</v>
      </c>
      <c r="I7">
        <v>1.000288351751166</v>
      </c>
      <c r="J7">
        <v>0.9862612168831173</v>
      </c>
      <c r="K7">
        <v>0.994420211754104</v>
      </c>
      <c r="L7">
        <v>0.99287519235202959</v>
      </c>
      <c r="M7">
        <v>0.98812280167018751</v>
      </c>
      <c r="N7">
        <v>0.99279963058045095</v>
      </c>
      <c r="O7">
        <v>0.98037680830490326</v>
      </c>
      <c r="P7">
        <v>0.98708884038216949</v>
      </c>
      <c r="Q7">
        <v>0.98552247666328874</v>
      </c>
      <c r="R7">
        <v>0.98625758005989772</v>
      </c>
      <c r="S7">
        <v>0.97190028621334879</v>
      </c>
      <c r="T7">
        <v>0.95523713977766056</v>
      </c>
      <c r="U7">
        <v>0.96561468793362448</v>
      </c>
      <c r="V7">
        <v>0.97198998810259374</v>
      </c>
      <c r="W7">
        <v>0.95878089939419353</v>
      </c>
      <c r="X7">
        <v>0.96760909137718909</v>
      </c>
      <c r="Y7">
        <v>0.96835285850607566</v>
      </c>
      <c r="Z7">
        <v>0.96296252213464606</v>
      </c>
      <c r="AA7">
        <v>0.94314468945525098</v>
      </c>
      <c r="AB7">
        <v>0.94544131205543369</v>
      </c>
      <c r="AC7">
        <v>0.93204243239814999</v>
      </c>
      <c r="AD7">
        <v>0.92369763708193131</v>
      </c>
      <c r="AE7">
        <v>0.91317215325064227</v>
      </c>
      <c r="AF7">
        <v>0.89659003399837589</v>
      </c>
      <c r="AG7">
        <v>0.87113703438516321</v>
      </c>
      <c r="AH7">
        <v>0.85756826269765496</v>
      </c>
      <c r="AI7">
        <v>0.85028381854285662</v>
      </c>
      <c r="AJ7">
        <v>0.84701060635243575</v>
      </c>
      <c r="AK7">
        <v>0.86253042114391254</v>
      </c>
      <c r="AL7">
        <v>0.85732525528293446</v>
      </c>
      <c r="AM7">
        <v>0.83969049654155936</v>
      </c>
      <c r="AN7">
        <v>0.8383534858799061</v>
      </c>
      <c r="AO7">
        <v>0.84083479185126153</v>
      </c>
      <c r="AP7">
        <v>0.81616707030593749</v>
      </c>
      <c r="AQ7">
        <v>0.78952074546379403</v>
      </c>
      <c r="AR7">
        <v>0.80291996077400596</v>
      </c>
      <c r="AS7">
        <v>0.83499510494476104</v>
      </c>
      <c r="AT7">
        <v>0.81825430755258821</v>
      </c>
      <c r="AU7">
        <v>0.79726748003638281</v>
      </c>
      <c r="AV7">
        <v>0.79262513544550917</v>
      </c>
      <c r="AW7">
        <v>0.79126775681884964</v>
      </c>
      <c r="AX7">
        <v>0.78109119112791214</v>
      </c>
      <c r="AY7">
        <v>0.76755377056889806</v>
      </c>
      <c r="AZ7">
        <v>0.78112325816880601</v>
      </c>
      <c r="BA7">
        <v>0.78981126100627974</v>
      </c>
      <c r="BB7">
        <v>0.77620746461321866</v>
      </c>
      <c r="BC7">
        <v>0.79441928047857402</v>
      </c>
      <c r="BD7">
        <v>0.7947390392791357</v>
      </c>
      <c r="BE7">
        <v>0.76238980624809594</v>
      </c>
      <c r="BF7">
        <v>0.75934905356324178</v>
      </c>
    </row>
    <row r="8" spans="1:58" ht="15" x14ac:dyDescent="0.2">
      <c r="A8" s="15"/>
      <c r="B8" s="12" t="s">
        <v>21</v>
      </c>
      <c r="C8">
        <v>0.87575462122263048</v>
      </c>
      <c r="D8">
        <v>0.88338943210915544</v>
      </c>
      <c r="E8">
        <v>0.88943051783917282</v>
      </c>
      <c r="F8">
        <v>0.88293142500067634</v>
      </c>
      <c r="G8">
        <v>0.88124035517884636</v>
      </c>
      <c r="H8">
        <v>0.89347560839664941</v>
      </c>
      <c r="I8">
        <v>0.92086810487853943</v>
      </c>
      <c r="J8">
        <v>0.88317021954848474</v>
      </c>
      <c r="K8">
        <v>0.90030659734634777</v>
      </c>
      <c r="L8">
        <v>0.90105847664961491</v>
      </c>
      <c r="M8">
        <v>0.89628289407006212</v>
      </c>
      <c r="N8">
        <v>0.90681177927952539</v>
      </c>
      <c r="O8">
        <v>0.88990966693818452</v>
      </c>
      <c r="P8">
        <v>0.89588482714819928</v>
      </c>
      <c r="Q8">
        <v>0.89794331772640545</v>
      </c>
      <c r="R8">
        <v>0.89513503868400723</v>
      </c>
      <c r="S8">
        <v>0.89019226594127665</v>
      </c>
      <c r="T8">
        <v>0.87399057727725449</v>
      </c>
      <c r="U8">
        <v>0.87620882807881673</v>
      </c>
      <c r="V8">
        <v>0.88404901341949615</v>
      </c>
      <c r="W8">
        <v>0.87493942502617605</v>
      </c>
      <c r="X8">
        <v>0.88246247717751292</v>
      </c>
      <c r="Y8">
        <v>0.88834552334913897</v>
      </c>
      <c r="Z8">
        <v>0.87266708782249403</v>
      </c>
      <c r="AA8">
        <v>0.85278022109139573</v>
      </c>
      <c r="AB8">
        <v>0.86969247771401881</v>
      </c>
      <c r="AC8">
        <v>0.85434213281104865</v>
      </c>
      <c r="AD8">
        <v>0.8449414806876181</v>
      </c>
      <c r="AE8">
        <v>0.83827275676316571</v>
      </c>
      <c r="AF8">
        <v>0.83647891536760544</v>
      </c>
      <c r="AG8">
        <v>0.82385136412270299</v>
      </c>
      <c r="AH8">
        <v>0.79867642403378381</v>
      </c>
      <c r="AI8">
        <v>0.79979910367735907</v>
      </c>
      <c r="AJ8">
        <v>0.79723997631884291</v>
      </c>
      <c r="AK8">
        <v>0.80629884088600912</v>
      </c>
      <c r="AL8">
        <v>0.77963230915511794</v>
      </c>
      <c r="AM8">
        <v>0.7583831883464508</v>
      </c>
      <c r="AN8">
        <v>0.76240343632723961</v>
      </c>
      <c r="AO8">
        <v>0.74754582932713332</v>
      </c>
      <c r="AP8">
        <v>0.73143400888469678</v>
      </c>
      <c r="AQ8">
        <v>0.71377469124732651</v>
      </c>
      <c r="AR8">
        <v>0.70601500311479914</v>
      </c>
      <c r="AS8">
        <v>0.72685558136257944</v>
      </c>
      <c r="AT8">
        <v>0.72896904255563932</v>
      </c>
      <c r="AU8">
        <v>0.73675301107180236</v>
      </c>
      <c r="AV8">
        <v>0.74001562994504688</v>
      </c>
      <c r="AW8">
        <v>0.74205685764495299</v>
      </c>
      <c r="AX8">
        <v>0.73518205126119185</v>
      </c>
      <c r="AY8">
        <v>0.70622294986812928</v>
      </c>
      <c r="AZ8">
        <v>0.70780146554528522</v>
      </c>
      <c r="BA8">
        <v>0.72923679261068597</v>
      </c>
      <c r="BB8">
        <v>0.71032751508198244</v>
      </c>
      <c r="BC8">
        <v>0.71778603250441675</v>
      </c>
      <c r="BD8">
        <v>0.72809588018263194</v>
      </c>
      <c r="BE8">
        <v>0.70966211166518645</v>
      </c>
      <c r="BF8">
        <v>0.71082732909361379</v>
      </c>
    </row>
    <row r="9" spans="1:58" ht="15" x14ac:dyDescent="0.2">
      <c r="A9" s="15"/>
      <c r="B9" s="12" t="s">
        <v>22</v>
      </c>
      <c r="C9">
        <v>0.74708115079323345</v>
      </c>
      <c r="D9">
        <v>0.72819790965977838</v>
      </c>
      <c r="E9">
        <v>0.73736633890720582</v>
      </c>
      <c r="F9">
        <v>0.73221997864043109</v>
      </c>
      <c r="G9">
        <v>0.71675920722970121</v>
      </c>
      <c r="H9">
        <v>0.73350657929968766</v>
      </c>
      <c r="I9">
        <v>0.75930596271123163</v>
      </c>
      <c r="J9">
        <v>0.72558649878856929</v>
      </c>
      <c r="K9">
        <v>0.72013802001187588</v>
      </c>
      <c r="L9">
        <v>0.72966664958607674</v>
      </c>
      <c r="M9">
        <v>0.73325112732644659</v>
      </c>
      <c r="N9">
        <v>0.7246588667103141</v>
      </c>
      <c r="O9">
        <v>0.6981017285046035</v>
      </c>
      <c r="P9">
        <v>0.69647048622329688</v>
      </c>
      <c r="Q9">
        <v>0.7017658815040736</v>
      </c>
      <c r="R9">
        <v>0.69087373006078079</v>
      </c>
      <c r="S9">
        <v>0.71377120663900018</v>
      </c>
      <c r="T9">
        <v>0.70200425943033928</v>
      </c>
      <c r="U9">
        <v>0.69605969851060301</v>
      </c>
      <c r="V9">
        <v>0.7101056306183452</v>
      </c>
      <c r="W9">
        <v>0.71059636256634917</v>
      </c>
      <c r="X9">
        <v>0.71269218349674768</v>
      </c>
      <c r="Y9">
        <v>0.72441768515712313</v>
      </c>
      <c r="Z9">
        <v>0.72128699984989586</v>
      </c>
      <c r="AA9">
        <v>0.7124076857167666</v>
      </c>
      <c r="AB9">
        <v>0.74790680910911822</v>
      </c>
      <c r="AC9">
        <v>0.74420822733043268</v>
      </c>
      <c r="AD9">
        <v>0.75031880148389174</v>
      </c>
      <c r="AE9">
        <v>0.74890733278022448</v>
      </c>
      <c r="AF9">
        <v>0.75417508024357305</v>
      </c>
      <c r="AG9">
        <v>0.75351932761229512</v>
      </c>
      <c r="AH9">
        <v>0.7484532403749562</v>
      </c>
      <c r="AI9">
        <v>0.74752850868219534</v>
      </c>
      <c r="AJ9">
        <v>0.72407642834903474</v>
      </c>
      <c r="AK9">
        <v>0.72341618632065918</v>
      </c>
      <c r="AL9">
        <v>0.71043802019813862</v>
      </c>
      <c r="AM9">
        <v>0.70834424816760888</v>
      </c>
      <c r="AN9">
        <v>0.69511305446052729</v>
      </c>
      <c r="AO9">
        <v>0.70155897232404707</v>
      </c>
      <c r="AP9">
        <v>0.68614668591047356</v>
      </c>
      <c r="AQ9">
        <v>0.68823484744143915</v>
      </c>
      <c r="AR9">
        <v>0.66774429971794158</v>
      </c>
      <c r="AS9">
        <v>0.69113555993165376</v>
      </c>
      <c r="AT9">
        <v>0.66868785925637964</v>
      </c>
      <c r="AU9">
        <v>0.68403682434577495</v>
      </c>
      <c r="AV9">
        <v>0.67555351187931401</v>
      </c>
      <c r="AW9">
        <v>0.68431936117795122</v>
      </c>
      <c r="AX9">
        <v>0.69218143831195411</v>
      </c>
      <c r="AY9">
        <v>0.69176578538727884</v>
      </c>
      <c r="AZ9">
        <v>0.66991181971157221</v>
      </c>
      <c r="BA9">
        <v>0.67519783293689184</v>
      </c>
      <c r="BB9">
        <v>0.67566292791383076</v>
      </c>
      <c r="BC9">
        <v>0.65470011997717958</v>
      </c>
      <c r="BD9">
        <v>0.66415826686606583</v>
      </c>
      <c r="BE9">
        <v>0.65905206430497854</v>
      </c>
      <c r="BF9">
        <v>0.63683670211221788</v>
      </c>
    </row>
    <row r="10" spans="1:58" ht="15" x14ac:dyDescent="0.2">
      <c r="A10" s="15" t="s">
        <v>21</v>
      </c>
      <c r="B10" s="12" t="s">
        <v>19</v>
      </c>
      <c r="C10">
        <v>0.93428073394554889</v>
      </c>
      <c r="D10">
        <v>0.95880120747142272</v>
      </c>
      <c r="E10">
        <v>0.96765594252564691</v>
      </c>
      <c r="F10">
        <v>0.96890552711123756</v>
      </c>
      <c r="G10">
        <v>0.9698779637884315</v>
      </c>
      <c r="H10">
        <v>0.98485545867855651</v>
      </c>
      <c r="I10">
        <v>1.000974064713164</v>
      </c>
      <c r="J10">
        <v>0.97179342344070152</v>
      </c>
      <c r="K10">
        <v>0.99330043306557381</v>
      </c>
      <c r="L10">
        <v>0.98932036314619176</v>
      </c>
      <c r="M10">
        <v>0.97599748710133416</v>
      </c>
      <c r="N10">
        <v>1.000034097941265</v>
      </c>
      <c r="O10">
        <v>0.99766863010334128</v>
      </c>
      <c r="P10">
        <v>1.003605009574251</v>
      </c>
      <c r="Q10">
        <v>1.0066445669388699</v>
      </c>
      <c r="R10">
        <v>1.007943180009983</v>
      </c>
      <c r="S10">
        <v>1.003866683423525</v>
      </c>
      <c r="T10">
        <v>0.99777918785896857</v>
      </c>
      <c r="U10">
        <v>1.003201164460106</v>
      </c>
      <c r="V10">
        <v>1.0093347750223081</v>
      </c>
      <c r="W10">
        <v>1.01784018136665</v>
      </c>
      <c r="X10">
        <v>1.017675395530286</v>
      </c>
      <c r="Y10">
        <v>1.023602393967024</v>
      </c>
      <c r="Z10">
        <v>1.0296207542247739</v>
      </c>
      <c r="AA10">
        <v>1.025061252765993</v>
      </c>
      <c r="AB10">
        <v>1.011652852650327</v>
      </c>
      <c r="AC10">
        <v>1.005560702018061</v>
      </c>
      <c r="AD10">
        <v>0.99838231915107523</v>
      </c>
      <c r="AE10">
        <v>1.000777103833296</v>
      </c>
      <c r="AF10">
        <v>1.004991128848246</v>
      </c>
      <c r="AG10">
        <v>1.000668702862151</v>
      </c>
      <c r="AH10">
        <v>0.98869793910914061</v>
      </c>
      <c r="AI10">
        <v>0.9953595641498918</v>
      </c>
      <c r="AJ10">
        <v>1.0005501151195111</v>
      </c>
      <c r="AK10">
        <v>1.0041565343284979</v>
      </c>
      <c r="AL10">
        <v>0.99105890895920623</v>
      </c>
      <c r="AM10">
        <v>0.98459471435141788</v>
      </c>
      <c r="AN10">
        <v>0.99668440203089947</v>
      </c>
      <c r="AO10">
        <v>0.99233271930560307</v>
      </c>
      <c r="AP10">
        <v>0.99778179100447562</v>
      </c>
      <c r="AQ10">
        <v>0.97882661924593484</v>
      </c>
      <c r="AR10">
        <v>0.95690010839473394</v>
      </c>
      <c r="AS10">
        <v>0.97956591533629889</v>
      </c>
      <c r="AT10">
        <v>0.99003712910569341</v>
      </c>
      <c r="AU10">
        <v>0.99306464685915463</v>
      </c>
      <c r="AV10">
        <v>1.0002245600860791</v>
      </c>
      <c r="AW10">
        <v>1.000125717767731</v>
      </c>
      <c r="AX10">
        <v>1.002119553423211</v>
      </c>
      <c r="AY10">
        <v>0.98860056219345505</v>
      </c>
      <c r="AZ10">
        <v>0.9919917173636591</v>
      </c>
      <c r="BA10">
        <v>1.0013421736774439</v>
      </c>
      <c r="BB10">
        <v>0.9903465098896832</v>
      </c>
      <c r="BC10">
        <v>0.99796667383119808</v>
      </c>
      <c r="BD10">
        <v>1.008231798384978</v>
      </c>
      <c r="BE10">
        <v>1.002821189014754</v>
      </c>
      <c r="BF10">
        <v>1.003498235664414</v>
      </c>
    </row>
    <row r="11" spans="1:58" ht="15" x14ac:dyDescent="0.2">
      <c r="A11" s="15"/>
      <c r="B11" s="12" t="s">
        <v>20</v>
      </c>
      <c r="C11">
        <v>0.94472716115895838</v>
      </c>
      <c r="D11">
        <v>0.93801942391756665</v>
      </c>
      <c r="E11">
        <v>0.94614953963909343</v>
      </c>
      <c r="F11">
        <v>0.94578702588411268</v>
      </c>
      <c r="G11">
        <v>0.94479832962180132</v>
      </c>
      <c r="H11">
        <v>0.95086213946603859</v>
      </c>
      <c r="I11">
        <v>0.94101267183370219</v>
      </c>
      <c r="J11">
        <v>0.94815094953687062</v>
      </c>
      <c r="K11">
        <v>0.97375706588889155</v>
      </c>
      <c r="L11">
        <v>0.96013186653225857</v>
      </c>
      <c r="M11">
        <v>0.94806061001470032</v>
      </c>
      <c r="N11">
        <v>0.9743316376308373</v>
      </c>
      <c r="O11">
        <v>0.95522422975426524</v>
      </c>
      <c r="P11">
        <v>0.95169412698685041</v>
      </c>
      <c r="Q11">
        <v>0.93089123408036445</v>
      </c>
      <c r="R11">
        <v>0.93339705816467722</v>
      </c>
      <c r="S11">
        <v>0.91559175331383036</v>
      </c>
      <c r="T11">
        <v>0.90555138543233837</v>
      </c>
      <c r="U11">
        <v>0.94904039444363586</v>
      </c>
      <c r="V11">
        <v>0.96734196472443723</v>
      </c>
      <c r="W11">
        <v>0.96352361224266247</v>
      </c>
      <c r="X11">
        <v>0.95824396309412729</v>
      </c>
      <c r="Y11">
        <v>0.95171618517801548</v>
      </c>
      <c r="Z11">
        <v>0.97042818995100788</v>
      </c>
      <c r="AA11">
        <v>0.94800106826548225</v>
      </c>
      <c r="AB11">
        <v>0.94954315677164103</v>
      </c>
      <c r="AC11">
        <v>0.92648980480332555</v>
      </c>
      <c r="AD11">
        <v>0.92852495339612651</v>
      </c>
      <c r="AE11">
        <v>0.92978038326311208</v>
      </c>
      <c r="AF11">
        <v>0.89929084510617119</v>
      </c>
      <c r="AG11">
        <v>0.87734938303919519</v>
      </c>
      <c r="AH11">
        <v>0.89008222836302242</v>
      </c>
      <c r="AI11">
        <v>0.89345987105879854</v>
      </c>
      <c r="AJ11">
        <v>0.87602348609681224</v>
      </c>
      <c r="AK11">
        <v>0.8895778527499103</v>
      </c>
      <c r="AL11">
        <v>0.90883823393460306</v>
      </c>
      <c r="AM11">
        <v>0.91399766272465599</v>
      </c>
      <c r="AN11">
        <v>0.90747834332260735</v>
      </c>
      <c r="AO11">
        <v>0.89649794663034288</v>
      </c>
      <c r="AP11">
        <v>0.87183897406905875</v>
      </c>
      <c r="AQ11">
        <v>0.85890395077978177</v>
      </c>
      <c r="AR11">
        <v>0.87344676501309904</v>
      </c>
      <c r="AS11">
        <v>0.89133935835704636</v>
      </c>
      <c r="AT11">
        <v>0.86307268712528495</v>
      </c>
      <c r="AU11">
        <v>0.85828744608134866</v>
      </c>
      <c r="AV11">
        <v>0.83996116536059751</v>
      </c>
      <c r="AW11">
        <v>0.85142581401916961</v>
      </c>
      <c r="AX11">
        <v>0.84850361579771572</v>
      </c>
      <c r="AY11">
        <v>0.8331369152790673</v>
      </c>
      <c r="AZ11">
        <v>0.83914409689983027</v>
      </c>
      <c r="BA11">
        <v>0.84754821425687799</v>
      </c>
      <c r="BB11">
        <v>0.83960443628491799</v>
      </c>
      <c r="BC11">
        <v>0.84688167396810687</v>
      </c>
      <c r="BD11">
        <v>0.84135562473290693</v>
      </c>
      <c r="BE11">
        <v>0.81425383255015993</v>
      </c>
      <c r="BF11">
        <v>0.81746533048278069</v>
      </c>
    </row>
    <row r="12" spans="1:58" ht="15" x14ac:dyDescent="0.2">
      <c r="A12" s="15"/>
      <c r="B12" s="12" t="s">
        <v>21</v>
      </c>
      <c r="C12">
        <v>0.74307370182973997</v>
      </c>
      <c r="D12">
        <v>0.73853467225790925</v>
      </c>
      <c r="E12">
        <v>0.73577058857030031</v>
      </c>
      <c r="F12">
        <v>0.73624031979497717</v>
      </c>
      <c r="G12">
        <v>0.7368134897266394</v>
      </c>
      <c r="H12">
        <v>0.74555088655364332</v>
      </c>
      <c r="I12">
        <v>0.75674036694092439</v>
      </c>
      <c r="J12">
        <v>0.69648569038523733</v>
      </c>
      <c r="K12">
        <v>0.73028997295962206</v>
      </c>
      <c r="L12">
        <v>0.72829280038774846</v>
      </c>
      <c r="M12">
        <v>0.73826460828348173</v>
      </c>
      <c r="N12">
        <v>0.76244080768064848</v>
      </c>
      <c r="O12">
        <v>0.73686344334778664</v>
      </c>
      <c r="P12">
        <v>0.70741549811843196</v>
      </c>
      <c r="Q12">
        <v>0.69812435715254406</v>
      </c>
      <c r="R12">
        <v>0.69483362337663468</v>
      </c>
      <c r="S12">
        <v>0.7075940855479198</v>
      </c>
      <c r="T12">
        <v>0.6977549507539349</v>
      </c>
      <c r="U12">
        <v>0.70934511320145754</v>
      </c>
      <c r="V12">
        <v>0.75914758360332057</v>
      </c>
      <c r="W12">
        <v>0.77492548222619007</v>
      </c>
      <c r="X12">
        <v>0.77227160672482398</v>
      </c>
      <c r="Y12">
        <v>0.76883295217416792</v>
      </c>
      <c r="Z12">
        <v>0.77369348632450363</v>
      </c>
      <c r="AA12">
        <v>0.76912364764993479</v>
      </c>
      <c r="AB12">
        <v>0.77759169013668117</v>
      </c>
      <c r="AC12">
        <v>0.7864900480627105</v>
      </c>
      <c r="AD12">
        <v>0.78450861666506733</v>
      </c>
      <c r="AE12">
        <v>0.77892198537852864</v>
      </c>
      <c r="AF12">
        <v>0.78243121942026972</v>
      </c>
      <c r="AG12">
        <v>0.78345208163321989</v>
      </c>
      <c r="AH12">
        <v>0.78583596024026636</v>
      </c>
      <c r="AI12">
        <v>0.79559594601563688</v>
      </c>
      <c r="AJ12">
        <v>0.77376233180434884</v>
      </c>
      <c r="AK12">
        <v>0.78111200223415655</v>
      </c>
      <c r="AL12">
        <v>0.7839656383653385</v>
      </c>
      <c r="AM12">
        <v>0.79017879347819253</v>
      </c>
      <c r="AN12">
        <v>0.78308798402648006</v>
      </c>
      <c r="AO12">
        <v>0.76812173527011551</v>
      </c>
      <c r="AP12">
        <v>0.75391624856086392</v>
      </c>
      <c r="AQ12">
        <v>0.75508575919433918</v>
      </c>
      <c r="AR12">
        <v>0.74341871762460676</v>
      </c>
      <c r="AS12">
        <v>0.77508310306684647</v>
      </c>
      <c r="AT12">
        <v>0.76603788514815629</v>
      </c>
      <c r="AU12">
        <v>0.75028129988974468</v>
      </c>
      <c r="AV12">
        <v>0.75044933601085217</v>
      </c>
      <c r="AW12">
        <v>0.7505744712084389</v>
      </c>
      <c r="AX12">
        <v>0.75895822841982663</v>
      </c>
      <c r="AY12">
        <v>0.75564000314564184</v>
      </c>
      <c r="AZ12">
        <v>0.75761348072398815</v>
      </c>
      <c r="BA12">
        <v>0.75669983737097257</v>
      </c>
      <c r="BB12">
        <v>0.74068102651533385</v>
      </c>
      <c r="BC12">
        <v>0.73455184100405924</v>
      </c>
      <c r="BD12">
        <v>0.74502507862062395</v>
      </c>
      <c r="BE12">
        <v>0.72504771128628942</v>
      </c>
      <c r="BF12">
        <v>0.68783217047694634</v>
      </c>
    </row>
    <row r="13" spans="1:58" ht="15" x14ac:dyDescent="0.2">
      <c r="A13" s="15"/>
      <c r="B13" s="12" t="s">
        <v>22</v>
      </c>
      <c r="C13">
        <v>0.70866253118819988</v>
      </c>
      <c r="D13">
        <v>0.6968648493835522</v>
      </c>
      <c r="E13">
        <v>0.69284374180541708</v>
      </c>
      <c r="F13">
        <v>0.6953346304828274</v>
      </c>
      <c r="G13">
        <v>0.69944936683675041</v>
      </c>
      <c r="H13">
        <v>0.70494857278339407</v>
      </c>
      <c r="I13">
        <v>0.70957162871844026</v>
      </c>
      <c r="J13">
        <v>0.65194467379768983</v>
      </c>
      <c r="K13">
        <v>0.68567586551383897</v>
      </c>
      <c r="L13">
        <v>0.68629685625052961</v>
      </c>
      <c r="M13">
        <v>0.70161443618435004</v>
      </c>
      <c r="N13">
        <v>0.72355848934791045</v>
      </c>
      <c r="O13">
        <v>0.6976886143464972</v>
      </c>
      <c r="P13">
        <v>0.66149994140575663</v>
      </c>
      <c r="Q13">
        <v>0.6535325195699867</v>
      </c>
      <c r="R13">
        <v>0.64982916490938913</v>
      </c>
      <c r="S13">
        <v>0.67147990182070771</v>
      </c>
      <c r="T13">
        <v>0.66467629666261829</v>
      </c>
      <c r="U13">
        <v>0.67564610398988567</v>
      </c>
      <c r="V13">
        <v>0.73235929111406473</v>
      </c>
      <c r="W13">
        <v>0.75233700901829037</v>
      </c>
      <c r="X13">
        <v>0.75128780636206371</v>
      </c>
      <c r="Y13">
        <v>0.74791721861152805</v>
      </c>
      <c r="Z13">
        <v>0.75346129351729085</v>
      </c>
      <c r="AA13">
        <v>0.75442945782253901</v>
      </c>
      <c r="AB13">
        <v>0.7672203431030622</v>
      </c>
      <c r="AC13">
        <v>0.78093378889970644</v>
      </c>
      <c r="AD13">
        <v>0.78025108242251462</v>
      </c>
      <c r="AE13">
        <v>0.77362669942425744</v>
      </c>
      <c r="AF13">
        <v>0.77934050591008486</v>
      </c>
      <c r="AG13">
        <v>0.78247921841304113</v>
      </c>
      <c r="AH13">
        <v>0.7875123706550432</v>
      </c>
      <c r="AI13">
        <v>0.79672510291406096</v>
      </c>
      <c r="AJ13">
        <v>0.77322152233653818</v>
      </c>
      <c r="AK13">
        <v>0.78066282116990293</v>
      </c>
      <c r="AL13">
        <v>0.78555755301381447</v>
      </c>
      <c r="AM13">
        <v>0.7930963355534032</v>
      </c>
      <c r="AN13">
        <v>0.7848735247847658</v>
      </c>
      <c r="AO13">
        <v>0.77151900938524287</v>
      </c>
      <c r="AP13">
        <v>0.75744724216840642</v>
      </c>
      <c r="AQ13">
        <v>0.76039129159810759</v>
      </c>
      <c r="AR13">
        <v>0.74770257421533393</v>
      </c>
      <c r="AS13">
        <v>0.78011467788801392</v>
      </c>
      <c r="AT13">
        <v>0.77133760178372768</v>
      </c>
      <c r="AU13">
        <v>0.75333113390569539</v>
      </c>
      <c r="AV13">
        <v>0.75434418446094409</v>
      </c>
      <c r="AW13">
        <v>0.7546238384834153</v>
      </c>
      <c r="AX13">
        <v>0.76450079976242136</v>
      </c>
      <c r="AY13">
        <v>0.7642139784675539</v>
      </c>
      <c r="AZ13">
        <v>0.76507110186158678</v>
      </c>
      <c r="BA13">
        <v>0.76120218715297105</v>
      </c>
      <c r="BB13">
        <v>0.74596193366835817</v>
      </c>
      <c r="BC13">
        <v>0.73766503330493094</v>
      </c>
      <c r="BD13">
        <v>0.74806855985748644</v>
      </c>
      <c r="BE13">
        <v>0.72835687933007676</v>
      </c>
      <c r="BF13">
        <v>0.6869321508204157</v>
      </c>
    </row>
    <row r="14" spans="1:58" ht="15" x14ac:dyDescent="0.2">
      <c r="A14" s="15" t="s">
        <v>22</v>
      </c>
      <c r="B14" s="12" t="s">
        <v>19</v>
      </c>
      <c r="C14">
        <v>0.49882890518741352</v>
      </c>
      <c r="D14">
        <v>0.56317612100730174</v>
      </c>
      <c r="E14">
        <v>0.57778400499396609</v>
      </c>
      <c r="F14">
        <v>0.55396668039143282</v>
      </c>
      <c r="G14">
        <v>0.52139517553308135</v>
      </c>
      <c r="H14">
        <v>0.60990025400713976</v>
      </c>
      <c r="I14">
        <v>0.63612386424667333</v>
      </c>
      <c r="J14">
        <v>0.52558798382421656</v>
      </c>
      <c r="K14">
        <v>0.65840767142028134</v>
      </c>
      <c r="L14">
        <v>0.62814283286050765</v>
      </c>
      <c r="M14">
        <v>0.46019635295163741</v>
      </c>
      <c r="N14">
        <v>0.5344846785013353</v>
      </c>
      <c r="O14">
        <v>0.56426406604633406</v>
      </c>
      <c r="P14">
        <v>0.6079070831367015</v>
      </c>
      <c r="Q14">
        <v>0.64641152066099983</v>
      </c>
      <c r="R14">
        <v>0.5933725105972919</v>
      </c>
      <c r="S14">
        <v>0.65506997883306828</v>
      </c>
      <c r="T14">
        <v>0.57332687403201166</v>
      </c>
      <c r="U14">
        <v>0.53245217608842854</v>
      </c>
      <c r="V14">
        <v>0.60424010659098726</v>
      </c>
      <c r="W14">
        <v>0.72105372373350352</v>
      </c>
      <c r="X14">
        <v>0.69310018285441566</v>
      </c>
      <c r="Y14">
        <v>0.67065753792339045</v>
      </c>
      <c r="Z14">
        <v>0.86367024951234284</v>
      </c>
      <c r="AA14">
        <v>0.82530152818330837</v>
      </c>
      <c r="AB14">
        <v>0.91477743434614822</v>
      </c>
      <c r="AC14">
        <v>0.83277547769509452</v>
      </c>
      <c r="AD14">
        <v>0.6365199881212843</v>
      </c>
      <c r="AE14">
        <v>0.66546532443583073</v>
      </c>
      <c r="AF14">
        <v>0.6480987128481851</v>
      </c>
      <c r="AG14">
        <v>0.64355145837316818</v>
      </c>
      <c r="AH14">
        <v>0.7104621608356031</v>
      </c>
      <c r="AI14">
        <v>0.78064190705598169</v>
      </c>
      <c r="AJ14">
        <v>0.77805860749561973</v>
      </c>
      <c r="AK14">
        <v>0.76883761437148546</v>
      </c>
      <c r="AL14">
        <v>0.86963449226734668</v>
      </c>
      <c r="AM14">
        <v>0.86561127258136139</v>
      </c>
      <c r="AN14">
        <v>0.88417962062815258</v>
      </c>
      <c r="AO14">
        <v>0.85645705861992949</v>
      </c>
      <c r="AP14">
        <v>0.84595660395123817</v>
      </c>
      <c r="AQ14">
        <v>0.82131575716389871</v>
      </c>
      <c r="AR14">
        <v>0.8272934834034813</v>
      </c>
      <c r="AS14">
        <v>0.81585049507486018</v>
      </c>
      <c r="AT14">
        <v>0.79687755255873549</v>
      </c>
      <c r="AU14">
        <v>0.8482154351145057</v>
      </c>
      <c r="AV14">
        <v>0.89943377544933567</v>
      </c>
      <c r="AW14">
        <v>0.83399371569226943</v>
      </c>
      <c r="AX14">
        <v>0.86537937390506392</v>
      </c>
      <c r="AY14">
        <v>0.81033604444477769</v>
      </c>
      <c r="AZ14">
        <v>0.83597538594509946</v>
      </c>
      <c r="BA14">
        <v>0.87417720502777574</v>
      </c>
      <c r="BB14">
        <v>0.87245127029276104</v>
      </c>
      <c r="BC14">
        <v>0.91226465585750294</v>
      </c>
      <c r="BD14">
        <v>0.85220808112315793</v>
      </c>
      <c r="BE14">
        <v>0.84681200723617045</v>
      </c>
      <c r="BF14">
        <v>0.88303234827229415</v>
      </c>
    </row>
    <row r="15" spans="1:58" ht="15" x14ac:dyDescent="0.2">
      <c r="A15" s="15"/>
      <c r="B15" s="12" t="s">
        <v>20</v>
      </c>
      <c r="C15">
        <v>1.017541835590406</v>
      </c>
      <c r="D15">
        <v>1.011431874574872</v>
      </c>
      <c r="E15">
        <v>1.0130823253977239</v>
      </c>
      <c r="F15">
        <v>1.011887687244962</v>
      </c>
      <c r="G15">
        <v>1.007727736732007</v>
      </c>
      <c r="H15">
        <v>1.007539563934339</v>
      </c>
      <c r="I15">
        <v>1.0315512246759351</v>
      </c>
      <c r="J15">
        <v>1.0267118985375221</v>
      </c>
      <c r="K15">
        <v>1.0419901490195851</v>
      </c>
      <c r="L15">
        <v>1.0398196940126041</v>
      </c>
      <c r="M15">
        <v>1.046994097782026</v>
      </c>
      <c r="N15">
        <v>1.0440844139537011</v>
      </c>
      <c r="O15">
        <v>1.0302022864057021</v>
      </c>
      <c r="P15">
        <v>1.029161590560443</v>
      </c>
      <c r="Q15">
        <v>1.016138349677413</v>
      </c>
      <c r="R15">
        <v>1.022758979471361</v>
      </c>
      <c r="S15">
        <v>1.016574922653309</v>
      </c>
      <c r="T15">
        <v>1.00875050495198</v>
      </c>
      <c r="U15">
        <v>1.0109642532630889</v>
      </c>
      <c r="V15">
        <v>1.0144425979000291</v>
      </c>
      <c r="W15">
        <v>1.0069727484906119</v>
      </c>
      <c r="X15">
        <v>1.017079941867387</v>
      </c>
      <c r="Y15">
        <v>1.013359895139845</v>
      </c>
      <c r="Z15">
        <v>1.0182039915957919</v>
      </c>
      <c r="AA15">
        <v>1.003742849895773</v>
      </c>
      <c r="AB15">
        <v>0.99446920407320372</v>
      </c>
      <c r="AC15">
        <v>0.97314148963975944</v>
      </c>
      <c r="AD15">
        <v>0.97322072542690108</v>
      </c>
      <c r="AE15">
        <v>0.9627630533119006</v>
      </c>
      <c r="AF15">
        <v>0.95154844823833173</v>
      </c>
      <c r="AG15">
        <v>0.9456621531517595</v>
      </c>
      <c r="AH15">
        <v>0.93426826466070867</v>
      </c>
      <c r="AI15">
        <v>0.93830984997625511</v>
      </c>
      <c r="AJ15">
        <v>0.9311460450550697</v>
      </c>
      <c r="AK15">
        <v>0.9384491589395384</v>
      </c>
      <c r="AL15">
        <v>0.92410945397150057</v>
      </c>
      <c r="AM15">
        <v>0.93433988013083269</v>
      </c>
      <c r="AN15">
        <v>0.93559807423117058</v>
      </c>
      <c r="AO15">
        <v>0.9079366294741712</v>
      </c>
      <c r="AP15">
        <v>0.88291065105871869</v>
      </c>
      <c r="AQ15">
        <v>0.86843001107969298</v>
      </c>
      <c r="AR15">
        <v>0.87476952728946367</v>
      </c>
      <c r="AS15">
        <v>0.9091775687548882</v>
      </c>
      <c r="AT15">
        <v>0.88759216268873353</v>
      </c>
      <c r="AU15">
        <v>0.87908472439123209</v>
      </c>
      <c r="AV15">
        <v>0.87767195342165738</v>
      </c>
      <c r="AW15">
        <v>0.88031968926116311</v>
      </c>
      <c r="AX15">
        <v>0.88554609025552444</v>
      </c>
      <c r="AY15">
        <v>0.85629880395276781</v>
      </c>
      <c r="AZ15">
        <v>0.84320650583701584</v>
      </c>
      <c r="BA15">
        <v>0.8495303697205544</v>
      </c>
      <c r="BB15">
        <v>0.85041888994896475</v>
      </c>
      <c r="BC15">
        <v>0.84694928833362382</v>
      </c>
      <c r="BD15">
        <v>0.84500676391457885</v>
      </c>
      <c r="BE15">
        <v>0.83535936869687588</v>
      </c>
      <c r="BF15">
        <v>0.83557062302325469</v>
      </c>
    </row>
    <row r="16" spans="1:58" ht="15" x14ac:dyDescent="0.2">
      <c r="A16" s="15"/>
      <c r="B16" s="12" t="s">
        <v>21</v>
      </c>
      <c r="C16">
        <v>0.72457146153159857</v>
      </c>
      <c r="D16">
        <v>0.71805880897112662</v>
      </c>
      <c r="E16">
        <v>0.71394804790868516</v>
      </c>
      <c r="F16">
        <v>0.71575211452198828</v>
      </c>
      <c r="G16">
        <v>0.72383827710193505</v>
      </c>
      <c r="H16">
        <v>0.72667347809163696</v>
      </c>
      <c r="I16">
        <v>0.72493798742498305</v>
      </c>
      <c r="J16">
        <v>0.66975522296650791</v>
      </c>
      <c r="K16">
        <v>0.70857739495802174</v>
      </c>
      <c r="L16">
        <v>0.70435551849562872</v>
      </c>
      <c r="M16">
        <v>0.71852849324795498</v>
      </c>
      <c r="N16">
        <v>0.74417380389868448</v>
      </c>
      <c r="O16">
        <v>0.72323051965994423</v>
      </c>
      <c r="P16">
        <v>0.68816158559351381</v>
      </c>
      <c r="Q16">
        <v>0.67771371541237413</v>
      </c>
      <c r="R16">
        <v>0.67533574578865685</v>
      </c>
      <c r="S16">
        <v>0.69710313705665572</v>
      </c>
      <c r="T16">
        <v>0.68876452434040991</v>
      </c>
      <c r="U16">
        <v>0.70108113645065162</v>
      </c>
      <c r="V16">
        <v>0.75843307698076523</v>
      </c>
      <c r="W16">
        <v>0.77956515177270824</v>
      </c>
      <c r="X16">
        <v>0.77574232685941436</v>
      </c>
      <c r="Y16">
        <v>0.77042726842174092</v>
      </c>
      <c r="Z16">
        <v>0.77974397159822384</v>
      </c>
      <c r="AA16">
        <v>0.77923533322318139</v>
      </c>
      <c r="AB16">
        <v>0.78895792645742069</v>
      </c>
      <c r="AC16">
        <v>0.80219090243878333</v>
      </c>
      <c r="AD16">
        <v>0.80009451949208754</v>
      </c>
      <c r="AE16">
        <v>0.79332187780045815</v>
      </c>
      <c r="AF16">
        <v>0.79965711821145358</v>
      </c>
      <c r="AG16">
        <v>0.80260374964228576</v>
      </c>
      <c r="AH16">
        <v>0.80919187043229202</v>
      </c>
      <c r="AI16">
        <v>0.81992383928556423</v>
      </c>
      <c r="AJ16">
        <v>0.79694956102323788</v>
      </c>
      <c r="AK16">
        <v>0.80485576558321803</v>
      </c>
      <c r="AL16">
        <v>0.81014220313968821</v>
      </c>
      <c r="AM16">
        <v>0.81904686005147154</v>
      </c>
      <c r="AN16">
        <v>0.81188859157673077</v>
      </c>
      <c r="AO16">
        <v>0.79445874034617447</v>
      </c>
      <c r="AP16">
        <v>0.77953246518520036</v>
      </c>
      <c r="AQ16">
        <v>0.78133612434581368</v>
      </c>
      <c r="AR16">
        <v>0.77023337568965444</v>
      </c>
      <c r="AS16">
        <v>0.80320648745064938</v>
      </c>
      <c r="AT16">
        <v>0.7927270766602551</v>
      </c>
      <c r="AU16">
        <v>0.77430071108614829</v>
      </c>
      <c r="AV16">
        <v>0.77454520310713937</v>
      </c>
      <c r="AW16">
        <v>0.77474776893920105</v>
      </c>
      <c r="AX16">
        <v>0.78358523262792668</v>
      </c>
      <c r="AY16">
        <v>0.78101414473871023</v>
      </c>
      <c r="AZ16">
        <v>0.78279024937915764</v>
      </c>
      <c r="BA16">
        <v>0.77922345190424613</v>
      </c>
      <c r="BB16">
        <v>0.76477716979660215</v>
      </c>
      <c r="BC16">
        <v>0.75622942834562679</v>
      </c>
      <c r="BD16">
        <v>0.76561648679968408</v>
      </c>
      <c r="BE16">
        <v>0.74620293937736326</v>
      </c>
      <c r="BF16">
        <v>0.70837829911081462</v>
      </c>
    </row>
    <row r="17" spans="1:58" ht="15" x14ac:dyDescent="0.2">
      <c r="A17" s="15"/>
      <c r="B17" s="12" t="s">
        <v>22</v>
      </c>
      <c r="C17">
        <v>0.7264197314126799</v>
      </c>
      <c r="D17">
        <v>0.71866052701717942</v>
      </c>
      <c r="E17">
        <v>0.71532356328423441</v>
      </c>
      <c r="F17">
        <v>0.71865390593403256</v>
      </c>
      <c r="G17">
        <v>0.72567447288295506</v>
      </c>
      <c r="H17">
        <v>0.72831201809871804</v>
      </c>
      <c r="I17">
        <v>0.72660644833235866</v>
      </c>
      <c r="J17">
        <v>0.67251331548536153</v>
      </c>
      <c r="K17">
        <v>0.71061895015291454</v>
      </c>
      <c r="L17">
        <v>0.70842777329527562</v>
      </c>
      <c r="M17">
        <v>0.72311781436157363</v>
      </c>
      <c r="N17">
        <v>0.74762773325781784</v>
      </c>
      <c r="O17">
        <v>0.72637516556309634</v>
      </c>
      <c r="P17">
        <v>0.69115206071295643</v>
      </c>
      <c r="Q17">
        <v>0.6820691588407809</v>
      </c>
      <c r="R17">
        <v>0.6791562972075238</v>
      </c>
      <c r="S17">
        <v>0.70037962661340181</v>
      </c>
      <c r="T17">
        <v>0.69351309357226421</v>
      </c>
      <c r="U17">
        <v>0.70532893319678669</v>
      </c>
      <c r="V17">
        <v>0.7623318308636845</v>
      </c>
      <c r="W17">
        <v>0.78423010399292237</v>
      </c>
      <c r="X17">
        <v>0.7805963074443627</v>
      </c>
      <c r="Y17">
        <v>0.77658589021590707</v>
      </c>
      <c r="Z17">
        <v>0.7839529752901897</v>
      </c>
      <c r="AA17">
        <v>0.78600757623572237</v>
      </c>
      <c r="AB17">
        <v>0.79745439742355262</v>
      </c>
      <c r="AC17">
        <v>0.8120077285522268</v>
      </c>
      <c r="AD17">
        <v>0.80994094770193426</v>
      </c>
      <c r="AE17">
        <v>0.80310677821960297</v>
      </c>
      <c r="AF17">
        <v>0.80943612586976044</v>
      </c>
      <c r="AG17">
        <v>0.81206214707327162</v>
      </c>
      <c r="AH17">
        <v>0.81872320949218258</v>
      </c>
      <c r="AI17">
        <v>0.82872843104561922</v>
      </c>
      <c r="AJ17">
        <v>0.80521077422807119</v>
      </c>
      <c r="AK17">
        <v>0.81321157331380245</v>
      </c>
      <c r="AL17">
        <v>0.81854247529011037</v>
      </c>
      <c r="AM17">
        <v>0.82751644396889301</v>
      </c>
      <c r="AN17">
        <v>0.82042952465305852</v>
      </c>
      <c r="AO17">
        <v>0.80329138194485683</v>
      </c>
      <c r="AP17">
        <v>0.78856314228840896</v>
      </c>
      <c r="AQ17">
        <v>0.79000244148295651</v>
      </c>
      <c r="AR17">
        <v>0.77847947306886844</v>
      </c>
      <c r="AS17">
        <v>0.81128954887785987</v>
      </c>
      <c r="AT17">
        <v>0.8020673704010558</v>
      </c>
      <c r="AU17">
        <v>0.78318967049857457</v>
      </c>
      <c r="AV17">
        <v>0.78368952074221787</v>
      </c>
      <c r="AW17">
        <v>0.78445606515857558</v>
      </c>
      <c r="AX17">
        <v>0.79318939984765302</v>
      </c>
      <c r="AY17">
        <v>0.79176675816296227</v>
      </c>
      <c r="AZ17">
        <v>0.79357816678764981</v>
      </c>
      <c r="BA17">
        <v>0.78950917890296757</v>
      </c>
      <c r="BB17">
        <v>0.77508460989765837</v>
      </c>
      <c r="BC17">
        <v>0.76639007536641901</v>
      </c>
      <c r="BD17">
        <v>0.7761412278360712</v>
      </c>
      <c r="BE17">
        <v>0.75586759799307579</v>
      </c>
      <c r="BF17">
        <v>0.71735617486883752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F17"/>
  <sheetViews>
    <sheetView workbookViewId="0"/>
  </sheetViews>
  <sheetFormatPr defaultRowHeight="14.25" x14ac:dyDescent="0.2"/>
  <sheetData>
    <row r="1" spans="1:58" ht="15" x14ac:dyDescent="0.2">
      <c r="A1" s="12" t="s">
        <v>9</v>
      </c>
      <c r="B1" s="12" t="s">
        <v>23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</row>
    <row r="2" spans="1:58" ht="15" x14ac:dyDescent="0.2">
      <c r="A2" s="15" t="s">
        <v>19</v>
      </c>
      <c r="B2" s="12" t="s">
        <v>19</v>
      </c>
      <c r="C2">
        <v>0.95081168576259445</v>
      </c>
      <c r="D2">
        <v>0.75124239888935473</v>
      </c>
      <c r="E2">
        <v>0.5899311909270476</v>
      </c>
      <c r="F2">
        <v>0.65001570279886944</v>
      </c>
      <c r="G2">
        <v>0.75870264566643164</v>
      </c>
      <c r="H2">
        <v>0.51349293621175551</v>
      </c>
      <c r="I2">
        <v>0.56666591132198252</v>
      </c>
      <c r="J2">
        <v>0.64150059045052843</v>
      </c>
      <c r="K2">
        <v>0.55849133746533408</v>
      </c>
      <c r="L2">
        <v>0.58421238498277883</v>
      </c>
      <c r="M2">
        <v>0.56952153462780286</v>
      </c>
      <c r="N2">
        <v>0.49488064918176577</v>
      </c>
      <c r="O2">
        <v>0.467719694880319</v>
      </c>
      <c r="P2">
        <v>0.47342745980387319</v>
      </c>
      <c r="Q2">
        <v>0.49402081031806527</v>
      </c>
      <c r="R2">
        <v>0.44093763028509753</v>
      </c>
      <c r="S2">
        <v>0.49105788443492832</v>
      </c>
      <c r="T2">
        <v>0.43655131887129672</v>
      </c>
      <c r="U2">
        <v>0.35724914149502851</v>
      </c>
      <c r="V2">
        <v>0.36283584656174839</v>
      </c>
      <c r="W2">
        <v>0.30666160304790968</v>
      </c>
      <c r="X2">
        <v>0.4642338296433644</v>
      </c>
      <c r="Y2">
        <v>0.33380729817693688</v>
      </c>
      <c r="Z2">
        <v>0.33962387591333298</v>
      </c>
      <c r="AA2">
        <v>0.34070401504928388</v>
      </c>
      <c r="AB2">
        <v>0.76810377551614206</v>
      </c>
      <c r="AC2">
        <v>0.57398598603746065</v>
      </c>
      <c r="AD2">
        <v>0.46557139314450552</v>
      </c>
      <c r="AE2">
        <v>0.43410349906344442</v>
      </c>
      <c r="AF2">
        <v>0.43562499916990849</v>
      </c>
      <c r="AG2">
        <v>0.42283385952456892</v>
      </c>
      <c r="AH2">
        <v>0.46908100586388868</v>
      </c>
      <c r="AI2">
        <v>0.4568976712281177</v>
      </c>
      <c r="AJ2">
        <v>0.47813950202775041</v>
      </c>
      <c r="AK2">
        <v>0.51113858143774737</v>
      </c>
      <c r="AL2">
        <v>0.5482586664694783</v>
      </c>
      <c r="AM2">
        <v>0.514081725131736</v>
      </c>
      <c r="AN2">
        <v>0.44948392471593113</v>
      </c>
      <c r="AO2">
        <v>0.49883510968517231</v>
      </c>
      <c r="AP2">
        <v>0.44108415484569657</v>
      </c>
      <c r="AQ2">
        <v>0.5446563325524848</v>
      </c>
      <c r="AR2">
        <v>0.77132875540604928</v>
      </c>
      <c r="AS2">
        <v>0.46533415048723342</v>
      </c>
      <c r="AT2">
        <v>0.44949535179436539</v>
      </c>
      <c r="AU2">
        <v>0.46885446252350799</v>
      </c>
      <c r="AV2">
        <v>0.4354751708922433</v>
      </c>
      <c r="AW2">
        <v>0.43943461901886832</v>
      </c>
      <c r="AX2">
        <v>0.41525728729415928</v>
      </c>
      <c r="AY2">
        <v>0.43061302565697102</v>
      </c>
      <c r="AZ2">
        <v>0.45826608088111909</v>
      </c>
      <c r="BA2">
        <v>0.46414652686067692</v>
      </c>
      <c r="BB2">
        <v>0.48017567100229103</v>
      </c>
      <c r="BC2">
        <v>0.41986115814733549</v>
      </c>
      <c r="BD2">
        <v>0.33868476988110019</v>
      </c>
      <c r="BE2">
        <v>0.34253944096855921</v>
      </c>
      <c r="BF2">
        <v>0.42599728923669639</v>
      </c>
    </row>
    <row r="3" spans="1:58" ht="15" x14ac:dyDescent="0.2">
      <c r="A3" s="15"/>
      <c r="B3" s="12" t="s">
        <v>20</v>
      </c>
      <c r="C3">
        <v>0.90037750442522679</v>
      </c>
      <c r="D3">
        <v>0.91549008029508661</v>
      </c>
      <c r="E3">
        <v>0.90461116278120257</v>
      </c>
      <c r="F3">
        <v>0.90003634905030838</v>
      </c>
      <c r="G3">
        <v>0.90244893708133267</v>
      </c>
      <c r="H3">
        <v>0.89794496223441089</v>
      </c>
      <c r="I3">
        <v>1.0456176510808091</v>
      </c>
      <c r="J3">
        <v>0.92276464741800945</v>
      </c>
      <c r="K3">
        <v>0.84973840008373824</v>
      </c>
      <c r="L3">
        <v>0.91025061156222531</v>
      </c>
      <c r="M3">
        <v>0.93594297960653416</v>
      </c>
      <c r="N3">
        <v>0.87592511834488029</v>
      </c>
      <c r="O3">
        <v>0.89891349339962101</v>
      </c>
      <c r="P3">
        <v>0.92488411299456097</v>
      </c>
      <c r="Q3">
        <v>0.99475509719344479</v>
      </c>
      <c r="R3">
        <v>0.98183786885442259</v>
      </c>
      <c r="S3">
        <v>0.97676858996936888</v>
      </c>
      <c r="T3">
        <v>0.98966744034185405</v>
      </c>
      <c r="U3">
        <v>0.91154922379472236</v>
      </c>
      <c r="V3">
        <v>0.871707720046209</v>
      </c>
      <c r="W3">
        <v>0.86993567459712573</v>
      </c>
      <c r="X3">
        <v>0.88504357331107508</v>
      </c>
      <c r="Y3">
        <v>0.89884297350803233</v>
      </c>
      <c r="Z3">
        <v>0.85849658795595396</v>
      </c>
      <c r="AA3">
        <v>0.88156878850239151</v>
      </c>
      <c r="AB3">
        <v>0.88207234980631322</v>
      </c>
      <c r="AC3">
        <v>0.9147647667550155</v>
      </c>
      <c r="AD3">
        <v>0.89458548789746228</v>
      </c>
      <c r="AE3">
        <v>0.85673562674108705</v>
      </c>
      <c r="AF3">
        <v>0.90930754755918441</v>
      </c>
      <c r="AG3">
        <v>0.92569742344736328</v>
      </c>
      <c r="AH3">
        <v>0.849031724245771</v>
      </c>
      <c r="AI3">
        <v>0.82769037874030604</v>
      </c>
      <c r="AJ3">
        <v>0.84324489054506246</v>
      </c>
      <c r="AK3">
        <v>0.82071140717907942</v>
      </c>
      <c r="AL3">
        <v>0.65595188893781464</v>
      </c>
      <c r="AM3">
        <v>0.60183067887337349</v>
      </c>
      <c r="AN3">
        <v>0.63836239518732463</v>
      </c>
      <c r="AO3">
        <v>0.59681335848338013</v>
      </c>
      <c r="AP3">
        <v>0.62637301914354893</v>
      </c>
      <c r="AQ3">
        <v>0.62564829474957595</v>
      </c>
      <c r="AR3">
        <v>0.60923377790998534</v>
      </c>
      <c r="AS3">
        <v>0.64729343689869923</v>
      </c>
      <c r="AT3">
        <v>0.71368921448428235</v>
      </c>
      <c r="AU3">
        <v>0.67080083775511345</v>
      </c>
      <c r="AV3">
        <v>0.74097766348564087</v>
      </c>
      <c r="AW3">
        <v>0.70696808083059892</v>
      </c>
      <c r="AX3">
        <v>0.70701755002892563</v>
      </c>
      <c r="AY3">
        <v>0.70566644441056681</v>
      </c>
      <c r="AZ3">
        <v>0.68088049677971563</v>
      </c>
      <c r="BA3">
        <v>0.65362429085614826</v>
      </c>
      <c r="BB3">
        <v>0.67953558116605128</v>
      </c>
      <c r="BC3">
        <v>0.67276646058883693</v>
      </c>
      <c r="BD3">
        <v>0.70675036961970006</v>
      </c>
      <c r="BE3">
        <v>0.75911488642952152</v>
      </c>
      <c r="BF3">
        <v>0.74681918688588433</v>
      </c>
    </row>
    <row r="4" spans="1:58" ht="15" x14ac:dyDescent="0.2">
      <c r="A4" s="15"/>
      <c r="B4" s="12" t="s">
        <v>21</v>
      </c>
      <c r="C4">
        <v>0.27530679918793571</v>
      </c>
      <c r="D4">
        <v>0.2318294191289228</v>
      </c>
      <c r="E4">
        <v>0.21227725251904539</v>
      </c>
      <c r="F4">
        <v>0.21386354433996899</v>
      </c>
      <c r="G4">
        <v>0.23391298246918751</v>
      </c>
      <c r="H4">
        <v>0.18911469597586861</v>
      </c>
      <c r="I4">
        <v>0.22624767031952561</v>
      </c>
      <c r="J4">
        <v>0.26805406280878019</v>
      </c>
      <c r="K4">
        <v>0.23806449765545801</v>
      </c>
      <c r="L4">
        <v>0.2442318990547255</v>
      </c>
      <c r="M4">
        <v>0.25675307365553551</v>
      </c>
      <c r="N4">
        <v>0.2082718470829952</v>
      </c>
      <c r="O4">
        <v>0.2241614119075061</v>
      </c>
      <c r="P4">
        <v>0.25244206703926458</v>
      </c>
      <c r="Q4">
        <v>0.29791498766494451</v>
      </c>
      <c r="R4">
        <v>0.29583520543055702</v>
      </c>
      <c r="S4">
        <v>0.29771611486263772</v>
      </c>
      <c r="T4">
        <v>0.32224279388485849</v>
      </c>
      <c r="U4">
        <v>0.26622785471433602</v>
      </c>
      <c r="V4">
        <v>0.21824286556367661</v>
      </c>
      <c r="W4">
        <v>0.18771722903117041</v>
      </c>
      <c r="X4">
        <v>0.2143293155468273</v>
      </c>
      <c r="Y4">
        <v>0.23016172920398581</v>
      </c>
      <c r="Z4">
        <v>0.19984707784400799</v>
      </c>
      <c r="AA4">
        <v>0.2101068538105263</v>
      </c>
      <c r="AB4">
        <v>0.24249487681182511</v>
      </c>
      <c r="AC4">
        <v>0.2323062300917404</v>
      </c>
      <c r="AD4">
        <v>0.20264928533492771</v>
      </c>
      <c r="AE4">
        <v>0.17991973960456539</v>
      </c>
      <c r="AF4">
        <v>0.20039602063123399</v>
      </c>
      <c r="AG4">
        <v>0.2082382841335064</v>
      </c>
      <c r="AH4">
        <v>0.18167636512972951</v>
      </c>
      <c r="AI4">
        <v>0.16001648140779551</v>
      </c>
      <c r="AJ4">
        <v>0.18579966966695141</v>
      </c>
      <c r="AK4">
        <v>0.19601323188651729</v>
      </c>
      <c r="AL4">
        <v>0.17826036960947469</v>
      </c>
      <c r="AM4">
        <v>0.1582495297465307</v>
      </c>
      <c r="AN4">
        <v>0.1789573454023671</v>
      </c>
      <c r="AO4">
        <v>0.17645545589732831</v>
      </c>
      <c r="AP4">
        <v>0.1804761199568905</v>
      </c>
      <c r="AQ4">
        <v>0.18251754438645901</v>
      </c>
      <c r="AR4">
        <v>0.2373418103756085</v>
      </c>
      <c r="AS4">
        <v>0.20900112547942029</v>
      </c>
      <c r="AT4">
        <v>0.23377053800802741</v>
      </c>
      <c r="AU4">
        <v>0.24775697486432829</v>
      </c>
      <c r="AV4">
        <v>0.26649510566386259</v>
      </c>
      <c r="AW4">
        <v>0.26094314506398442</v>
      </c>
      <c r="AX4">
        <v>0.24760274080946351</v>
      </c>
      <c r="AY4">
        <v>0.23492175035669141</v>
      </c>
      <c r="AZ4">
        <v>0.216611580123096</v>
      </c>
      <c r="BA4">
        <v>0.210424386504862</v>
      </c>
      <c r="BB4">
        <v>0.22886635094395949</v>
      </c>
      <c r="BC4">
        <v>0.21543205588552611</v>
      </c>
      <c r="BD4">
        <v>0.19864786616795821</v>
      </c>
      <c r="BE4">
        <v>0.24468890533990981</v>
      </c>
      <c r="BF4">
        <v>0.29298344797283121</v>
      </c>
    </row>
    <row r="5" spans="1:58" ht="15" x14ac:dyDescent="0.2">
      <c r="A5" s="15"/>
      <c r="B5" s="12" t="s">
        <v>22</v>
      </c>
      <c r="C5">
        <v>0.1118055544043515</v>
      </c>
      <c r="D5">
        <v>0.11930276659577881</v>
      </c>
      <c r="E5">
        <v>0.1145986800494678</v>
      </c>
      <c r="F5">
        <v>0.1036089742350606</v>
      </c>
      <c r="G5">
        <v>0.11117644548805709</v>
      </c>
      <c r="H5">
        <v>9.0706053904483511E-2</v>
      </c>
      <c r="I5">
        <v>8.6332317294707417E-2</v>
      </c>
      <c r="J5">
        <v>0.1824838724470938</v>
      </c>
      <c r="K5">
        <v>0.18340888605152109</v>
      </c>
      <c r="L5">
        <v>0.13817545575560591</v>
      </c>
      <c r="M5">
        <v>0.12707052832559679</v>
      </c>
      <c r="N5">
        <v>0.1138871207311823</v>
      </c>
      <c r="O5">
        <v>0.1408441395298618</v>
      </c>
      <c r="P5">
        <v>0.16902893757357679</v>
      </c>
      <c r="Q5">
        <v>0.18025092888631619</v>
      </c>
      <c r="R5">
        <v>0.19166804529830769</v>
      </c>
      <c r="S5">
        <v>0.18637105993380801</v>
      </c>
      <c r="T5">
        <v>0.23038070304769229</v>
      </c>
      <c r="U5">
        <v>0.2276335311066098</v>
      </c>
      <c r="V5">
        <v>0.16503247308447061</v>
      </c>
      <c r="W5">
        <v>0.1412506607322766</v>
      </c>
      <c r="X5">
        <v>0.1206373087627377</v>
      </c>
      <c r="Y5">
        <v>0.13557336810677309</v>
      </c>
      <c r="Z5">
        <v>0.13996207164463451</v>
      </c>
      <c r="AA5">
        <v>0.14287491091389271</v>
      </c>
      <c r="AB5">
        <v>0.1189595633296382</v>
      </c>
      <c r="AC5">
        <v>0.12369581509917631</v>
      </c>
      <c r="AD5">
        <v>0.1039680125497375</v>
      </c>
      <c r="AE5">
        <v>0.1104881069160428</v>
      </c>
      <c r="AF5">
        <v>0.1073330310260983</v>
      </c>
      <c r="AG5">
        <v>0.1051926028268583</v>
      </c>
      <c r="AH5">
        <v>0.10399913506540411</v>
      </c>
      <c r="AI5">
        <v>0.11331751383442031</v>
      </c>
      <c r="AJ5">
        <v>0.10961023900513341</v>
      </c>
      <c r="AK5">
        <v>0.1091035136317903</v>
      </c>
      <c r="AL5">
        <v>0.1116607612591413</v>
      </c>
      <c r="AM5">
        <v>0.12052570185405059</v>
      </c>
      <c r="AN5">
        <v>0.14713425974458419</v>
      </c>
      <c r="AO5">
        <v>0.13867480353384071</v>
      </c>
      <c r="AP5">
        <v>0.14041079560102779</v>
      </c>
      <c r="AQ5">
        <v>0.13716363108444049</v>
      </c>
      <c r="AR5">
        <v>0.2283208298847578</v>
      </c>
      <c r="AS5">
        <v>0.1764277131839633</v>
      </c>
      <c r="AT5">
        <v>0.18120617144784429</v>
      </c>
      <c r="AU5">
        <v>0.23733956067077791</v>
      </c>
      <c r="AV5">
        <v>0.2247393274824889</v>
      </c>
      <c r="AW5">
        <v>0.22611200688673369</v>
      </c>
      <c r="AX5">
        <v>0.20255442577448579</v>
      </c>
      <c r="AY5">
        <v>0.1803421057704126</v>
      </c>
      <c r="AZ5">
        <v>0.16227247406786111</v>
      </c>
      <c r="BA5">
        <v>0.1793656075591685</v>
      </c>
      <c r="BB5">
        <v>0.19370169835345499</v>
      </c>
      <c r="BC5">
        <v>0.18704118665814401</v>
      </c>
      <c r="BD5">
        <v>0.14737580150921251</v>
      </c>
      <c r="BE5">
        <v>0.21216746542698051</v>
      </c>
      <c r="BF5">
        <v>0.31303484207690802</v>
      </c>
    </row>
    <row r="6" spans="1:58" ht="15" x14ac:dyDescent="0.2">
      <c r="A6" s="15" t="s">
        <v>20</v>
      </c>
      <c r="B6" s="12" t="s">
        <v>19</v>
      </c>
      <c r="C6">
        <v>0.63120688508448641</v>
      </c>
      <c r="D6">
        <v>0.56012590625410441</v>
      </c>
      <c r="E6">
        <v>0.52662219453259063</v>
      </c>
      <c r="F6">
        <v>0.51994902365985562</v>
      </c>
      <c r="G6">
        <v>0.49514942836712089</v>
      </c>
      <c r="H6">
        <v>0.46889334052148329</v>
      </c>
      <c r="I6">
        <v>0.36058645714426052</v>
      </c>
      <c r="J6">
        <v>0.50343560523210396</v>
      </c>
      <c r="K6">
        <v>0.41213569915675669</v>
      </c>
      <c r="L6">
        <v>0.38740810379753787</v>
      </c>
      <c r="M6">
        <v>0.44066892302609723</v>
      </c>
      <c r="N6">
        <v>0.36190822113520582</v>
      </c>
      <c r="O6">
        <v>0.39316296758256569</v>
      </c>
      <c r="P6">
        <v>0.34533779420020549</v>
      </c>
      <c r="Q6">
        <v>0.32860577145174091</v>
      </c>
      <c r="R6">
        <v>0.33792302334982838</v>
      </c>
      <c r="S6">
        <v>0.36371597843122327</v>
      </c>
      <c r="T6">
        <v>0.42466255913200118</v>
      </c>
      <c r="U6">
        <v>0.38878964664453852</v>
      </c>
      <c r="V6">
        <v>0.34968976214233821</v>
      </c>
      <c r="W6">
        <v>0.32050960934045858</v>
      </c>
      <c r="X6">
        <v>0.27655398882102988</v>
      </c>
      <c r="Y6">
        <v>0.24667252337461651</v>
      </c>
      <c r="Z6">
        <v>0.25674125162387529</v>
      </c>
      <c r="AA6">
        <v>0.27879969852054071</v>
      </c>
      <c r="AB6">
        <v>0.25056422172470361</v>
      </c>
      <c r="AC6">
        <v>0.31350991277366641</v>
      </c>
      <c r="AD6">
        <v>0.32148448148004138</v>
      </c>
      <c r="AE6">
        <v>0.30090011712752168</v>
      </c>
      <c r="AF6">
        <v>0.2815528577871072</v>
      </c>
      <c r="AG6">
        <v>0.32900254309571769</v>
      </c>
      <c r="AH6">
        <v>0.40584719010081899</v>
      </c>
      <c r="AI6">
        <v>0.37308969867704422</v>
      </c>
      <c r="AJ6">
        <v>0.33823204219284109</v>
      </c>
      <c r="AK6">
        <v>0.31469756047862618</v>
      </c>
      <c r="AL6">
        <v>0.38511524456572632</v>
      </c>
      <c r="AM6">
        <v>0.42685850242580592</v>
      </c>
      <c r="AN6">
        <v>0.37641206212287898</v>
      </c>
      <c r="AO6">
        <v>0.3572633434000973</v>
      </c>
      <c r="AP6">
        <v>0.34170371260047788</v>
      </c>
      <c r="AQ6">
        <v>0.43588078832613147</v>
      </c>
      <c r="AR6">
        <v>0.52729941406630876</v>
      </c>
      <c r="AS6">
        <v>0.44133522508278888</v>
      </c>
      <c r="AT6">
        <v>0.3796378330515654</v>
      </c>
      <c r="AU6">
        <v>0.3559423744212678</v>
      </c>
      <c r="AV6">
        <v>0.32432389637369152</v>
      </c>
      <c r="AW6">
        <v>0.3298049708871611</v>
      </c>
      <c r="AX6">
        <v>0.32325404137032637</v>
      </c>
      <c r="AY6">
        <v>0.37970292588786247</v>
      </c>
      <c r="AZ6">
        <v>0.34926909470160628</v>
      </c>
      <c r="BA6">
        <v>0.31357268842324221</v>
      </c>
      <c r="BB6">
        <v>0.35051373741241182</v>
      </c>
      <c r="BC6">
        <v>0.34147208863703321</v>
      </c>
      <c r="BD6">
        <v>0.29682864565703782</v>
      </c>
      <c r="BE6">
        <v>0.30442497607245511</v>
      </c>
      <c r="BF6">
        <v>0.31902796046060372</v>
      </c>
    </row>
    <row r="7" spans="1:58" ht="15" x14ac:dyDescent="0.2">
      <c r="A7" s="15"/>
      <c r="B7" s="12" t="s">
        <v>20</v>
      </c>
      <c r="C7">
        <v>0.44645774915705311</v>
      </c>
      <c r="D7">
        <v>0.50073206152413008</v>
      </c>
      <c r="E7">
        <v>0.47742261613344761</v>
      </c>
      <c r="F7">
        <v>0.49958609431458578</v>
      </c>
      <c r="G7">
        <v>0.50433159252000392</v>
      </c>
      <c r="H7">
        <v>0.47162877585651991</v>
      </c>
      <c r="I7">
        <v>0.39346162486933628</v>
      </c>
      <c r="J7">
        <v>0.45752385783802901</v>
      </c>
      <c r="K7">
        <v>0.42361280855337052</v>
      </c>
      <c r="L7">
        <v>0.4305620860059452</v>
      </c>
      <c r="M7">
        <v>0.44928221114898598</v>
      </c>
      <c r="N7">
        <v>0.43010310649497158</v>
      </c>
      <c r="O7">
        <v>0.48647279983214259</v>
      </c>
      <c r="P7">
        <v>0.45502747798325621</v>
      </c>
      <c r="Q7">
        <v>0.46244802375438698</v>
      </c>
      <c r="R7">
        <v>0.46013897262811682</v>
      </c>
      <c r="S7">
        <v>0.51055913422768084</v>
      </c>
      <c r="T7">
        <v>0.56267548163911496</v>
      </c>
      <c r="U7">
        <v>0.52884962301860206</v>
      </c>
      <c r="V7">
        <v>0.50771032421516082</v>
      </c>
      <c r="W7">
        <v>0.54883491072368229</v>
      </c>
      <c r="X7">
        <v>0.52511234657382944</v>
      </c>
      <c r="Y7">
        <v>0.52527961957406422</v>
      </c>
      <c r="Z7">
        <v>0.53828916061202459</v>
      </c>
      <c r="AA7">
        <v>0.58206411252190504</v>
      </c>
      <c r="AB7">
        <v>0.57735975433522002</v>
      </c>
      <c r="AC7">
        <v>0.60966459450299171</v>
      </c>
      <c r="AD7">
        <v>0.62889748691467229</v>
      </c>
      <c r="AE7">
        <v>0.64932765403111736</v>
      </c>
      <c r="AF7">
        <v>0.67932470857021177</v>
      </c>
      <c r="AG7">
        <v>0.713025998933139</v>
      </c>
      <c r="AH7">
        <v>0.73327734069289108</v>
      </c>
      <c r="AI7">
        <v>0.74369730994738947</v>
      </c>
      <c r="AJ7">
        <v>0.74902439650380548</v>
      </c>
      <c r="AK7">
        <v>0.73151950883781458</v>
      </c>
      <c r="AL7">
        <v>0.7374635738652493</v>
      </c>
      <c r="AM7">
        <v>0.75697919514283374</v>
      </c>
      <c r="AN7">
        <v>0.75845268922479647</v>
      </c>
      <c r="AO7">
        <v>0.75581301158893788</v>
      </c>
      <c r="AP7">
        <v>0.78087226854020808</v>
      </c>
      <c r="AQ7">
        <v>0.80673894894397769</v>
      </c>
      <c r="AR7">
        <v>0.79381534086189598</v>
      </c>
      <c r="AS7">
        <v>0.76093779924026028</v>
      </c>
      <c r="AT7">
        <v>0.77785473782847314</v>
      </c>
      <c r="AU7">
        <v>0.79904855379503614</v>
      </c>
      <c r="AV7">
        <v>0.80381496064245705</v>
      </c>
      <c r="AW7">
        <v>0.80546269016194638</v>
      </c>
      <c r="AX7">
        <v>0.8150927756830243</v>
      </c>
      <c r="AY7">
        <v>0.82742434089422223</v>
      </c>
      <c r="AZ7">
        <v>0.81465545387235483</v>
      </c>
      <c r="BA7">
        <v>0.80625399367354766</v>
      </c>
      <c r="BB7">
        <v>0.8190644630060594</v>
      </c>
      <c r="BC7">
        <v>0.8016939472347876</v>
      </c>
      <c r="BD7">
        <v>0.80146358637221082</v>
      </c>
      <c r="BE7">
        <v>0.83509984085046018</v>
      </c>
      <c r="BF7">
        <v>0.83873016840321246</v>
      </c>
    </row>
    <row r="8" spans="1:58" ht="15" x14ac:dyDescent="0.2">
      <c r="A8" s="15"/>
      <c r="B8" s="12" t="s">
        <v>21</v>
      </c>
      <c r="C8">
        <v>0.1306431504660244</v>
      </c>
      <c r="D8">
        <v>0.1214577787287187</v>
      </c>
      <c r="E8">
        <v>0.1144440128614235</v>
      </c>
      <c r="F8">
        <v>0.12207483584178939</v>
      </c>
      <c r="G8">
        <v>0.12401193919604141</v>
      </c>
      <c r="H8">
        <v>0.11013303615986079</v>
      </c>
      <c r="I8">
        <v>8.4652160216677208E-2</v>
      </c>
      <c r="J8">
        <v>0.12185778874291329</v>
      </c>
      <c r="K8">
        <v>0.10355198474619411</v>
      </c>
      <c r="L8">
        <v>0.10318196265210799</v>
      </c>
      <c r="M8">
        <v>0.1079777691394061</v>
      </c>
      <c r="N8">
        <v>9.7977291187678478E-2</v>
      </c>
      <c r="O8">
        <v>0.11447054371425711</v>
      </c>
      <c r="P8">
        <v>0.1083985610008759</v>
      </c>
      <c r="Q8">
        <v>0.1063577683830096</v>
      </c>
      <c r="R8">
        <v>0.1091506494958029</v>
      </c>
      <c r="S8">
        <v>0.11401752313661891</v>
      </c>
      <c r="T8">
        <v>0.1305046067784148</v>
      </c>
      <c r="U8">
        <v>0.1281737460567966</v>
      </c>
      <c r="V8">
        <v>0.12021798931889451</v>
      </c>
      <c r="W8">
        <v>0.12932705696943469</v>
      </c>
      <c r="X8">
        <v>0.12195195590254521</v>
      </c>
      <c r="Y8">
        <v>0.1167530265015022</v>
      </c>
      <c r="Z8">
        <v>0.13104699747467161</v>
      </c>
      <c r="AA8">
        <v>0.14969001523767561</v>
      </c>
      <c r="AB8">
        <v>0.13364993388999741</v>
      </c>
      <c r="AC8">
        <v>0.14899452837544089</v>
      </c>
      <c r="AD8">
        <v>0.15865450916479351</v>
      </c>
      <c r="AE8">
        <v>0.1654270143942779</v>
      </c>
      <c r="AF8">
        <v>0.16756243188517439</v>
      </c>
      <c r="AG8">
        <v>0.17938300950322009</v>
      </c>
      <c r="AH8">
        <v>0.20462398750720889</v>
      </c>
      <c r="AI8">
        <v>0.2035122741026984</v>
      </c>
      <c r="AJ8">
        <v>0.20658534439605231</v>
      </c>
      <c r="AK8">
        <v>0.19820631293124821</v>
      </c>
      <c r="AL8">
        <v>0.22366610726052399</v>
      </c>
      <c r="AM8">
        <v>0.24485869556748491</v>
      </c>
      <c r="AN8">
        <v>0.24080776608814719</v>
      </c>
      <c r="AO8">
        <v>0.25594115704295162</v>
      </c>
      <c r="AP8">
        <v>0.27268464859088293</v>
      </c>
      <c r="AQ8">
        <v>0.29124448630185201</v>
      </c>
      <c r="AR8">
        <v>0.29977529740439901</v>
      </c>
      <c r="AS8">
        <v>0.27805591068597257</v>
      </c>
      <c r="AT8">
        <v>0.2758706637779535</v>
      </c>
      <c r="AU8">
        <v>0.26779879953513519</v>
      </c>
      <c r="AV8">
        <v>0.2646057125704725</v>
      </c>
      <c r="AW8">
        <v>0.26258913067907508</v>
      </c>
      <c r="AX8">
        <v>0.26943454141513268</v>
      </c>
      <c r="AY8">
        <v>0.29937803343320291</v>
      </c>
      <c r="AZ8">
        <v>0.29769151740952637</v>
      </c>
      <c r="BA8">
        <v>0.27529321464509909</v>
      </c>
      <c r="BB8">
        <v>0.29475704375508821</v>
      </c>
      <c r="BC8">
        <v>0.28722048473678707</v>
      </c>
      <c r="BD8">
        <v>0.27681637437845602</v>
      </c>
      <c r="BE8">
        <v>0.29641540366325458</v>
      </c>
      <c r="BF8">
        <v>0.29520264165620203</v>
      </c>
    </row>
    <row r="9" spans="1:58" ht="15" x14ac:dyDescent="0.2">
      <c r="A9" s="15"/>
      <c r="B9" s="12" t="s">
        <v>22</v>
      </c>
      <c r="C9">
        <v>0.2365138892065537</v>
      </c>
      <c r="D9">
        <v>0.26910065450289172</v>
      </c>
      <c r="E9">
        <v>0.25415874794042892</v>
      </c>
      <c r="F9">
        <v>0.26253861582815458</v>
      </c>
      <c r="G9">
        <v>0.28759743484981831</v>
      </c>
      <c r="H9">
        <v>0.26042275562284328</v>
      </c>
      <c r="I9">
        <v>0.22591405224561761</v>
      </c>
      <c r="J9">
        <v>0.27308514807746342</v>
      </c>
      <c r="K9">
        <v>0.28195136317845221</v>
      </c>
      <c r="L9">
        <v>0.26790862543353172</v>
      </c>
      <c r="M9">
        <v>0.26342153138230762</v>
      </c>
      <c r="N9">
        <v>0.27543993356275809</v>
      </c>
      <c r="O9">
        <v>0.31361913061390378</v>
      </c>
      <c r="P9">
        <v>0.31606671449694501</v>
      </c>
      <c r="Q9">
        <v>0.30865206662347322</v>
      </c>
      <c r="R9">
        <v>0.32411448893435368</v>
      </c>
      <c r="S9">
        <v>0.29172048231431691</v>
      </c>
      <c r="T9">
        <v>0.30798730275824487</v>
      </c>
      <c r="U9">
        <v>0.31645131851558372</v>
      </c>
      <c r="V9">
        <v>0.29733187114743898</v>
      </c>
      <c r="W9">
        <v>0.29672873799298682</v>
      </c>
      <c r="X9">
        <v>0.29397508965365382</v>
      </c>
      <c r="Y9">
        <v>0.27910338566839782</v>
      </c>
      <c r="Z9">
        <v>0.28305458494017421</v>
      </c>
      <c r="AA9">
        <v>0.29414919631080672</v>
      </c>
      <c r="AB9">
        <v>0.25022887067453747</v>
      </c>
      <c r="AC9">
        <v>0.2547038936325462</v>
      </c>
      <c r="AD9">
        <v>0.24758670406035091</v>
      </c>
      <c r="AE9">
        <v>0.24926272058354471</v>
      </c>
      <c r="AF9">
        <v>0.2438146665554026</v>
      </c>
      <c r="AG9">
        <v>0.24453180675748251</v>
      </c>
      <c r="AH9">
        <v>0.25004828503901833</v>
      </c>
      <c r="AI9">
        <v>0.25110120301347721</v>
      </c>
      <c r="AJ9">
        <v>0.27634136334010112</v>
      </c>
      <c r="AK9">
        <v>0.27731038931873753</v>
      </c>
      <c r="AL9">
        <v>0.29100611283340128</v>
      </c>
      <c r="AM9">
        <v>0.2934442778002308</v>
      </c>
      <c r="AN9">
        <v>0.30709604242827948</v>
      </c>
      <c r="AO9">
        <v>0.30041792810416929</v>
      </c>
      <c r="AP9">
        <v>0.31660411210746597</v>
      </c>
      <c r="AQ9">
        <v>0.31446134133306253</v>
      </c>
      <c r="AR9">
        <v>0.33596718585647828</v>
      </c>
      <c r="AS9">
        <v>0.31218824335211859</v>
      </c>
      <c r="AT9">
        <v>0.33467391557132042</v>
      </c>
      <c r="AU9">
        <v>0.31904390595996979</v>
      </c>
      <c r="AV9">
        <v>0.32775407335153051</v>
      </c>
      <c r="AW9">
        <v>0.3192059190492908</v>
      </c>
      <c r="AX9">
        <v>0.31131923402388312</v>
      </c>
      <c r="AY9">
        <v>0.31173759433144538</v>
      </c>
      <c r="AZ9">
        <v>0.33388557856400802</v>
      </c>
      <c r="BA9">
        <v>0.32842337011432321</v>
      </c>
      <c r="BB9">
        <v>0.32794098421573981</v>
      </c>
      <c r="BC9">
        <v>0.34976678201295808</v>
      </c>
      <c r="BD9">
        <v>0.34025390432327168</v>
      </c>
      <c r="BE9">
        <v>0.34541406159205112</v>
      </c>
      <c r="BF9">
        <v>0.36800428250963563</v>
      </c>
    </row>
    <row r="10" spans="1:58" ht="15" x14ac:dyDescent="0.2">
      <c r="A10" s="15" t="s">
        <v>21</v>
      </c>
      <c r="B10" s="12" t="s">
        <v>19</v>
      </c>
      <c r="C10">
        <v>0.65120778259694223</v>
      </c>
      <c r="D10">
        <v>0.55397747369435069</v>
      </c>
      <c r="E10">
        <v>0.51330748202034282</v>
      </c>
      <c r="F10">
        <v>0.51096673788031899</v>
      </c>
      <c r="G10">
        <v>0.50762714344519766</v>
      </c>
      <c r="H10">
        <v>0.44687446979208201</v>
      </c>
      <c r="I10">
        <v>0.38777523531979091</v>
      </c>
      <c r="J10">
        <v>0.50120006617593549</v>
      </c>
      <c r="K10">
        <v>0.40828938844123358</v>
      </c>
      <c r="L10">
        <v>0.42578624297843221</v>
      </c>
      <c r="M10">
        <v>0.48108599866440649</v>
      </c>
      <c r="N10">
        <v>0.38539233955183611</v>
      </c>
      <c r="O10">
        <v>0.39564300177899359</v>
      </c>
      <c r="P10">
        <v>0.37009817343537371</v>
      </c>
      <c r="Q10">
        <v>0.35686769257411732</v>
      </c>
      <c r="R10">
        <v>0.3512378686484765</v>
      </c>
      <c r="S10">
        <v>0.36946573421685458</v>
      </c>
      <c r="T10">
        <v>0.40297012913114838</v>
      </c>
      <c r="U10">
        <v>0.37549076240421042</v>
      </c>
      <c r="V10">
        <v>0.34685254847013441</v>
      </c>
      <c r="W10">
        <v>0.30522947926944111</v>
      </c>
      <c r="X10">
        <v>0.30626146909039609</v>
      </c>
      <c r="Y10">
        <v>0.27659152691118821</v>
      </c>
      <c r="Z10">
        <v>0.24591287150721161</v>
      </c>
      <c r="AA10">
        <v>0.26743886725243943</v>
      </c>
      <c r="AB10">
        <v>0.32062277212254431</v>
      </c>
      <c r="AC10">
        <v>0.35285271083754238</v>
      </c>
      <c r="AD10">
        <v>0.38718584933409739</v>
      </c>
      <c r="AE10">
        <v>0.37555340806117488</v>
      </c>
      <c r="AF10">
        <v>0.35549508996428358</v>
      </c>
      <c r="AG10">
        <v>0.37929527121636009</v>
      </c>
      <c r="AH10">
        <v>0.43897939111013468</v>
      </c>
      <c r="AI10">
        <v>0.40612675750767752</v>
      </c>
      <c r="AJ10">
        <v>0.38209874106994601</v>
      </c>
      <c r="AK10">
        <v>0.36662891084504451</v>
      </c>
      <c r="AL10">
        <v>0.41914998674629228</v>
      </c>
      <c r="AM10">
        <v>0.44522964967469569</v>
      </c>
      <c r="AN10">
        <v>0.39230557460364318</v>
      </c>
      <c r="AO10">
        <v>0.41313265916345537</v>
      </c>
      <c r="AP10">
        <v>0.39257770216697752</v>
      </c>
      <c r="AQ10">
        <v>0.47685320898048073</v>
      </c>
      <c r="AR10">
        <v>0.56536854293489536</v>
      </c>
      <c r="AS10">
        <v>0.46586693502731941</v>
      </c>
      <c r="AT10">
        <v>0.41662955154544462</v>
      </c>
      <c r="AU10">
        <v>0.40231706695988179</v>
      </c>
      <c r="AV10">
        <v>0.3680641837565406</v>
      </c>
      <c r="AW10">
        <v>0.36871733288123548</v>
      </c>
      <c r="AX10">
        <v>0.35979893660040441</v>
      </c>
      <c r="AY10">
        <v>0.42351555742093361</v>
      </c>
      <c r="AZ10">
        <v>0.40746636412007231</v>
      </c>
      <c r="BA10">
        <v>0.36799898489328869</v>
      </c>
      <c r="BB10">
        <v>0.41239013994934931</v>
      </c>
      <c r="BC10">
        <v>0.38182709339609627</v>
      </c>
      <c r="BD10">
        <v>0.33699818536673692</v>
      </c>
      <c r="BE10">
        <v>0.36616889217295551</v>
      </c>
      <c r="BF10">
        <v>0.36278680607037977</v>
      </c>
    </row>
    <row r="11" spans="1:58" ht="15" x14ac:dyDescent="0.2">
      <c r="A11" s="15"/>
      <c r="B11" s="12" t="s">
        <v>20</v>
      </c>
      <c r="C11">
        <v>0.65336410607988449</v>
      </c>
      <c r="D11">
        <v>0.67990709426307705</v>
      </c>
      <c r="E11">
        <v>0.65062930956083453</v>
      </c>
      <c r="F11">
        <v>0.65229765693202768</v>
      </c>
      <c r="G11">
        <v>0.65623136109287894</v>
      </c>
      <c r="H11">
        <v>0.63472977783527285</v>
      </c>
      <c r="I11">
        <v>0.66794213491960064</v>
      </c>
      <c r="J11">
        <v>0.64376779874050449</v>
      </c>
      <c r="K11">
        <v>0.56881415910195177</v>
      </c>
      <c r="L11">
        <v>0.60619704119079654</v>
      </c>
      <c r="M11">
        <v>0.63877633779486609</v>
      </c>
      <c r="N11">
        <v>0.57025362436948035</v>
      </c>
      <c r="O11">
        <v>0.6221398483031001</v>
      </c>
      <c r="P11">
        <v>0.63183360931495747</v>
      </c>
      <c r="Q11">
        <v>0.68629460768608308</v>
      </c>
      <c r="R11">
        <v>0.68199516303605734</v>
      </c>
      <c r="S11">
        <v>0.72101528051396202</v>
      </c>
      <c r="T11">
        <v>0.74255377380800069</v>
      </c>
      <c r="U11">
        <v>0.64873093142055283</v>
      </c>
      <c r="V11">
        <v>0.60939424396942643</v>
      </c>
      <c r="W11">
        <v>0.61761239896689879</v>
      </c>
      <c r="X11">
        <v>0.62807172006952461</v>
      </c>
      <c r="Y11">
        <v>0.64094866045664567</v>
      </c>
      <c r="Z11">
        <v>0.6068861487642746</v>
      </c>
      <c r="AA11">
        <v>0.64437546794416078</v>
      </c>
      <c r="AB11">
        <v>0.64211135487859761</v>
      </c>
      <c r="AC11">
        <v>0.6799017210330689</v>
      </c>
      <c r="AD11">
        <v>0.67727273263740406</v>
      </c>
      <c r="AE11">
        <v>0.67576457408326684</v>
      </c>
      <c r="AF11">
        <v>0.71612436342283947</v>
      </c>
      <c r="AG11">
        <v>0.74229820793264434</v>
      </c>
      <c r="AH11">
        <v>0.72686081294562443</v>
      </c>
      <c r="AI11">
        <v>0.72304779602565628</v>
      </c>
      <c r="AJ11">
        <v>0.74246634481170604</v>
      </c>
      <c r="AK11">
        <v>0.72834858779195533</v>
      </c>
      <c r="AL11">
        <v>0.70741343844426652</v>
      </c>
      <c r="AM11">
        <v>0.70168022587722734</v>
      </c>
      <c r="AN11">
        <v>0.70923969876485593</v>
      </c>
      <c r="AO11">
        <v>0.72157068846530192</v>
      </c>
      <c r="AP11">
        <v>0.74821682888459651</v>
      </c>
      <c r="AQ11">
        <v>0.76209898808943544</v>
      </c>
      <c r="AR11">
        <v>0.74628275433710756</v>
      </c>
      <c r="AS11">
        <v>0.72622148872929337</v>
      </c>
      <c r="AT11">
        <v>0.75620628543474544</v>
      </c>
      <c r="AU11">
        <v>0.76114349767897083</v>
      </c>
      <c r="AV11">
        <v>0.77972889034175585</v>
      </c>
      <c r="AW11">
        <v>0.76818284857945018</v>
      </c>
      <c r="AX11">
        <v>0.77109553216023208</v>
      </c>
      <c r="AY11">
        <v>0.78595754877826318</v>
      </c>
      <c r="AZ11">
        <v>0.78009358890416747</v>
      </c>
      <c r="BA11">
        <v>0.7714122320766813</v>
      </c>
      <c r="BB11">
        <v>0.77956081949763201</v>
      </c>
      <c r="BC11">
        <v>0.77204730859334858</v>
      </c>
      <c r="BD11">
        <v>0.77799698954609064</v>
      </c>
      <c r="BE11">
        <v>0.80687834526925983</v>
      </c>
      <c r="BF11">
        <v>0.80355369639639784</v>
      </c>
    </row>
    <row r="12" spans="1:58" ht="15" x14ac:dyDescent="0.2">
      <c r="A12" s="15"/>
      <c r="B12" s="12" t="s">
        <v>21</v>
      </c>
      <c r="C12">
        <v>0.29364903968382322</v>
      </c>
      <c r="D12">
        <v>0.29986620614767262</v>
      </c>
      <c r="E12">
        <v>0.30392005719336601</v>
      </c>
      <c r="F12">
        <v>0.30335765195555547</v>
      </c>
      <c r="G12">
        <v>0.30264273262929248</v>
      </c>
      <c r="H12">
        <v>0.29154734966348989</v>
      </c>
      <c r="I12">
        <v>0.27844689460216399</v>
      </c>
      <c r="J12">
        <v>0.35508139491840252</v>
      </c>
      <c r="K12">
        <v>0.30910799890255602</v>
      </c>
      <c r="L12">
        <v>0.31190136626922482</v>
      </c>
      <c r="M12">
        <v>0.29926333095204999</v>
      </c>
      <c r="N12">
        <v>0.26977094515296779</v>
      </c>
      <c r="O12">
        <v>0.30094977729887468</v>
      </c>
      <c r="P12">
        <v>0.34007413170106959</v>
      </c>
      <c r="Q12">
        <v>0.35310619246091862</v>
      </c>
      <c r="R12">
        <v>0.35782660181061982</v>
      </c>
      <c r="S12">
        <v>0.33978520319318589</v>
      </c>
      <c r="T12">
        <v>0.35386989156726423</v>
      </c>
      <c r="U12">
        <v>0.33731335567388337</v>
      </c>
      <c r="V12">
        <v>0.27008271903743658</v>
      </c>
      <c r="W12">
        <v>0.25057393544042522</v>
      </c>
      <c r="X12">
        <v>0.25381000134267517</v>
      </c>
      <c r="Y12">
        <v>0.25791759529901692</v>
      </c>
      <c r="Z12">
        <v>0.25222110618651888</v>
      </c>
      <c r="AA12">
        <v>0.25756670648487218</v>
      </c>
      <c r="AB12">
        <v>0.24788302556527211</v>
      </c>
      <c r="AC12">
        <v>0.23782372564529969</v>
      </c>
      <c r="AD12">
        <v>0.24010809329097291</v>
      </c>
      <c r="AE12">
        <v>0.24633987761633691</v>
      </c>
      <c r="AF12">
        <v>0.2424707665649605</v>
      </c>
      <c r="AG12">
        <v>0.2413542041770354</v>
      </c>
      <c r="AH12">
        <v>0.23884670973023339</v>
      </c>
      <c r="AI12">
        <v>0.2284897176014424</v>
      </c>
      <c r="AJ12">
        <v>0.25154104225016632</v>
      </c>
      <c r="AK12">
        <v>0.2436595082641303</v>
      </c>
      <c r="AL12">
        <v>0.24071969151344019</v>
      </c>
      <c r="AM12">
        <v>0.23427738931448289</v>
      </c>
      <c r="AN12">
        <v>0.2416396271321746</v>
      </c>
      <c r="AO12">
        <v>0.25736707973708411</v>
      </c>
      <c r="AP12">
        <v>0.27248223631361418</v>
      </c>
      <c r="AQ12">
        <v>0.27122776380825731</v>
      </c>
      <c r="AR12">
        <v>0.28375307931497162</v>
      </c>
      <c r="AS12">
        <v>0.25057259468748971</v>
      </c>
      <c r="AT12">
        <v>0.25977167308978399</v>
      </c>
      <c r="AU12">
        <v>0.27607907311174029</v>
      </c>
      <c r="AV12">
        <v>0.27596298160641058</v>
      </c>
      <c r="AW12">
        <v>0.2758827280094383</v>
      </c>
      <c r="AX12">
        <v>0.26736079148833858</v>
      </c>
      <c r="AY12">
        <v>0.2707564742166913</v>
      </c>
      <c r="AZ12">
        <v>0.2688173799121078</v>
      </c>
      <c r="BA12">
        <v>0.26972001389961853</v>
      </c>
      <c r="BB12">
        <v>0.28557323370204951</v>
      </c>
      <c r="BC12">
        <v>0.29172190643148588</v>
      </c>
      <c r="BD12">
        <v>0.28146275337619447</v>
      </c>
      <c r="BE12">
        <v>0.30129630067200358</v>
      </c>
      <c r="BF12">
        <v>0.3399572652990871</v>
      </c>
    </row>
    <row r="13" spans="1:58" ht="15" x14ac:dyDescent="0.2">
      <c r="A13" s="15"/>
      <c r="B13" s="12" t="s">
        <v>22</v>
      </c>
      <c r="C13">
        <v>0.34249873453051338</v>
      </c>
      <c r="D13">
        <v>0.36050918392748887</v>
      </c>
      <c r="E13">
        <v>0.36678497633605017</v>
      </c>
      <c r="F13">
        <v>0.36319602137690499</v>
      </c>
      <c r="G13">
        <v>0.35742594799546012</v>
      </c>
      <c r="H13">
        <v>0.34980258298141409</v>
      </c>
      <c r="I13">
        <v>0.34392084446170701</v>
      </c>
      <c r="J13">
        <v>0.4252301015493859</v>
      </c>
      <c r="K13">
        <v>0.37457461375476081</v>
      </c>
      <c r="L13">
        <v>0.37383255342798422</v>
      </c>
      <c r="M13">
        <v>0.35247118781503489</v>
      </c>
      <c r="N13">
        <v>0.32305586940925662</v>
      </c>
      <c r="O13">
        <v>0.35753892401156528</v>
      </c>
      <c r="P13">
        <v>0.41008180228890623</v>
      </c>
      <c r="Q13">
        <v>0.42237954812767758</v>
      </c>
      <c r="R13">
        <v>0.42828905161214809</v>
      </c>
      <c r="S13">
        <v>0.39454923715243451</v>
      </c>
      <c r="T13">
        <v>0.40526548424541231</v>
      </c>
      <c r="U13">
        <v>0.38817678764722219</v>
      </c>
      <c r="V13">
        <v>0.304733981630191</v>
      </c>
      <c r="W13">
        <v>0.27802111608123509</v>
      </c>
      <c r="X13">
        <v>0.27945920736163371</v>
      </c>
      <c r="Y13">
        <v>0.28375868063090448</v>
      </c>
      <c r="Z13">
        <v>0.27682475456539007</v>
      </c>
      <c r="AA13">
        <v>0.27569636995071373</v>
      </c>
      <c r="AB13">
        <v>0.26020776947782831</v>
      </c>
      <c r="AC13">
        <v>0.2439776526902207</v>
      </c>
      <c r="AD13">
        <v>0.24483376654994959</v>
      </c>
      <c r="AE13">
        <v>0.25244967188906647</v>
      </c>
      <c r="AF13">
        <v>0.24591216088560991</v>
      </c>
      <c r="AG13">
        <v>0.2423813921256224</v>
      </c>
      <c r="AH13">
        <v>0.2369335236482393</v>
      </c>
      <c r="AI13">
        <v>0.22700619662353161</v>
      </c>
      <c r="AJ13">
        <v>0.25230929845546568</v>
      </c>
      <c r="AK13">
        <v>0.2441201406464541</v>
      </c>
      <c r="AL13">
        <v>0.23895891885500101</v>
      </c>
      <c r="AM13">
        <v>0.23101874309307011</v>
      </c>
      <c r="AN13">
        <v>0.23968691918120541</v>
      </c>
      <c r="AO13">
        <v>0.25394331337837828</v>
      </c>
      <c r="AP13">
        <v>0.2690995465328983</v>
      </c>
      <c r="AQ13">
        <v>0.26590651030150397</v>
      </c>
      <c r="AR13">
        <v>0.27963213383760882</v>
      </c>
      <c r="AS13">
        <v>0.24544902229715171</v>
      </c>
      <c r="AT13">
        <v>0.25442295603229909</v>
      </c>
      <c r="AU13">
        <v>0.27318262012573868</v>
      </c>
      <c r="AV13">
        <v>0.27218336478932398</v>
      </c>
      <c r="AW13">
        <v>0.27194368539715091</v>
      </c>
      <c r="AX13">
        <v>0.26184214260640781</v>
      </c>
      <c r="AY13">
        <v>0.2622383757213555</v>
      </c>
      <c r="AZ13">
        <v>0.26141569799507491</v>
      </c>
      <c r="BA13">
        <v>0.26522753501760538</v>
      </c>
      <c r="BB13">
        <v>0.28033762897168463</v>
      </c>
      <c r="BC13">
        <v>0.2886486683399343</v>
      </c>
      <c r="BD13">
        <v>0.27846002372513651</v>
      </c>
      <c r="BE13">
        <v>0.29798713550927181</v>
      </c>
      <c r="BF13">
        <v>0.34103687977894948</v>
      </c>
    </row>
    <row r="14" spans="1:58" ht="15" x14ac:dyDescent="0.2">
      <c r="A14" s="15" t="s">
        <v>22</v>
      </c>
      <c r="B14" s="12" t="s">
        <v>19</v>
      </c>
      <c r="C14">
        <v>1.056364186107202</v>
      </c>
      <c r="D14">
        <v>1.0157116891843381</v>
      </c>
      <c r="E14">
        <v>1.006287325765296</v>
      </c>
      <c r="F14">
        <v>1.021605198154931</v>
      </c>
      <c r="G14">
        <v>1.0421973441565471</v>
      </c>
      <c r="H14">
        <v>0.98182115666873471</v>
      </c>
      <c r="I14">
        <v>0.96877886439756189</v>
      </c>
      <c r="J14">
        <v>1.027831587357332</v>
      </c>
      <c r="K14">
        <v>0.94480286381598211</v>
      </c>
      <c r="L14">
        <v>0.96277505000425767</v>
      </c>
      <c r="M14">
        <v>1.06808337521848</v>
      </c>
      <c r="N14">
        <v>1.013452777270478</v>
      </c>
      <c r="O14">
        <v>0.99024109366044089</v>
      </c>
      <c r="P14">
        <v>0.95440683853487041</v>
      </c>
      <c r="Q14">
        <v>0.92123633898853008</v>
      </c>
      <c r="R14">
        <v>0.96896411858488274</v>
      </c>
      <c r="S14">
        <v>0.90602288310640744</v>
      </c>
      <c r="T14">
        <v>0.98612386861086243</v>
      </c>
      <c r="U14">
        <v>1.025532799027487</v>
      </c>
      <c r="V14">
        <v>0.96064251019556557</v>
      </c>
      <c r="W14">
        <v>0.8653184108267491</v>
      </c>
      <c r="X14">
        <v>0.88729999357180378</v>
      </c>
      <c r="Y14">
        <v>0.90445664392229208</v>
      </c>
      <c r="Z14">
        <v>0.73238691852119386</v>
      </c>
      <c r="AA14">
        <v>0.76397878377135275</v>
      </c>
      <c r="AB14">
        <v>0.68484597439295614</v>
      </c>
      <c r="AC14">
        <v>0.75262179459033818</v>
      </c>
      <c r="AD14">
        <v>0.90365171789376675</v>
      </c>
      <c r="AE14">
        <v>0.88020614495967719</v>
      </c>
      <c r="AF14">
        <v>0.89795366367927421</v>
      </c>
      <c r="AG14">
        <v>0.9151960690971539</v>
      </c>
      <c r="AH14">
        <v>0.84227083471831066</v>
      </c>
      <c r="AI14">
        <v>0.77329156223102158</v>
      </c>
      <c r="AJ14">
        <v>0.77585131222312786</v>
      </c>
      <c r="AK14">
        <v>0.78438800401819708</v>
      </c>
      <c r="AL14">
        <v>0.68844645520975789</v>
      </c>
      <c r="AM14">
        <v>0.69224838866664273</v>
      </c>
      <c r="AN14">
        <v>0.67447169743277824</v>
      </c>
      <c r="AO14">
        <v>0.70213546792166193</v>
      </c>
      <c r="AP14">
        <v>0.71370620574712151</v>
      </c>
      <c r="AQ14">
        <v>0.73891931234808172</v>
      </c>
      <c r="AR14">
        <v>0.73312879874977099</v>
      </c>
      <c r="AS14">
        <v>0.7485909813136864</v>
      </c>
      <c r="AT14">
        <v>0.77077994460365484</v>
      </c>
      <c r="AU14">
        <v>0.71151763032080217</v>
      </c>
      <c r="AV14">
        <v>0.65643027374997975</v>
      </c>
      <c r="AW14">
        <v>0.72051940542081261</v>
      </c>
      <c r="AX14">
        <v>0.68786999100105839</v>
      </c>
      <c r="AY14">
        <v>0.74586913165069924</v>
      </c>
      <c r="AZ14">
        <v>0.71798788181421569</v>
      </c>
      <c r="BA14">
        <v>0.67547744013761335</v>
      </c>
      <c r="BB14">
        <v>0.67926943660006878</v>
      </c>
      <c r="BC14">
        <v>0.64002557351411016</v>
      </c>
      <c r="BD14">
        <v>0.70839724962375461</v>
      </c>
      <c r="BE14">
        <v>0.71599302595491943</v>
      </c>
      <c r="BF14">
        <v>0.66998437814893497</v>
      </c>
    </row>
    <row r="15" spans="1:58" ht="15" x14ac:dyDescent="0.2">
      <c r="A15" s="15"/>
      <c r="B15" s="12" t="s">
        <v>20</v>
      </c>
      <c r="C15">
        <v>0.56791059549530698</v>
      </c>
      <c r="D15">
        <v>0.59295503432496321</v>
      </c>
      <c r="E15">
        <v>0.58695241891599281</v>
      </c>
      <c r="F15">
        <v>0.5922764576319669</v>
      </c>
      <c r="G15">
        <v>0.60642058045762592</v>
      </c>
      <c r="H15">
        <v>0.60740033678670857</v>
      </c>
      <c r="I15">
        <v>0.53829839487879361</v>
      </c>
      <c r="J15">
        <v>0.55223489855699659</v>
      </c>
      <c r="K15">
        <v>0.50633565788420754</v>
      </c>
      <c r="L15">
        <v>0.51305019846092115</v>
      </c>
      <c r="M15">
        <v>0.49350206110559758</v>
      </c>
      <c r="N15">
        <v>0.50124154890305617</v>
      </c>
      <c r="O15">
        <v>0.53593238458443104</v>
      </c>
      <c r="P15">
        <v>0.53861765006084317</v>
      </c>
      <c r="Q15">
        <v>0.56793764665121549</v>
      </c>
      <c r="R15">
        <v>0.55307731856653242</v>
      </c>
      <c r="S15">
        <v>0.56821704098885584</v>
      </c>
      <c r="T15">
        <v>0.58693286590183602</v>
      </c>
      <c r="U15">
        <v>0.5820053813382966</v>
      </c>
      <c r="V15">
        <v>0.57401124092324396</v>
      </c>
      <c r="W15">
        <v>0.59163012902893275</v>
      </c>
      <c r="X15">
        <v>0.56824286884927844</v>
      </c>
      <c r="Y15">
        <v>0.57775526829273782</v>
      </c>
      <c r="Z15">
        <v>0.56767980653324479</v>
      </c>
      <c r="AA15">
        <v>0.59713640126732292</v>
      </c>
      <c r="AB15">
        <v>0.61367589501741659</v>
      </c>
      <c r="AC15">
        <v>0.64643394760388573</v>
      </c>
      <c r="AD15">
        <v>0.64639369598443153</v>
      </c>
      <c r="AE15">
        <v>0.66211838847268123</v>
      </c>
      <c r="AF15">
        <v>0.67791962344108081</v>
      </c>
      <c r="AG15">
        <v>0.68555034989028207</v>
      </c>
      <c r="AH15">
        <v>0.70011302041379908</v>
      </c>
      <c r="AI15">
        <v>0.69488655931996901</v>
      </c>
      <c r="AJ15">
        <v>0.70422299044006853</v>
      </c>
      <c r="AK15">
        <v>0.6955522034387418</v>
      </c>
      <c r="AL15">
        <v>0.71193225911026092</v>
      </c>
      <c r="AM15">
        <v>0.70062570147002279</v>
      </c>
      <c r="AN15">
        <v>0.69926461063194245</v>
      </c>
      <c r="AO15">
        <v>0.72959077091728031</v>
      </c>
      <c r="AP15">
        <v>0.75657162107086429</v>
      </c>
      <c r="AQ15">
        <v>0.77253455646813385</v>
      </c>
      <c r="AR15">
        <v>0.76576520254396252</v>
      </c>
      <c r="AS15">
        <v>0.72555685434915218</v>
      </c>
      <c r="AT15">
        <v>0.75063994953167534</v>
      </c>
      <c r="AU15">
        <v>0.75921526928951066</v>
      </c>
      <c r="AV15">
        <v>0.76060723604561109</v>
      </c>
      <c r="AW15">
        <v>0.75807189358471605</v>
      </c>
      <c r="AX15">
        <v>0.75345515096913174</v>
      </c>
      <c r="AY15">
        <v>0.7824628239299718</v>
      </c>
      <c r="AZ15">
        <v>0.79484454945502059</v>
      </c>
      <c r="BA15">
        <v>0.78883381253780849</v>
      </c>
      <c r="BB15">
        <v>0.78797876570577874</v>
      </c>
      <c r="BC15">
        <v>0.79140164956177339</v>
      </c>
      <c r="BD15">
        <v>0.79330943274047694</v>
      </c>
      <c r="BE15">
        <v>0.80256289823257165</v>
      </c>
      <c r="BF15">
        <v>0.80264979974329498</v>
      </c>
    </row>
    <row r="16" spans="1:58" ht="15" x14ac:dyDescent="0.2">
      <c r="A16" s="15"/>
      <c r="B16" s="12" t="s">
        <v>21</v>
      </c>
      <c r="C16">
        <v>0.34560622725148321</v>
      </c>
      <c r="D16">
        <v>0.35521717543604031</v>
      </c>
      <c r="E16">
        <v>0.36130187289671151</v>
      </c>
      <c r="F16">
        <v>0.35882232609407688</v>
      </c>
      <c r="G16">
        <v>0.34794208794597681</v>
      </c>
      <c r="H16">
        <v>0.34417313530324661</v>
      </c>
      <c r="I16">
        <v>0.34667342463200179</v>
      </c>
      <c r="J16">
        <v>0.42221862020420747</v>
      </c>
      <c r="K16">
        <v>0.36612084382866811</v>
      </c>
      <c r="L16">
        <v>0.37204957168469949</v>
      </c>
      <c r="M16">
        <v>0.35287362631374802</v>
      </c>
      <c r="N16">
        <v>0.31950597506534839</v>
      </c>
      <c r="O16">
        <v>0.34654740559219582</v>
      </c>
      <c r="P16">
        <v>0.3955293100876055</v>
      </c>
      <c r="Q16">
        <v>0.41098784086376439</v>
      </c>
      <c r="R16">
        <v>0.41467089041637117</v>
      </c>
      <c r="S16">
        <v>0.38198297747474941</v>
      </c>
      <c r="T16">
        <v>0.39464098644733819</v>
      </c>
      <c r="U16">
        <v>0.37610267063865099</v>
      </c>
      <c r="V16">
        <v>0.29452910415531708</v>
      </c>
      <c r="W16">
        <v>0.26726912284067872</v>
      </c>
      <c r="X16">
        <v>0.27213275621678412</v>
      </c>
      <c r="Y16">
        <v>0.27865678696973878</v>
      </c>
      <c r="Z16">
        <v>0.26732328156526419</v>
      </c>
      <c r="AA16">
        <v>0.26799926806780938</v>
      </c>
      <c r="AB16">
        <v>0.25664075094553213</v>
      </c>
      <c r="AC16">
        <v>0.24150318342909149</v>
      </c>
      <c r="AD16">
        <v>0.24388688568000991</v>
      </c>
      <c r="AE16">
        <v>0.25147505725514041</v>
      </c>
      <c r="AF16">
        <v>0.24438632470644109</v>
      </c>
      <c r="AG16">
        <v>0.24114782836441639</v>
      </c>
      <c r="AH16">
        <v>0.2341461217184255</v>
      </c>
      <c r="AI16">
        <v>0.2228528736561432</v>
      </c>
      <c r="AJ16">
        <v>0.24694362133414149</v>
      </c>
      <c r="AK16">
        <v>0.238475178762385</v>
      </c>
      <c r="AL16">
        <v>0.23303764928702661</v>
      </c>
      <c r="AM16">
        <v>0.22390547806602121</v>
      </c>
      <c r="AN16">
        <v>0.23123113704254131</v>
      </c>
      <c r="AO16">
        <v>0.24928355788265369</v>
      </c>
      <c r="AP16">
        <v>0.26495950190309842</v>
      </c>
      <c r="AQ16">
        <v>0.26304417826475979</v>
      </c>
      <c r="AR16">
        <v>0.27485549659673658</v>
      </c>
      <c r="AS16">
        <v>0.24077619120166299</v>
      </c>
      <c r="AT16">
        <v>0.25125305224752531</v>
      </c>
      <c r="AU16">
        <v>0.27000463120565588</v>
      </c>
      <c r="AV16">
        <v>0.26982292721572249</v>
      </c>
      <c r="AW16">
        <v>0.26967002671749291</v>
      </c>
      <c r="AX16">
        <v>0.26084420755474752</v>
      </c>
      <c r="AY16">
        <v>0.26347286372616391</v>
      </c>
      <c r="AZ16">
        <v>0.26177494009034552</v>
      </c>
      <c r="BA16">
        <v>0.26520773322917851</v>
      </c>
      <c r="BB16">
        <v>0.27918397505349207</v>
      </c>
      <c r="BC16">
        <v>0.28751758493923069</v>
      </c>
      <c r="BD16">
        <v>0.27854778209498449</v>
      </c>
      <c r="BE16">
        <v>0.29730108364297292</v>
      </c>
      <c r="BF16">
        <v>0.33562888527647883</v>
      </c>
    </row>
    <row r="17" spans="1:58" ht="15" x14ac:dyDescent="0.2">
      <c r="A17" s="15"/>
      <c r="B17" s="12" t="s">
        <v>22</v>
      </c>
      <c r="C17">
        <v>0.34742069446439339</v>
      </c>
      <c r="D17">
        <v>0.35940605201779441</v>
      </c>
      <c r="E17">
        <v>0.36460517245156021</v>
      </c>
      <c r="F17">
        <v>0.35982242406379622</v>
      </c>
      <c r="G17">
        <v>0.35007534254101558</v>
      </c>
      <c r="H17">
        <v>0.34645659343004692</v>
      </c>
      <c r="I17">
        <v>0.34895860041898208</v>
      </c>
      <c r="J17">
        <v>0.4258979363165582</v>
      </c>
      <c r="K17">
        <v>0.36871976168649512</v>
      </c>
      <c r="L17">
        <v>0.37198434851775319</v>
      </c>
      <c r="M17">
        <v>0.35151615989150758</v>
      </c>
      <c r="N17">
        <v>0.31870657367170158</v>
      </c>
      <c r="O17">
        <v>0.34693798417715871</v>
      </c>
      <c r="P17">
        <v>0.39769892126254441</v>
      </c>
      <c r="Q17">
        <v>0.41159185429095352</v>
      </c>
      <c r="R17">
        <v>0.41619986028338102</v>
      </c>
      <c r="S17">
        <v>0.3834258149983501</v>
      </c>
      <c r="T17">
        <v>0.39419875738791482</v>
      </c>
      <c r="U17">
        <v>0.37595239791664048</v>
      </c>
      <c r="V17">
        <v>0.2929607848275681</v>
      </c>
      <c r="W17">
        <v>0.2641027497688388</v>
      </c>
      <c r="X17">
        <v>0.26884285501814148</v>
      </c>
      <c r="Y17">
        <v>0.2738536978304002</v>
      </c>
      <c r="Z17">
        <v>0.26475369304544982</v>
      </c>
      <c r="AA17">
        <v>0.26232392598864912</v>
      </c>
      <c r="AB17">
        <v>0.24872817834718489</v>
      </c>
      <c r="AC17">
        <v>0.23184941624845801</v>
      </c>
      <c r="AD17">
        <v>0.23424258491214231</v>
      </c>
      <c r="AE17">
        <v>0.24196210566932669</v>
      </c>
      <c r="AF17">
        <v>0.23481511268493729</v>
      </c>
      <c r="AG17">
        <v>0.23191243601517131</v>
      </c>
      <c r="AH17">
        <v>0.22478866837997219</v>
      </c>
      <c r="AI17">
        <v>0.21419786224095139</v>
      </c>
      <c r="AJ17">
        <v>0.23903701714780129</v>
      </c>
      <c r="AK17">
        <v>0.23038962635746471</v>
      </c>
      <c r="AL17">
        <v>0.2248600281959173</v>
      </c>
      <c r="AM17">
        <v>0.21558427645755329</v>
      </c>
      <c r="AN17">
        <v>0.2228993439560272</v>
      </c>
      <c r="AO17">
        <v>0.24080577588791979</v>
      </c>
      <c r="AP17">
        <v>0.25640235991534321</v>
      </c>
      <c r="AQ17">
        <v>0.25486204431350967</v>
      </c>
      <c r="AR17">
        <v>0.26720740390335951</v>
      </c>
      <c r="AS17">
        <v>0.23309478295474789</v>
      </c>
      <c r="AT17">
        <v>0.2423645554112509</v>
      </c>
      <c r="AU17">
        <v>0.26167473754783233</v>
      </c>
      <c r="AV17">
        <v>0.26122917452666172</v>
      </c>
      <c r="AW17">
        <v>0.26050526641826849</v>
      </c>
      <c r="AX17">
        <v>0.25175017465979221</v>
      </c>
      <c r="AY17">
        <v>0.2532610082173879</v>
      </c>
      <c r="AZ17">
        <v>0.25153302331232769</v>
      </c>
      <c r="BA17">
        <v>0.25544961469056049</v>
      </c>
      <c r="BB17">
        <v>0.26941872806764572</v>
      </c>
      <c r="BC17">
        <v>0.27791100102096222</v>
      </c>
      <c r="BD17">
        <v>0.26858733140103669</v>
      </c>
      <c r="BE17">
        <v>0.28817594604010333</v>
      </c>
      <c r="BF17">
        <v>0.32731249704498522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I2"/>
  <sheetViews>
    <sheetView workbookViewId="0"/>
  </sheetViews>
  <sheetFormatPr defaultRowHeight="14.25" x14ac:dyDescent="0.2"/>
  <sheetData>
    <row r="1" spans="1:61" ht="15" x14ac:dyDescent="0.2">
      <c r="A1" s="12" t="s">
        <v>9</v>
      </c>
      <c r="B1" s="12">
        <v>1966</v>
      </c>
      <c r="C1" s="12">
        <v>1967</v>
      </c>
      <c r="D1" s="12">
        <v>1968</v>
      </c>
      <c r="E1" s="12">
        <v>1969</v>
      </c>
      <c r="F1" s="12">
        <v>1970</v>
      </c>
      <c r="G1" s="12">
        <v>1971</v>
      </c>
      <c r="H1" s="12">
        <v>1972</v>
      </c>
      <c r="I1" s="12">
        <v>1973</v>
      </c>
      <c r="J1" s="12">
        <v>1974</v>
      </c>
      <c r="K1" s="12">
        <v>1975</v>
      </c>
      <c r="L1" s="12">
        <v>1976</v>
      </c>
      <c r="M1" s="12">
        <v>1977</v>
      </c>
      <c r="N1" s="12">
        <v>1978</v>
      </c>
      <c r="O1" s="12">
        <v>1979</v>
      </c>
      <c r="P1" s="12">
        <v>1980</v>
      </c>
      <c r="Q1" s="12">
        <v>1981</v>
      </c>
      <c r="R1" s="12">
        <v>1982</v>
      </c>
      <c r="S1" s="12">
        <v>1983</v>
      </c>
      <c r="T1" s="12">
        <v>1984</v>
      </c>
      <c r="U1" s="12">
        <v>1985</v>
      </c>
      <c r="V1" s="12">
        <v>1986</v>
      </c>
      <c r="W1" s="12">
        <v>1987</v>
      </c>
      <c r="X1" s="12">
        <v>1988</v>
      </c>
      <c r="Y1" s="12">
        <v>1989</v>
      </c>
      <c r="Z1" s="12">
        <v>1990</v>
      </c>
      <c r="AA1" s="12">
        <v>1991</v>
      </c>
      <c r="AB1" s="12">
        <v>1992</v>
      </c>
      <c r="AC1" s="12">
        <v>1993</v>
      </c>
      <c r="AD1" s="12">
        <v>1994</v>
      </c>
      <c r="AE1" s="12">
        <v>1995</v>
      </c>
      <c r="AF1" s="12">
        <v>1996</v>
      </c>
      <c r="AG1" s="12">
        <v>1997</v>
      </c>
      <c r="AH1" s="12">
        <v>1998</v>
      </c>
      <c r="AI1" s="12">
        <v>1999</v>
      </c>
      <c r="AJ1" s="12">
        <v>2000</v>
      </c>
      <c r="AK1" s="12">
        <v>2001</v>
      </c>
      <c r="AL1" s="12">
        <v>2002</v>
      </c>
      <c r="AM1" s="12">
        <v>2003</v>
      </c>
      <c r="AN1" s="12">
        <v>2004</v>
      </c>
      <c r="AO1" s="12">
        <v>2005</v>
      </c>
      <c r="AP1" s="12">
        <v>2006</v>
      </c>
      <c r="AQ1" s="12">
        <v>2007</v>
      </c>
      <c r="AR1" s="12">
        <v>2008</v>
      </c>
      <c r="AS1" s="12">
        <v>2009</v>
      </c>
      <c r="AT1" s="12">
        <v>2010</v>
      </c>
      <c r="AU1" s="12">
        <v>2011</v>
      </c>
      <c r="AV1" s="12">
        <v>2012</v>
      </c>
      <c r="AW1" s="12">
        <v>2013</v>
      </c>
      <c r="AX1" s="12">
        <v>2014</v>
      </c>
      <c r="AY1" s="12">
        <v>2015</v>
      </c>
      <c r="AZ1" s="12">
        <v>2016</v>
      </c>
      <c r="BA1" s="12">
        <v>2017</v>
      </c>
      <c r="BB1" s="12">
        <v>2018</v>
      </c>
      <c r="BC1" s="12">
        <v>2019</v>
      </c>
      <c r="BD1" s="12">
        <v>2020</v>
      </c>
      <c r="BE1" s="12">
        <v>2021</v>
      </c>
      <c r="BF1" s="12">
        <v>2022</v>
      </c>
      <c r="BG1" s="12">
        <v>2023</v>
      </c>
      <c r="BH1" s="12">
        <v>2024</v>
      </c>
      <c r="BI1" s="12">
        <v>2025</v>
      </c>
    </row>
    <row r="2" spans="1:61" ht="15" x14ac:dyDescent="0.2">
      <c r="A2" s="12" t="s">
        <v>19</v>
      </c>
      <c r="AD2">
        <v>17025.468797311089</v>
      </c>
      <c r="AE2">
        <v>16918.12285662764</v>
      </c>
      <c r="AF2">
        <v>16442.943048662721</v>
      </c>
      <c r="AG2">
        <v>15758.685111980119</v>
      </c>
      <c r="AH2">
        <v>15367.334545542069</v>
      </c>
      <c r="AI2">
        <v>14923.482034290901</v>
      </c>
      <c r="AJ2">
        <v>14992.39888752799</v>
      </c>
      <c r="AK2">
        <v>14853.898508495</v>
      </c>
      <c r="AL2">
        <v>14802.88162167685</v>
      </c>
      <c r="AM2">
        <v>14289.42936594302</v>
      </c>
      <c r="AN2">
        <v>14226.944073418699</v>
      </c>
      <c r="AO2">
        <v>13745.89224427909</v>
      </c>
      <c r="AP2">
        <v>12742.23099335808</v>
      </c>
      <c r="AQ2">
        <v>12509.24912270317</v>
      </c>
      <c r="AR2">
        <v>12494.163589997501</v>
      </c>
      <c r="AS2">
        <v>11780.6444794256</v>
      </c>
      <c r="AT2">
        <v>11624.806109124611</v>
      </c>
      <c r="AU2">
        <v>11299.43595319411</v>
      </c>
      <c r="AV2">
        <v>10981.20318820676</v>
      </c>
      <c r="AW2">
        <v>10841.716588845889</v>
      </c>
      <c r="AX2">
        <v>10891.766901835859</v>
      </c>
      <c r="AY2">
        <v>10746.46801400173</v>
      </c>
      <c r="AZ2">
        <v>10668.81474254101</v>
      </c>
      <c r="BA2">
        <v>10558.005933288739</v>
      </c>
      <c r="BB2">
        <v>10302.395463248149</v>
      </c>
      <c r="BC2">
        <v>9916.0897334217225</v>
      </c>
      <c r="BD2">
        <v>9857.853675512215</v>
      </c>
      <c r="BE2">
        <v>10019.94870224234</v>
      </c>
      <c r="BF2">
        <v>9827.9819852126984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D2"/>
  <sheetViews>
    <sheetView workbookViewId="0"/>
  </sheetViews>
  <sheetFormatPr defaultRowHeight="14.25" x14ac:dyDescent="0.2"/>
  <sheetData>
    <row r="1" spans="1:30" ht="15" x14ac:dyDescent="0.2">
      <c r="A1" s="12" t="s">
        <v>9</v>
      </c>
      <c r="B1" s="12">
        <v>1994</v>
      </c>
      <c r="C1" s="12">
        <v>1995</v>
      </c>
      <c r="D1" s="12">
        <v>1996</v>
      </c>
      <c r="E1" s="12">
        <v>1997</v>
      </c>
      <c r="F1" s="12">
        <v>1998</v>
      </c>
      <c r="G1" s="12">
        <v>1999</v>
      </c>
      <c r="H1" s="12">
        <v>2000</v>
      </c>
      <c r="I1" s="12">
        <v>2001</v>
      </c>
      <c r="J1" s="12">
        <v>2002</v>
      </c>
      <c r="K1" s="12">
        <v>2003</v>
      </c>
      <c r="L1" s="12">
        <v>2004</v>
      </c>
      <c r="M1" s="12">
        <v>2005</v>
      </c>
      <c r="N1" s="12">
        <v>2006</v>
      </c>
      <c r="O1" s="12">
        <v>2007</v>
      </c>
      <c r="P1" s="12">
        <v>2008</v>
      </c>
      <c r="Q1" s="12">
        <v>2009</v>
      </c>
      <c r="R1" s="12">
        <v>2010</v>
      </c>
      <c r="S1" s="12">
        <v>2011</v>
      </c>
      <c r="T1" s="12">
        <v>2012</v>
      </c>
      <c r="U1" s="12">
        <v>2013</v>
      </c>
      <c r="V1" s="12">
        <v>2014</v>
      </c>
      <c r="W1" s="12">
        <v>2015</v>
      </c>
      <c r="X1" s="12">
        <v>2016</v>
      </c>
      <c r="Y1" s="12">
        <v>2017</v>
      </c>
      <c r="Z1" s="12">
        <v>2018</v>
      </c>
      <c r="AA1" s="12">
        <v>2019</v>
      </c>
      <c r="AB1" s="12">
        <v>2020</v>
      </c>
      <c r="AC1" s="12">
        <v>2021</v>
      </c>
      <c r="AD1" s="12">
        <v>2022</v>
      </c>
    </row>
    <row r="2" spans="1:30" ht="15" x14ac:dyDescent="0.2">
      <c r="A2" s="12" t="s">
        <v>19</v>
      </c>
      <c r="B2">
        <v>0.76011318545198825</v>
      </c>
      <c r="C2">
        <v>0.76037360752087257</v>
      </c>
      <c r="D2">
        <v>0.76172752727004922</v>
      </c>
      <c r="E2">
        <v>0.76348636851949625</v>
      </c>
      <c r="F2">
        <v>0.76436132745834273</v>
      </c>
      <c r="G2">
        <v>0.76496917945862841</v>
      </c>
      <c r="H2">
        <v>0.76477645826176188</v>
      </c>
      <c r="I2">
        <v>0.76535098593706108</v>
      </c>
      <c r="J2">
        <v>0.76543818962659926</v>
      </c>
      <c r="K2">
        <v>0.76585793881018693</v>
      </c>
      <c r="L2">
        <v>0.76571048434122679</v>
      </c>
      <c r="M2">
        <v>0.76438313621591158</v>
      </c>
      <c r="N2">
        <v>0.75586548780510843</v>
      </c>
      <c r="O2">
        <v>0.75495982981395127</v>
      </c>
      <c r="P2">
        <v>0.7550001014291241</v>
      </c>
      <c r="Q2">
        <v>0.76141259950877282</v>
      </c>
      <c r="R2">
        <v>0.76170350644085472</v>
      </c>
      <c r="S2">
        <v>0.75953762961279025</v>
      </c>
      <c r="T2">
        <v>0.75705242910683612</v>
      </c>
      <c r="U2">
        <v>0.75475989726265424</v>
      </c>
      <c r="V2">
        <v>0.75559607442256627</v>
      </c>
      <c r="W2">
        <v>0.75327755035760902</v>
      </c>
      <c r="X2">
        <v>0.75202156608618309</v>
      </c>
      <c r="Y2">
        <v>0.74999257657048923</v>
      </c>
      <c r="Z2">
        <v>0.7457679715457991</v>
      </c>
      <c r="AA2">
        <v>0.7396080614597319</v>
      </c>
      <c r="AB2">
        <v>0.73850353766672017</v>
      </c>
      <c r="AC2">
        <v>0.74164089277576528</v>
      </c>
      <c r="AD2">
        <v>0.73876958351553845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42</vt:i4>
      </vt:variant>
    </vt:vector>
  </HeadingPairs>
  <TitlesOfParts>
    <vt:vector size="42" baseType="lpstr">
      <vt:lpstr>Figurer</vt:lpstr>
      <vt:lpstr>Ark1</vt:lpstr>
      <vt:lpstr>10120</vt:lpstr>
      <vt:lpstr>Y</vt:lpstr>
      <vt:lpstr>Mtot</vt:lpstr>
      <vt:lpstr>K</vt:lpstr>
      <vt:lpstr>L</vt:lpstr>
      <vt:lpstr>P</vt:lpstr>
      <vt:lpstr>w</vt:lpstr>
      <vt:lpstr>P_K</vt:lpstr>
      <vt:lpstr>KL</vt:lpstr>
      <vt:lpstr>JKL</vt:lpstr>
      <vt:lpstr>P_KL</vt:lpstr>
      <vt:lpstr>P_JKL</vt:lpstr>
      <vt:lpstr>P_O</vt:lpstr>
      <vt:lpstr>mu_Y_Mtot</vt:lpstr>
      <vt:lpstr>mu_Y_KL</vt:lpstr>
      <vt:lpstr>mu_Y_JKL</vt:lpstr>
      <vt:lpstr>mu_JKL_J</vt:lpstr>
      <vt:lpstr>mu_JKL_KL</vt:lpstr>
      <vt:lpstr>mu_KL_K</vt:lpstr>
      <vt:lpstr>mu_KL_L</vt:lpstr>
      <vt:lpstr>markup</vt:lpstr>
      <vt:lpstr>tau_Y</vt:lpstr>
      <vt:lpstr>J</vt:lpstr>
      <vt:lpstr>I</vt:lpstr>
      <vt:lpstr>P_Mtot</vt:lpstr>
      <vt:lpstr>P_J</vt:lpstr>
      <vt:lpstr>P_Jord</vt:lpstr>
      <vt:lpstr>P_I</vt:lpstr>
      <vt:lpstr>tau_MD</vt:lpstr>
      <vt:lpstr>tau_MF</vt:lpstr>
      <vt:lpstr>theta_Y_Mtot</vt:lpstr>
      <vt:lpstr>theta_Y_KL</vt:lpstr>
      <vt:lpstr>theta_Y_JKL</vt:lpstr>
      <vt:lpstr>theta_KL_K</vt:lpstr>
      <vt:lpstr>theta_KL_L</vt:lpstr>
      <vt:lpstr>theta_Mtot_M</vt:lpstr>
      <vt:lpstr>theta_MD</vt:lpstr>
      <vt:lpstr>theta_MF</vt:lpstr>
      <vt:lpstr>theta_JKL_J</vt:lpstr>
      <vt:lpstr>theta_JKL_KL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Hedeboe</dc:creator>
  <cp:lastModifiedBy>Caroline Hedeboe</cp:lastModifiedBy>
  <dcterms:created xsi:type="dcterms:W3CDTF">2020-09-14T10:15:36Z</dcterms:created>
  <dcterms:modified xsi:type="dcterms:W3CDTF">2026-04-30T07:51:05Z</dcterms:modified>
</cp:coreProperties>
</file>