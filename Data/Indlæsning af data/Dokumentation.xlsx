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3896" tabRatio="600" firstSheet="0" activeTab="1" autoFilterDateGrouping="1"/>
  </bookViews>
  <sheets>
    <sheet xmlns:r="http://schemas.openxmlformats.org/officeDocument/2006/relationships" name="Figurer" sheetId="1" state="visible" r:id="rId1"/>
    <sheet xmlns:r="http://schemas.openxmlformats.org/officeDocument/2006/relationships" name="Ark1" sheetId="2" state="visible" r:id="rId2"/>
    <sheet xmlns:r="http://schemas.openxmlformats.org/officeDocument/2006/relationships" name="Y" sheetId="3" state="visible" r:id="rId3"/>
    <sheet xmlns:r="http://schemas.openxmlformats.org/officeDocument/2006/relationships" name="Mtot" sheetId="4" state="visible" r:id="rId4"/>
    <sheet xmlns:r="http://schemas.openxmlformats.org/officeDocument/2006/relationships" name="K" sheetId="5" state="visible" r:id="rId5"/>
    <sheet xmlns:r="http://schemas.openxmlformats.org/officeDocument/2006/relationships" name="L" sheetId="6" state="visible" r:id="rId6"/>
    <sheet xmlns:r="http://schemas.openxmlformats.org/officeDocument/2006/relationships" name="P" sheetId="7" state="visible" r:id="rId7"/>
    <sheet xmlns:r="http://schemas.openxmlformats.org/officeDocument/2006/relationships" name="w" sheetId="8" state="visible" r:id="rId8"/>
    <sheet xmlns:r="http://schemas.openxmlformats.org/officeDocument/2006/relationships" name="P_K" sheetId="9" state="visible" r:id="rId9"/>
    <sheet xmlns:r="http://schemas.openxmlformats.org/officeDocument/2006/relationships" name="KL" sheetId="10" state="visible" r:id="rId10"/>
    <sheet xmlns:r="http://schemas.openxmlformats.org/officeDocument/2006/relationships" name="JKL" sheetId="11" state="visible" r:id="rId11"/>
    <sheet xmlns:r="http://schemas.openxmlformats.org/officeDocument/2006/relationships" name="P_KL" sheetId="12" state="visible" r:id="rId12"/>
    <sheet xmlns:r="http://schemas.openxmlformats.org/officeDocument/2006/relationships" name="P_JKL" sheetId="13" state="visible" r:id="rId13"/>
    <sheet xmlns:r="http://schemas.openxmlformats.org/officeDocument/2006/relationships" name="P_O" sheetId="14" state="visible" r:id="rId14"/>
    <sheet xmlns:r="http://schemas.openxmlformats.org/officeDocument/2006/relationships" name="mu_Y_Mtot" sheetId="15" state="visible" r:id="rId15"/>
    <sheet xmlns:r="http://schemas.openxmlformats.org/officeDocument/2006/relationships" name="mu_Y_KL" sheetId="16" state="visible" r:id="rId16"/>
    <sheet xmlns:r="http://schemas.openxmlformats.org/officeDocument/2006/relationships" name="mu_Y_JKL" sheetId="17" state="visible" r:id="rId17"/>
    <sheet xmlns:r="http://schemas.openxmlformats.org/officeDocument/2006/relationships" name="mu_JKL_J" sheetId="18" state="visible" r:id="rId18"/>
    <sheet xmlns:r="http://schemas.openxmlformats.org/officeDocument/2006/relationships" name="mu_JKL_KL" sheetId="19" state="visible" r:id="rId19"/>
    <sheet xmlns:r="http://schemas.openxmlformats.org/officeDocument/2006/relationships" name="mu_KL_K" sheetId="20" state="visible" r:id="rId20"/>
    <sheet xmlns:r="http://schemas.openxmlformats.org/officeDocument/2006/relationships" name="mu_KL_L" sheetId="21" state="visible" r:id="rId21"/>
    <sheet xmlns:r="http://schemas.openxmlformats.org/officeDocument/2006/relationships" name="markup" sheetId="22" state="visible" r:id="rId22"/>
    <sheet xmlns:r="http://schemas.openxmlformats.org/officeDocument/2006/relationships" name="tau_Y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b val="1"/>
      <sz val="11"/>
    </font>
    <font>
      <name val="Arial"/>
      <b val="1"/>
      <sz val="11"/>
    </font>
    <font>
      <name val="Arial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Figurer!$B$4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Figurer!$C$4:$AF$4</f>
              <numCache>
                <formatCode>General</formatCode>
                <ptCount val="30"/>
                <pt idx="0">
                  <v>3.807725297944511</v>
                </pt>
                <pt idx="1">
                  <v>3.796342173513051</v>
                </pt>
                <pt idx="2">
                  <v>3.711740450387963</v>
                </pt>
                <pt idx="3">
                  <v>3.638580616236343</v>
                </pt>
                <pt idx="4">
                  <v>3.511900353295786</v>
                </pt>
                <pt idx="5">
                  <v>3.429595103989583</v>
                </pt>
                <pt idx="6">
                  <v>3.331187238642229</v>
                </pt>
                <pt idx="7">
                  <v>3.251199482442017</v>
                </pt>
                <pt idx="8">
                  <v>3.29217609206219</v>
                </pt>
                <pt idx="9">
                  <v>3.219858104743313</v>
                </pt>
                <pt idx="10">
                  <v>3.186110411371252</v>
                </pt>
                <pt idx="11">
                  <v>3.122086741853903</v>
                </pt>
                <pt idx="12">
                  <v>3.163065530042851</v>
                </pt>
                <pt idx="13">
                  <v>3.118860660104966</v>
                </pt>
                <pt idx="14">
                  <v>3.023375968377628</v>
                </pt>
                <pt idx="15">
                  <v>3.31267546373636</v>
                </pt>
                <pt idx="16">
                  <v>3.254497085526446</v>
                </pt>
                <pt idx="17">
                  <v>3.026633445587936</v>
                </pt>
                <pt idx="18">
                  <v>3.019682522892581</v>
                </pt>
                <pt idx="19">
                  <v>2.899990613357994</v>
                </pt>
                <pt idx="20">
                  <v>2.898626796247439</v>
                </pt>
                <pt idx="21">
                  <v>2.718229918890087</v>
                </pt>
                <pt idx="22">
                  <v>2.717667300254749</v>
                </pt>
                <pt idx="23">
                  <v>2.744555700712414</v>
                </pt>
                <pt idx="24">
                  <v>2.580634818047141</v>
                </pt>
                <pt idx="25">
                  <v>2.562021699342381</v>
                </pt>
                <pt idx="26">
                  <v>2.560457969963092</v>
                </pt>
                <pt idx="27">
                  <v>2.441061235205009</v>
                </pt>
                <pt idx="28">
                  <v>2.352122043578108</v>
                </pt>
                <pt idx="29">
                  <v>2.339808758033594</v>
                </pt>
              </numCache>
            </numRef>
          </val>
          <smooth val="0"/>
        </ser>
        <ser>
          <idx val="2"/>
          <order val="1"/>
          <tx>
            <strRef>
              <f>Figurer!$B$5</f>
              <strCache>
                <ptCount val="1"/>
                <pt idx="0">
                  <v>Føde- drikke og tobaksvareindustri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Figurer!$C$5:$AF$5</f>
              <numCache>
                <formatCode>General</formatCode>
                <ptCount val="30"/>
                <pt idx="0">
                  <v>0.5283592224099539</v>
                </pt>
                <pt idx="1">
                  <v>0.5281621020652668</v>
                </pt>
                <pt idx="2">
                  <v>0.5350363481751836</v>
                </pt>
                <pt idx="3">
                  <v>0.5769330705445793</v>
                </pt>
                <pt idx="4">
                  <v>0.5736567435450656</v>
                </pt>
                <pt idx="5">
                  <v>0.563574972760387</v>
                </pt>
                <pt idx="6">
                  <v>0.5641976276505188</v>
                </pt>
                <pt idx="7">
                  <v>0.5792284474160457</v>
                </pt>
                <pt idx="8">
                  <v>0.5810690250018159</v>
                </pt>
                <pt idx="9">
                  <v>0.5811029156997981</v>
                </pt>
                <pt idx="10">
                  <v>0.5912612815111414</v>
                </pt>
                <pt idx="11">
                  <v>0.5984238770799671</v>
                </pt>
                <pt idx="12">
                  <v>0.5854563134554845</v>
                </pt>
                <pt idx="13">
                  <v>0.5911506628024166</v>
                </pt>
                <pt idx="14">
                  <v>0.6035760808184703</v>
                </pt>
                <pt idx="15">
                  <v>0.6300368600516381</v>
                </pt>
                <pt idx="16">
                  <v>0.6765644590039321</v>
                </pt>
                <pt idx="17">
                  <v>0.6903471340835834</v>
                </pt>
                <pt idx="18">
                  <v>0.6764400297642336</v>
                </pt>
                <pt idx="19">
                  <v>0.6974848125781621</v>
                </pt>
                <pt idx="20">
                  <v>0.6860859740362908</v>
                </pt>
                <pt idx="21">
                  <v>0.6794031032210014</v>
                </pt>
                <pt idx="22">
                  <v>0.6685587557060549</v>
                </pt>
                <pt idx="23">
                  <v>0.6607969670093413</v>
                </pt>
                <pt idx="24">
                  <v>0.6393683200490707</v>
                </pt>
                <pt idx="25">
                  <v>0.652996515971022</v>
                </pt>
                <pt idx="26">
                  <v>0.6524120893896214</v>
                </pt>
                <pt idx="27">
                  <v>0.6282460385612504</v>
                </pt>
                <pt idx="28">
                  <v>0.6163819029755319</v>
                </pt>
                <pt idx="29">
                  <v>0.6081532293116012</v>
                </pt>
              </numCache>
            </numRef>
          </val>
          <smooth val="0"/>
        </ser>
        <ser>
          <idx val="3"/>
          <order val="2"/>
          <tx>
            <strRef>
              <f>Figurer!$B$6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Figurer!$C$6:$AF$6</f>
              <numCache>
                <formatCode>General</formatCode>
                <ptCount val="30"/>
                <pt idx="0">
                  <v>2.511843881797541</v>
                </pt>
                <pt idx="1">
                  <v>2.39364826964706</v>
                </pt>
                <pt idx="2">
                  <v>2.326815510394235</v>
                </pt>
                <pt idx="3">
                  <v>2.271527919519695</v>
                </pt>
                <pt idx="4">
                  <v>2.227145126403441</v>
                </pt>
                <pt idx="5">
                  <v>2.195180405698549</v>
                </pt>
                <pt idx="6">
                  <v>2.125814042511792</v>
                </pt>
                <pt idx="7">
                  <v>2.051374578248332</v>
                </pt>
                <pt idx="8">
                  <v>2.026955283610615</v>
                </pt>
                <pt idx="9">
                  <v>2.027474858407136</v>
                </pt>
                <pt idx="10">
                  <v>2.045343183508467</v>
                </pt>
                <pt idx="11">
                  <v>2.019931593865225</v>
                </pt>
                <pt idx="12">
                  <v>1.938762748278762</v>
                </pt>
                <pt idx="13">
                  <v>1.874316267190495</v>
                </pt>
                <pt idx="14">
                  <v>1.853591550435839</v>
                </pt>
                <pt idx="15">
                  <v>1.859195105668827</v>
                </pt>
                <pt idx="16">
                  <v>2.006647952339191</v>
                </pt>
                <pt idx="17">
                  <v>2.008833527115664</v>
                </pt>
                <pt idx="18">
                  <v>1.961013582391228</v>
                </pt>
                <pt idx="19">
                  <v>1.953146688637089</v>
                </pt>
                <pt idx="20">
                  <v>1.961903489300339</v>
                </pt>
                <pt idx="21">
                  <v>1.938709086075587</v>
                </pt>
                <pt idx="22">
                  <v>1.909539017472123</v>
                </pt>
                <pt idx="23">
                  <v>1.866249659246505</v>
                </pt>
                <pt idx="24">
                  <v>1.850155241928528</v>
                </pt>
                <pt idx="25">
                  <v>1.845957712466995</v>
                </pt>
                <pt idx="26">
                  <v>1.842875390421701</v>
                </pt>
                <pt idx="27">
                  <v>1.920771590932173</v>
                </pt>
                <pt idx="28">
                  <v>1.842216753175863</v>
                </pt>
                <pt idx="29">
                  <v>1.829369432220476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Figurer!$B$3</f>
              <strCache>
                <ptCount val="1"/>
                <pt idx="0">
                  <v>Kapital-output-ratio (K/Y)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Figurer!$B$9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Figurer!$C$8:$AF$8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Figurer!$C$9:$AF$9</f>
              <numCache>
                <formatCode>General</formatCode>
                <ptCount val="30"/>
                <pt idx="0">
                  <v>0.002957106190034187</v>
                </pt>
                <pt idx="1">
                  <v>0.002720224890024772</v>
                </pt>
                <pt idx="2">
                  <v>0.002593870557513843</v>
                </pt>
                <pt idx="3">
                  <v>0.002462254859023013</v>
                </pt>
                <pt idx="4">
                  <v>0.002249059330487143</v>
                </pt>
                <pt idx="5">
                  <v>0.002198113169920507</v>
                </pt>
                <pt idx="6">
                  <v>0.002081078101784327</v>
                </pt>
                <pt idx="7">
                  <v>0.002001229860938585</v>
                </pt>
                <pt idx="8">
                  <v>0.001976181280994977</v>
                </pt>
                <pt idx="9">
                  <v>0.001952567131218233</v>
                </pt>
                <pt idx="10">
                  <v>0.001798618703009682</v>
                </pt>
                <pt idx="11">
                  <v>0.001762805753684504</v>
                </pt>
                <pt idx="12">
                  <v>0.001692650525112263</v>
                </pt>
                <pt idx="13">
                  <v>0.001559833668050461</v>
                </pt>
                <pt idx="14">
                  <v>0.001449863716486311</v>
                </pt>
                <pt idx="15">
                  <v>0.001495998900721448</v>
                </pt>
                <pt idx="16">
                  <v>0.001387964906889663</v>
                </pt>
                <pt idx="17">
                  <v>0.00127489873681684</v>
                </pt>
                <pt idx="18">
                  <v>0.001280283810605583</v>
                </pt>
                <pt idx="19">
                  <v>0.001232995253807751</v>
                </pt>
                <pt idx="20">
                  <v>0.001237885562569385</v>
                </pt>
                <pt idx="21">
                  <v>0.001190398999343481</v>
                </pt>
                <pt idx="22">
                  <v>0.00123047958244574</v>
                </pt>
                <pt idx="23">
                  <v>0.001191072329811083</v>
                </pt>
                <pt idx="24">
                  <v>0.00114566021286891</v>
                </pt>
                <pt idx="25">
                  <v>0.001128661270906246</v>
                </pt>
                <pt idx="26">
                  <v>0.001084437361669352</v>
                </pt>
                <pt idx="27">
                  <v>0.001061941261170584</v>
                </pt>
                <pt idx="28">
                  <v>0.001052232022549312</v>
                </pt>
                <pt idx="29">
                  <v>0.00103692862295441</v>
                </pt>
              </numCache>
            </numRef>
          </val>
          <smooth val="0"/>
        </ser>
        <ser>
          <idx val="1"/>
          <order val="1"/>
          <tx>
            <strRef>
              <f>Figurer!$B$10</f>
              <strCache>
                <ptCount val="1"/>
                <pt idx="0">
                  <v>Føde- drikke og tobaksvareindustri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Figurer!$C$8:$AF$8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Figurer!$C$10:$AF$10</f>
              <numCache>
                <formatCode>General</formatCode>
                <ptCount val="30"/>
                <pt idx="0">
                  <v>0.0008293106243191331</v>
                </pt>
                <pt idx="1">
                  <v>0.0008000567477123274</v>
                </pt>
                <pt idx="2">
                  <v>0.0008201487005375439</v>
                </pt>
                <pt idx="3">
                  <v>0.0008350012089061455</v>
                </pt>
                <pt idx="4">
                  <v>0.0008073332458542655</v>
                </pt>
                <pt idx="5">
                  <v>0.0007672845581065728</v>
                </pt>
                <pt idx="6">
                  <v>0.0007769908030062676</v>
                </pt>
                <pt idx="7">
                  <v>0.0007821711154001518</v>
                </pt>
                <pt idx="8">
                  <v>0.0007654195300976108</v>
                </pt>
                <pt idx="9">
                  <v>0.000749031705813025</v>
                </pt>
                <pt idx="10">
                  <v>0.0007031581033337033</v>
                </pt>
                <pt idx="11">
                  <v>0.000666756383216288</v>
                </pt>
                <pt idx="12">
                  <v>0.0006058823313986574</v>
                </pt>
                <pt idx="13">
                  <v>0.0005867602585808273</v>
                </pt>
                <pt idx="14">
                  <v>0.0005657362199130376</v>
                </pt>
                <pt idx="15">
                  <v>0.0005649600769120569</v>
                </pt>
                <pt idx="16">
                  <v>0.0005516616789628582</v>
                </pt>
                <pt idx="17">
                  <v>0.0005479008029223671</v>
                </pt>
                <pt idx="18">
                  <v>0.0005264120206471865</v>
                </pt>
                <pt idx="19">
                  <v>0.0005137645299632783</v>
                </pt>
                <pt idx="20">
                  <v>0.0004878099929796798</v>
                </pt>
                <pt idx="21">
                  <v>0.0004556099197622484</v>
                </pt>
                <pt idx="22">
                  <v>0.0004423301376669609</v>
                </pt>
                <pt idx="23">
                  <v>0.000443617096712207</v>
                </pt>
                <pt idx="24">
                  <v>0.0004373030970279482</v>
                </pt>
                <pt idx="25">
                  <v>0.0004251981041177492</v>
                </pt>
                <pt idx="26">
                  <v>0.0004210663010601043</v>
                </pt>
                <pt idx="27">
                  <v>0.0004347064762750785</v>
                </pt>
                <pt idx="28">
                  <v>0.000425024197606626</v>
                </pt>
                <pt idx="29">
                  <v>0.000414392506300459</v>
                </pt>
              </numCache>
            </numRef>
          </val>
          <smooth val="0"/>
        </ser>
        <ser>
          <idx val="2"/>
          <order val="2"/>
          <tx>
            <strRef>
              <f>Figurer!$B$11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Figurer!$C$8:$AF$8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Figurer!$C$11:$AF$11</f>
              <numCache>
                <formatCode>General</formatCode>
                <ptCount val="30"/>
                <pt idx="0">
                  <v>0.001582574038009542</v>
                </pt>
                <pt idx="1">
                  <v>0.001494251086386331</v>
                </pt>
                <pt idx="2">
                  <v>0.001465045385903225</v>
                </pt>
                <pt idx="3">
                  <v>0.001427069295973544</v>
                </pt>
                <pt idx="4">
                  <v>0.001425035034876516</v>
                </pt>
                <pt idx="5">
                  <v>0.00142077739970467</v>
                </pt>
                <pt idx="6">
                  <v>0.001389700381910427</v>
                </pt>
                <pt idx="7">
                  <v>0.001340475360465981</v>
                </pt>
                <pt idx="8">
                  <v>0.001324560307754276</v>
                </pt>
                <pt idx="9">
                  <v>0.001305131562751319</v>
                </pt>
                <pt idx="10">
                  <v>0.001291513976105924</v>
                </pt>
                <pt idx="11">
                  <v>0.001256527719160885</v>
                </pt>
                <pt idx="12">
                  <v>0.001205940115256992</v>
                </pt>
                <pt idx="13">
                  <v>0.00117459927739285</v>
                </pt>
                <pt idx="14">
                  <v>0.001149975994272966</v>
                </pt>
                <pt idx="15">
                  <v>0.001151605946798552</v>
                </pt>
                <pt idx="16">
                  <v>0.001186085291229247</v>
                </pt>
                <pt idx="17">
                  <v>0.001162259400491205</v>
                </pt>
                <pt idx="18">
                  <v>0.001143440602393787</v>
                </pt>
                <pt idx="19">
                  <v>0.001115526865670011</v>
                </pt>
                <pt idx="20">
                  <v>0.001117652131108933</v>
                </pt>
                <pt idx="21">
                  <v>0.001093361722108423</v>
                </pt>
                <pt idx="22">
                  <v>0.001076176609893962</v>
                </pt>
                <pt idx="23">
                  <v>0.001059292196692685</v>
                </pt>
                <pt idx="24">
                  <v>0.001042432758082178</v>
                </pt>
                <pt idx="25">
                  <v>0.001021865162390459</v>
                </pt>
                <pt idx="26">
                  <v>0.001015444494205001</v>
                </pt>
                <pt idx="27">
                  <v>0.00100354413579959</v>
                </pt>
                <pt idx="28">
                  <v>0.0009994076216032735</v>
                </pt>
                <pt idx="29">
                  <v>0.001010690557564924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Figurer!$B$8</f>
              <strCache>
                <ptCount val="1"/>
                <pt idx="0">
                  <v>Arbejdskraft-output-ratio (L/Y)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Figurer!$B$14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Figurer!$C$14:$AF$14</f>
              <numCache>
                <formatCode>General</formatCode>
                <ptCount val="30"/>
                <pt idx="0">
                  <v>0.7662073631257278</v>
                </pt>
                <pt idx="1">
                  <v>0.7452835827684271</v>
                </pt>
                <pt idx="2">
                  <v>0.7184646278614644</v>
                </pt>
                <pt idx="3">
                  <v>0.7015660843308302</v>
                </pt>
                <pt idx="4">
                  <v>0.7067584205927769</v>
                </pt>
                <pt idx="5">
                  <v>0.7142545775583513</v>
                </pt>
                <pt idx="6">
                  <v>0.725241367169598</v>
                </pt>
                <pt idx="7">
                  <v>0.6898744038892334</v>
                </pt>
                <pt idx="8">
                  <v>0.6740898935476548</v>
                </pt>
                <pt idx="9">
                  <v>0.6936589812797062</v>
                </pt>
                <pt idx="10">
                  <v>0.673675509272451</v>
                </pt>
                <pt idx="11">
                  <v>0.6690668641775314</v>
                </pt>
                <pt idx="12">
                  <v>0.6737999806632824</v>
                </pt>
                <pt idx="13">
                  <v>0.6675879584347244</v>
                </pt>
                <pt idx="14">
                  <v>0.6395032080789513</v>
                </pt>
                <pt idx="15">
                  <v>0.70136201076163</v>
                </pt>
                <pt idx="16">
                  <v>0.7099127074368532</v>
                </pt>
                <pt idx="17">
                  <v>0.6609624742599399</v>
                </pt>
                <pt idx="18">
                  <v>0.6845846894787717</v>
                </pt>
                <pt idx="19">
                  <v>0.6587815928997269</v>
                </pt>
                <pt idx="20">
                  <v>0.6784167456235423</v>
                </pt>
                <pt idx="21">
                  <v>0.6377665355059856</v>
                </pt>
                <pt idx="22">
                  <v>0.6793945094928761</v>
                </pt>
                <pt idx="23">
                  <v>0.702863266899869</v>
                </pt>
                <pt idx="24">
                  <v>0.6767908529632553</v>
                </pt>
                <pt idx="25">
                  <v>0.6813315931802502</v>
                </pt>
                <pt idx="26">
                  <v>0.6577117894315964</v>
                </pt>
                <pt idx="27">
                  <v>0.6633603222597336</v>
                </pt>
                <pt idx="28">
                  <v>0.6488256780437598</v>
                </pt>
                <pt idx="29">
                  <v>0.66658912955316</v>
                </pt>
              </numCache>
            </numRef>
          </val>
          <smooth val="0"/>
        </ser>
        <ser>
          <idx val="2"/>
          <order val="1"/>
          <tx>
            <strRef>
              <f>Figurer!$B$15</f>
              <strCache>
                <ptCount val="1"/>
                <pt idx="0">
                  <v>Føde- drikke og tobaksvareindustri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Figurer!$C$15:$AF$15</f>
              <numCache>
                <formatCode>General</formatCode>
                <ptCount val="30"/>
                <pt idx="0">
                  <v>0.7703968496888567</v>
                </pt>
                <pt idx="1">
                  <v>0.7724845555383223</v>
                </pt>
                <pt idx="2">
                  <v>0.7595347236013698</v>
                </pt>
                <pt idx="3">
                  <v>0.7629533189589307</v>
                </pt>
                <pt idx="4">
                  <v>0.747300711651895</v>
                </pt>
                <pt idx="5">
                  <v>0.753831008938361</v>
                </pt>
                <pt idx="6">
                  <v>0.7433071128622555</v>
                </pt>
                <pt idx="7">
                  <v>0.7513189037427868</v>
                </pt>
                <pt idx="8">
                  <v>0.7457577865389696</v>
                </pt>
                <pt idx="9">
                  <v>0.7734152837910812</v>
                </pt>
                <pt idx="10">
                  <v>0.7916187671491444</v>
                </pt>
                <pt idx="11">
                  <v>0.7845401514431842</v>
                </pt>
                <pt idx="12">
                  <v>0.783577389042903</v>
                </pt>
                <pt idx="13">
                  <v>0.8006453089241179</v>
                </pt>
                <pt idx="14">
                  <v>0.8049914421433778</v>
                </pt>
                <pt idx="15">
                  <v>0.8123896010056882</v>
                </pt>
                <pt idx="16">
                  <v>0.8057794320479718</v>
                </pt>
                <pt idx="17">
                  <v>0.794933891839786</v>
                </pt>
                <pt idx="18">
                  <v>0.7990414540591365</v>
                </pt>
                <pt idx="19">
                  <v>0.7995521031253564</v>
                </pt>
                <pt idx="20">
                  <v>0.8007192082322724</v>
                </pt>
                <pt idx="21">
                  <v>0.799596972331294</v>
                </pt>
                <pt idx="22">
                  <v>0.8191189718210985</v>
                </pt>
                <pt idx="23">
                  <v>0.8131747355213068</v>
                </pt>
                <pt idx="24">
                  <v>0.804724177588788</v>
                </pt>
                <pt idx="25">
                  <v>0.8147888822920751</v>
                </pt>
                <pt idx="26">
                  <v>0.801482741957215</v>
                </pt>
                <pt idx="27">
                  <v>0.8067111164655563</v>
                </pt>
                <pt idx="28">
                  <v>0.7881001877199871</v>
                </pt>
                <pt idx="29">
                  <v>0.7657792054802681</v>
                </pt>
              </numCache>
            </numRef>
          </val>
          <smooth val="0"/>
        </ser>
        <ser>
          <idx val="3"/>
          <order val="2"/>
          <tx>
            <strRef>
              <f>Figurer!$B$16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Figurer!$C$16:$AF$16</f>
              <numCache>
                <formatCode>General</formatCode>
                <ptCount val="30"/>
                <pt idx="0">
                  <v>0.3840941083808219</v>
                </pt>
                <pt idx="1">
                  <v>0.3862620095382671</v>
                </pt>
                <pt idx="2">
                  <v>0.3927788288244152</v>
                </pt>
                <pt idx="3">
                  <v>0.3955101501920392</v>
                </pt>
                <pt idx="4">
                  <v>0.3950534174532817</v>
                </pt>
                <pt idx="5">
                  <v>0.3977960036277281</v>
                </pt>
                <pt idx="6">
                  <v>0.4047622413868172</v>
                </pt>
                <pt idx="7">
                  <v>0.4027562284253099</v>
                </pt>
                <pt idx="8">
                  <v>0.4104748925416389</v>
                </pt>
                <pt idx="9">
                  <v>0.4128254870928104</v>
                </pt>
                <pt idx="10">
                  <v>0.4074945105619895</v>
                </pt>
                <pt idx="11">
                  <v>0.4087921181748251</v>
                </pt>
                <pt idx="12">
                  <v>0.4245705598966152</v>
                </pt>
                <pt idx="13">
                  <v>0.4295852305935852</v>
                </pt>
                <pt idx="14">
                  <v>0.4347098852848547</v>
                </pt>
                <pt idx="15">
                  <v>0.4349967185218619</v>
                </pt>
                <pt idx="16">
                  <v>0.4236347331497939</v>
                </pt>
                <pt idx="17">
                  <v>0.4185058139778218</v>
                </pt>
                <pt idx="18">
                  <v>0.4181615060619432</v>
                </pt>
                <pt idx="19">
                  <v>0.422592583239561</v>
                </pt>
                <pt idx="20">
                  <v>0.4188080150233408</v>
                </pt>
                <pt idx="21">
                  <v>0.4236218507488186</v>
                </pt>
                <pt idx="22">
                  <v>0.4281271937119936</v>
                </pt>
                <pt idx="23">
                  <v>0.4295555814830026</v>
                </pt>
                <pt idx="24">
                  <v>0.4283213552770376</v>
                </pt>
                <pt idx="25">
                  <v>0.4287470289555979</v>
                </pt>
                <pt idx="26">
                  <v>0.429908641419931</v>
                </pt>
                <pt idx="27">
                  <v>0.4347729750387504</v>
                </pt>
                <pt idx="28">
                  <v>0.4348935443463066</v>
                </pt>
                <pt idx="29">
                  <v>0.445941719253174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Figurer!$B$13</f>
              <strCache>
                <ptCount val="1"/>
                <pt idx="0">
                  <v>Materiale-output-ratio (Mtot/Y)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Figurer!$B$19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Figurer!$C$19:$AF$19</f>
              <numCache>
                <formatCode>General</formatCode>
                <ptCount val="30"/>
                <pt idx="0">
                  <v>1287.652540438695</v>
                </pt>
                <pt idx="1">
                  <v>1395.598646065796</v>
                </pt>
                <pt idx="2">
                  <v>1430.965951495116</v>
                </pt>
                <pt idx="3">
                  <v>1477.743298140989</v>
                </pt>
                <pt idx="4">
                  <v>1561.497425030185</v>
                </pt>
                <pt idx="5">
                  <v>1560.245009638704</v>
                </pt>
                <pt idx="6">
                  <v>1600.702653007618</v>
                </pt>
                <pt idx="7">
                  <v>1624.600724734935</v>
                </pt>
                <pt idx="8">
                  <v>1665.928183675857</v>
                </pt>
                <pt idx="9">
                  <v>1649.038362504034</v>
                </pt>
                <pt idx="10">
                  <v>1771.42070525556</v>
                </pt>
                <pt idx="11">
                  <v>1771.089489201132</v>
                </pt>
                <pt idx="12">
                  <v>1868.705608816129</v>
                </pt>
                <pt idx="13">
                  <v>1999.482844861936</v>
                </pt>
                <pt idx="14">
                  <v>2085.282867623354</v>
                </pt>
                <pt idx="15">
                  <v>2214.356883643975</v>
                </pt>
                <pt idx="16">
                  <v>2344.797818281701</v>
                </pt>
                <pt idx="17">
                  <v>2374.01870296367</v>
                </pt>
                <pt idx="18">
                  <v>2358.604004735677</v>
                </pt>
                <pt idx="19">
                  <v>2351.988464190926</v>
                </pt>
                <pt idx="20">
                  <v>2341.595123083089</v>
                </pt>
                <pt idx="21">
                  <v>2283.461192750685</v>
                </pt>
                <pt idx="22">
                  <v>2208.624457508695</v>
                </pt>
                <pt idx="23">
                  <v>2304.272907714791</v>
                </pt>
                <pt idx="24">
                  <v>2252.530714656515</v>
                </pt>
                <pt idx="25">
                  <v>2269.965104131938</v>
                </pt>
                <pt idx="26">
                  <v>2361.093466958383</v>
                </pt>
                <pt idx="27">
                  <v>2298.678207977541</v>
                </pt>
                <pt idx="28">
                  <v>2235.364437854179</v>
                </pt>
                <pt idx="29">
                  <v>2256.480056811457</v>
                </pt>
              </numCache>
            </numRef>
          </val>
          <smooth val="0"/>
        </ser>
        <ser>
          <idx val="2"/>
          <order val="1"/>
          <tx>
            <strRef>
              <f>Figurer!$B$20</f>
              <strCache>
                <ptCount val="1"/>
                <pt idx="0">
                  <v>Føde- drikke og tobaksvareindustri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Figurer!$C$20:$AF$20</f>
              <numCache>
                <formatCode>General</formatCode>
                <ptCount val="30"/>
                <pt idx="0">
                  <v>637.1065399574964</v>
                </pt>
                <pt idx="1">
                  <v>660.1557996673199</v>
                </pt>
                <pt idx="2">
                  <v>652.3650501726197</v>
                </pt>
                <pt idx="3">
                  <v>690.9368087027847</v>
                </pt>
                <pt idx="4">
                  <v>710.5575628042677</v>
                </pt>
                <pt idx="5">
                  <v>734.5058190029529</v>
                </pt>
                <pt idx="6">
                  <v>726.1316677978333</v>
                </pt>
                <pt idx="7">
                  <v>740.5392963401846</v>
                </pt>
                <pt idx="8">
                  <v>759.1510304521686</v>
                </pt>
                <pt idx="9">
                  <v>775.8054982052446</v>
                </pt>
                <pt idx="10">
                  <v>840.8653455146799</v>
                </pt>
                <pt idx="11">
                  <v>897.515032692001</v>
                </pt>
                <pt idx="12">
                  <v>966.2871536523929</v>
                </pt>
                <pt idx="13">
                  <v>1007.482449871789</v>
                </pt>
                <pt idx="14">
                  <v>1066.886049670373</v>
                </pt>
                <pt idx="15">
                  <v>1115.188286392334</v>
                </pt>
                <pt idx="16">
                  <v>1226.411920211488</v>
                </pt>
                <pt idx="17">
                  <v>1259.985622217458</v>
                </pt>
                <pt idx="18">
                  <v>1285.001107939363</v>
                </pt>
                <pt idx="19">
                  <v>1357.59627592044</v>
                </pt>
                <pt idx="20">
                  <v>1406.461499169965</v>
                </pt>
                <pt idx="21">
                  <v>1491.19471230024</v>
                </pt>
                <pt idx="22">
                  <v>1511.447443378651</v>
                </pt>
                <pt idx="23">
                  <v>1489.566051233656</v>
                </pt>
                <pt idx="24">
                  <v>1462.071328546316</v>
                </pt>
                <pt idx="25">
                  <v>1535.746537078136</v>
                </pt>
                <pt idx="26">
                  <v>1549.428410079519</v>
                </pt>
                <pt idx="27">
                  <v>1445.218953130345</v>
                </pt>
                <pt idx="28">
                  <v>1450.227790432802</v>
                </pt>
                <pt idx="29">
                  <v>1467.577767612077</v>
                </pt>
              </numCache>
            </numRef>
          </val>
          <smooth val="0"/>
        </ser>
        <ser>
          <idx val="3"/>
          <order val="2"/>
          <tx>
            <strRef>
              <f>Figurer!$B$21</f>
              <strCache>
                <ptCount val="1"/>
                <pt idx="0">
                  <v>Resten af økonomien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Figurer!$C$21:$AF$21</f>
              <numCache>
                <formatCode>General</formatCode>
                <ptCount val="30"/>
                <pt idx="0">
                  <v>1587.188859079714</v>
                </pt>
                <pt idx="1">
                  <v>1601.904988696253</v>
                </pt>
                <pt idx="2">
                  <v>1588.220769665585</v>
                </pt>
                <pt idx="3">
                  <v>1591.743250260362</v>
                </pt>
                <pt idx="4">
                  <v>1562.870436091721</v>
                </pt>
                <pt idx="5">
                  <v>1545.055830811252</v>
                </pt>
                <pt idx="6">
                  <v>1529.692349648365</v>
                </pt>
                <pt idx="7">
                  <v>1530.333670240105</v>
                </pt>
                <pt idx="8">
                  <v>1530.285387342773</v>
                </pt>
                <pt idx="9">
                  <v>1553.463969665297</v>
                </pt>
                <pt idx="10">
                  <v>1583.678706811545</v>
                </pt>
                <pt idx="11">
                  <v>1607.550365235193</v>
                </pt>
                <pt idx="12">
                  <v>1607.677465697044</v>
                </pt>
                <pt idx="13">
                  <v>1595.706981321104</v>
                </pt>
                <pt idx="14">
                  <v>1611.852386194993</v>
                </pt>
                <pt idx="15">
                  <v>1614.436874729036</v>
                </pt>
                <pt idx="16">
                  <v>1691.824329310686</v>
                </pt>
                <pt idx="17">
                  <v>1728.386560062816</v>
                </pt>
                <pt idx="18">
                  <v>1715.011324843508</v>
                </pt>
                <pt idx="19">
                  <v>1750.873733967837</v>
                </pt>
                <pt idx="20">
                  <v>1755.379365987286</v>
                </pt>
                <pt idx="21">
                  <v>1773.163489148868</v>
                </pt>
                <pt idx="22">
                  <v>1774.373276576114</v>
                </pt>
                <pt idx="23">
                  <v>1761.789301453648</v>
                </pt>
                <pt idx="24">
                  <v>1774.843727409683</v>
                </pt>
                <pt idx="25">
                  <v>1806.459188948891</v>
                </pt>
                <pt idx="26">
                  <v>1814.846011710863</v>
                </pt>
                <pt idx="27">
                  <v>1913.988156985012</v>
                </pt>
                <pt idx="28">
                  <v>1843.308689421975</v>
                </pt>
                <pt idx="29">
                  <v>1810.019316523556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Figurer!$B$18</f>
              <strCache>
                <ptCount val="1"/>
                <pt idx="0">
                  <v>Kapital pr arbejdstime (K/L)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Figurer!$B$24</f>
              <strCache>
                <ptCount val="1"/>
                <pt idx="0">
                  <v>Landbrug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Figurer!$C$24:$AF$24</f>
              <numCache>
                <formatCode>General</formatCode>
                <ptCount val="30"/>
                <pt idx="0">
                  <v>55728.664</v>
                </pt>
                <pt idx="1">
                  <v>55147.06399999999</v>
                </pt>
                <pt idx="2">
                  <v>58275.62700000001</v>
                </pt>
                <pt idx="3">
                  <v>59527.836</v>
                </pt>
                <pt idx="4">
                  <v>61114.082</v>
                </pt>
                <pt idx="5">
                  <v>55009.011</v>
                </pt>
                <pt idx="6">
                  <v>53791.911</v>
                </pt>
                <pt idx="7">
                  <v>59756.001</v>
                </pt>
                <pt idx="8">
                  <v>63043.538</v>
                </pt>
                <pt idx="9">
                  <v>58246.66099999999</v>
                </pt>
                <pt idx="10">
                  <v>56424.33999999999</v>
                </pt>
                <pt idx="11">
                  <v>58797.782</v>
                </pt>
                <pt idx="12">
                  <v>53297.89000000001</v>
                </pt>
                <pt idx="13">
                  <v>55302.07599999999</v>
                </pt>
                <pt idx="14">
                  <v>60373.719</v>
                </pt>
                <pt idx="15">
                  <v>61138.87000000001</v>
                </pt>
                <pt idx="16">
                  <v>58467.33000000001</v>
                </pt>
                <pt idx="17">
                  <v>65318.85200000001</v>
                </pt>
                <pt idx="18">
                  <v>71951.56699999998</v>
                </pt>
                <pt idx="19">
                  <v>79895.74200000001</v>
                </pt>
                <pt idx="20">
                  <v>74902.37899999999</v>
                </pt>
                <pt idx="21">
                  <v>75434.427</v>
                </pt>
                <pt idx="22">
                  <v>68758.59</v>
                </pt>
                <pt idx="23">
                  <v>67851.48699999999</v>
                </pt>
                <pt idx="24">
                  <v>77164.473</v>
                </pt>
                <pt idx="25">
                  <v>72672.23299999999</v>
                </pt>
                <pt idx="26">
                  <v>77232.461</v>
                </pt>
                <pt idx="27">
                  <v>80503.511</v>
                </pt>
                <pt idx="28">
                  <v>80890.02</v>
                </pt>
                <pt idx="29">
                  <v>95782.79999999997</v>
                </pt>
              </numCache>
            </numRef>
          </val>
          <smooth val="0"/>
        </ser>
        <ser>
          <idx val="2"/>
          <order val="1"/>
          <tx>
            <strRef>
              <f>Figurer!$B$25</f>
              <strCache>
                <ptCount val="1"/>
                <pt idx="0">
                  <v>Føde- drikke og tobaksvareindustri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Figurer!$C$3:$AF$3</f>
              <numCache>
                <formatCode>General</formatCode>
                <ptCount val="30"/>
                <pt idx="0">
                  <v>1993</v>
                </pt>
                <pt idx="1">
                  <v>1994</v>
                </pt>
                <pt idx="2">
                  <v>1995</v>
                </pt>
                <pt idx="3">
                  <v>1996</v>
                </pt>
                <pt idx="4">
                  <v>1997</v>
                </pt>
                <pt idx="5">
                  <v>1998</v>
                </pt>
                <pt idx="6">
                  <v>1999</v>
                </pt>
                <pt idx="7">
                  <v>2000</v>
                </pt>
                <pt idx="8">
                  <v>2001</v>
                </pt>
                <pt idx="9">
                  <v>2002</v>
                </pt>
                <pt idx="10">
                  <v>2003</v>
                </pt>
                <pt idx="11">
                  <v>2004</v>
                </pt>
                <pt idx="12">
                  <v>2005</v>
                </pt>
                <pt idx="13">
                  <v>2006</v>
                </pt>
                <pt idx="14">
                  <v>2007</v>
                </pt>
                <pt idx="15">
                  <v>2008</v>
                </pt>
                <pt idx="16">
                  <v>2009</v>
                </pt>
                <pt idx="17">
                  <v>2010</v>
                </pt>
                <pt idx="18">
                  <v>2011</v>
                </pt>
                <pt idx="19">
                  <v>2012</v>
                </pt>
                <pt idx="20">
                  <v>2013</v>
                </pt>
                <pt idx="21">
                  <v>2014</v>
                </pt>
                <pt idx="22">
                  <v>2015</v>
                </pt>
                <pt idx="23">
                  <v>2016</v>
                </pt>
                <pt idx="24">
                  <v>2017</v>
                </pt>
                <pt idx="25">
                  <v>2018</v>
                </pt>
                <pt idx="26">
                  <v>2019</v>
                </pt>
                <pt idx="27">
                  <v>2020</v>
                </pt>
                <pt idx="28">
                  <v>2021</v>
                </pt>
                <pt idx="29">
                  <v>2022</v>
                </pt>
              </numCache>
            </numRef>
          </cat>
          <val>
            <numRef>
              <f>Figurer!$C$25:$AF$25</f>
              <numCache>
                <formatCode>General</formatCode>
                <ptCount val="30"/>
                <pt idx="0">
                  <v>113491.541</v>
                </pt>
                <pt idx="1">
                  <v>115531.563</v>
                </pt>
                <pt idx="2">
                  <v>116174.178</v>
                </pt>
                <pt idx="3">
                  <v>113564.129</v>
                </pt>
                <pt idx="4">
                  <v>116548.174</v>
                </pt>
                <pt idx="5">
                  <v>113149.854</v>
                </pt>
                <pt idx="6">
                  <v>109463.882</v>
                </pt>
                <pt idx="7">
                  <v>117014.806</v>
                </pt>
                <pt idx="8">
                  <v>125335.7349999999</v>
                </pt>
                <pt idx="9">
                  <v>127816.845</v>
                </pt>
                <pt idx="10">
                  <v>126625.425</v>
                </pt>
                <pt idx="11">
                  <v>129620.743</v>
                </pt>
                <pt idx="12">
                  <v>134052.346</v>
                </pt>
                <pt idx="13">
                  <v>134927.57</v>
                </pt>
                <pt idx="14">
                  <v>137741.951</v>
                </pt>
                <pt idx="15">
                  <v>145761.139</v>
                </pt>
                <pt idx="16">
                  <v>133712.743</v>
                </pt>
                <pt idx="17">
                  <v>132532.342</v>
                </pt>
                <pt idx="18">
                  <v>139875.5029999999</v>
                </pt>
                <pt idx="19">
                  <v>141548.377</v>
                </pt>
                <pt idx="20">
                  <v>145794.447</v>
                </pt>
                <pt idx="21">
                  <v>142798.5159999999</v>
                </pt>
                <pt idx="22">
                  <v>141978.192</v>
                </pt>
                <pt idx="23">
                  <v>143969.839</v>
                </pt>
                <pt idx="24">
                  <v>150686.846</v>
                </pt>
                <pt idx="25">
                  <v>149378.465</v>
                </pt>
                <pt idx="26">
                  <v>155174.138</v>
                </pt>
                <pt idx="27">
                  <v>161377.858</v>
                </pt>
                <pt idx="28">
                  <v>163849.271</v>
                </pt>
                <pt idx="29">
                  <v>193667.226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29764240"/>
        <axId val="570416352"/>
      </lineChart>
      <catAx>
        <axId val="1929764240"/>
        <scaling>
          <orientation val="minMax"/>
        </scaling>
        <delete val="0"/>
        <axPos val="b"/>
        <title>
          <tx>
            <rich>
              <a:bodyPr xmlns:a="http://schemas.openxmlformats.org/drawingml/2006/main" rot="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 b="0"/>
                  <a:t>År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570416352"/>
        <crosses val="autoZero"/>
        <auto val="1"/>
        <lblAlgn val="ctr"/>
        <lblOffset val="100"/>
        <noMultiLvlLbl val="0"/>
      </catAx>
      <valAx>
        <axId val="570416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strRef>
              <f>Figurer!$B$23</f>
              <strCache>
                <ptCount val="1"/>
                <pt idx="0">
                  <v>Produktionsværdi (mio.kr.)</v>
                </pt>
              </strCache>
            </strRef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vert="horz"/>
            <a:lstStyle xmlns:a="http://schemas.openxmlformats.org/drawingml/2006/main"/>
            <a:p xmlns:a="http://schemas.openxmlformats.org/drawingml/2006/main">
              <a:pPr>
                <a:defRPr b="0"/>
              </a:pPr>
              <a:r>
                <a:t>None</a:t>
              </a:r>
              <a:endParaRPr lang="da-DK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da-DK"/>
          </a:p>
        </txPr>
        <crossAx val="1929764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  <a:endParaRPr lang="da-DK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'Ark1'!$C$8:$AE$8</f>
              <numCache>
                <formatCode>General</formatCode>
                <ptCount val="29"/>
                <pt idx="0">
                  <v>0.003593897296390544</v>
                </pt>
                <pt idx="1">
                  <v>0.003553780526003905</v>
                </pt>
                <pt idx="2">
                  <v>0.003483165107254242</v>
                </pt>
                <pt idx="3">
                  <v>0.003371841474654743</v>
                </pt>
                <pt idx="4">
                  <v>0.003370644200732018</v>
                </pt>
                <pt idx="5">
                  <v>0.003287961907877417</v>
                </pt>
                <pt idx="6">
                  <v>0.003302933216780342</v>
                </pt>
                <pt idx="7">
                  <v>0.003271086783850708</v>
                </pt>
                <pt idx="8">
                  <v>0.003274204947123428</v>
                </pt>
                <pt idx="9">
                  <v>0.003154655603400523</v>
                </pt>
                <pt idx="10">
                  <v>0.003155699352973652</v>
                </pt>
                <pt idx="11">
                  <v>0.003068697797025278</v>
                </pt>
                <pt idx="12">
                  <v>0.002991837316829794</v>
                </pt>
                <pt idx="13">
                  <v>0.002940854631799013</v>
                </pt>
                <pt idx="14">
                  <v>0.002854178810049635</v>
                </pt>
                <pt idx="15">
                  <v>0.002728837756735367</v>
                </pt>
                <pt idx="16">
                  <v>0.002698022050368185</v>
                </pt>
                <pt idx="17">
                  <v>0.002707240283408715</v>
                </pt>
                <pt idx="18">
                  <v>0.002717103301428241</v>
                </pt>
                <pt idx="19">
                  <v>0.002727915192745586</v>
                </pt>
                <pt idx="20">
                  <v>0.002758613473389482</v>
                </pt>
                <pt idx="21">
                  <v>0.00280272056059469</v>
                </pt>
                <pt idx="22">
                  <v>0.002748437485995981</v>
                </pt>
                <pt idx="23">
                  <v>0.002776629892197284</v>
                </pt>
                <pt idx="24">
                  <v>0.002760765492524443</v>
                </pt>
                <pt idx="25">
                  <v>0.002705837378897648</v>
                </pt>
                <pt idx="26">
                  <v>0.002734323353038341</v>
                </pt>
                <pt idx="27">
                  <v>0.002780488368568987</v>
                </pt>
                <pt idx="28">
                  <v>0.002752920759948005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86401136"/>
        <axId val="1886404496"/>
      </lineChart>
      <catAx>
        <axId val="188640113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886404496"/>
        <crosses val="autoZero"/>
        <auto val="1"/>
        <lblAlgn val="ctr"/>
        <lblOffset val="100"/>
        <noMultiLvlLbl val="0"/>
      </catAx>
      <valAx>
        <axId val="18864044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8864011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da-DK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'Ark1'!$C$16:$AE$16</f>
              <numCache>
                <formatCode>General</formatCode>
                <ptCount val="29"/>
                <pt idx="0">
                  <v>0.7392177328274376</v>
                </pt>
                <pt idx="1">
                  <v>0.7309662371368529</v>
                </pt>
                <pt idx="2">
                  <v>0.7164415678305787</v>
                </pt>
                <pt idx="3">
                  <v>0.6935437506383719</v>
                </pt>
                <pt idx="4">
                  <v>0.6932974870304445</v>
                </pt>
                <pt idx="5">
                  <v>0.67629081933008</v>
                </pt>
                <pt idx="6">
                  <v>0.679370222026366</v>
                </pt>
                <pt idx="7">
                  <v>0.6728198267291691</v>
                </pt>
                <pt idx="8">
                  <v>0.6734611921870414</v>
                </pt>
                <pt idx="9">
                  <v>0.6488714536553896</v>
                </pt>
                <pt idx="10">
                  <v>0.6490861393098356</v>
                </pt>
                <pt idx="11">
                  <v>0.6311910556063562</v>
                </pt>
                <pt idx="12">
                  <v>0.6153818587294181</v>
                </pt>
                <pt idx="13">
                  <v>0.6048953863197141</v>
                </pt>
                <pt idx="14">
                  <v>0.5870673018864501</v>
                </pt>
                <pt idx="15">
                  <v>0.5612862843392232</v>
                </pt>
                <pt idx="16">
                  <v>0.5549478960332741</v>
                </pt>
                <pt idx="17">
                  <v>0.5568439661674262</v>
                </pt>
                <pt idx="18">
                  <v>0.5588726601500149</v>
                </pt>
                <pt idx="19">
                  <v>0.561096524976428</v>
                </pt>
                <pt idx="20">
                  <v>0.5674107603448323</v>
                </pt>
                <pt idx="21">
                  <v>0.5764830120861945</v>
                </pt>
                <pt idx="22">
                  <v>0.5653176926498096</v>
                </pt>
                <pt idx="23">
                  <v>0.5711165023753988</v>
                </pt>
                <pt idx="24">
                  <v>0.5678534025726848</v>
                </pt>
                <pt idx="25">
                  <v>0.5565554070332832</v>
                </pt>
                <pt idx="26">
                  <v>0.5624145998496201</v>
                </pt>
                <pt idx="27">
                  <v>0.5719101405682657</v>
                </pt>
                <pt idx="28">
                  <v>0.566239843544268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86411696"/>
        <axId val="1886428496"/>
      </lineChart>
      <catAx>
        <axId val="188641169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886428496"/>
        <crosses val="autoZero"/>
        <auto val="1"/>
        <lblAlgn val="ctr"/>
        <lblOffset val="100"/>
        <noMultiLvlLbl val="0"/>
      </catAx>
      <valAx>
        <axId val="18864284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da-DK"/>
          </a:p>
        </txPr>
        <crossAx val="188641169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twoCellAnchor>
    <from>
      <col>32</col>
      <colOff>633325</colOff>
      <row>4</row>
      <rowOff>101657</rowOff>
    </from>
    <to>
      <col>42</col>
      <colOff>437976</colOff>
      <row>23</row>
      <rowOff>119147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43</col>
      <colOff>232236</colOff>
      <row>4</row>
      <rowOff>166428</rowOff>
    </from>
    <to>
      <col>53</col>
      <colOff>55071</colOff>
      <row>23</row>
      <rowOff>168678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33</col>
      <colOff>98713</colOff>
      <row>26</row>
      <rowOff>50569</rowOff>
    </from>
    <to>
      <col>42</col>
      <colOff>597996</colOff>
      <row>45</row>
      <rowOff>94383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43</col>
      <colOff>346536</colOff>
      <row>26</row>
      <rowOff>17145</rowOff>
    </from>
    <to>
      <col>53</col>
      <colOff>173181</colOff>
      <row>45</row>
      <rowOff>56283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33</col>
      <colOff>0</colOff>
      <row>47</row>
      <rowOff>0</rowOff>
    </from>
    <to>
      <col>42</col>
      <colOff>497378</colOff>
      <row>66</row>
      <rowOff>49529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651510</colOff>
      <row>19</row>
      <rowOff>0</rowOff>
    </from>
    <to>
      <col>15</col>
      <colOff>205740</colOff>
      <row>41</row>
      <rowOff>78105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137160</colOff>
      <row>22</row>
      <rowOff>22860</rowOff>
    </from>
    <to>
      <col>24</col>
      <colOff>62865</colOff>
      <row>41</row>
      <rowOff>106680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DREAM">
  <a:themeElements>
    <a:clrScheme name="DREAM">
      <a:dk1>
        <a:srgbClr val="000000"/>
      </a:dk1>
      <a:lt1>
        <a:srgbClr val="FFFFFF"/>
      </a:lt1>
      <a:dk2>
        <a:srgbClr val="46464C"/>
      </a:dk2>
      <a:lt2>
        <a:srgbClr val="E6E6E8"/>
      </a:lt2>
      <a:accent1>
        <a:srgbClr val="F55252"/>
      </a:accent1>
      <a:accent2>
        <a:srgbClr val="14AFA6"/>
      </a:accent2>
      <a:accent3>
        <a:srgbClr val="FF9B4B"/>
      </a:accent3>
      <a:accent4>
        <a:srgbClr val="5CD272"/>
      </a:accent4>
      <a:accent5>
        <a:srgbClr val="42B4E0"/>
      </a:accent5>
      <a:accent6>
        <a:srgbClr val="BCADDD"/>
      </a:accent6>
      <a:hlink>
        <a:srgbClr val="005FAD"/>
      </a:hlink>
      <a:folHlink>
        <a:srgbClr val="9D3083"/>
      </a:folHlink>
    </a:clrScheme>
    <a:fontScheme name="DREAM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EAM" id="{F32D46D0-4337-4C8C-9B09-ED50FCA20D85}" vid="{4DAE4FCA-1430-4AA5-9BA9-BAA441DECA3F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6"/>
  <sheetViews>
    <sheetView zoomScaleNormal="100" workbookViewId="0">
      <selection activeCell="B24" sqref="B24"/>
    </sheetView>
  </sheetViews>
  <sheetFormatPr baseColWidth="8" defaultRowHeight="14.25"/>
  <cols>
    <col width="9" customWidth="1" style="1" min="1" max="1"/>
    <col width="12" bestFit="1" customWidth="1" style="6" min="3" max="3"/>
    <col width="10.875" bestFit="1" customWidth="1" style="6" min="4" max="21"/>
  </cols>
  <sheetData>
    <row r="1" customFormat="1" s="1"/>
    <row r="2" ht="15" customFormat="1" customHeight="1" s="3">
      <c r="A2" s="1" t="n"/>
      <c r="B2" s="2" t="inlineStr">
        <is>
          <t>Ratioer</t>
        </is>
      </c>
    </row>
    <row r="3" ht="15" customHeight="1" s="6">
      <c r="B3" t="inlineStr">
        <is>
          <t>Kapital-output-ratio (K/Y)</t>
        </is>
      </c>
      <c r="C3" s="4" t="n">
        <v>1993</v>
      </c>
      <c r="D3" s="4" t="n">
        <v>1994</v>
      </c>
      <c r="E3" s="4" t="n">
        <v>1995</v>
      </c>
      <c r="F3" s="4" t="n">
        <v>1996</v>
      </c>
      <c r="G3" s="4" t="n">
        <v>1997</v>
      </c>
      <c r="H3" s="4" t="n">
        <v>1998</v>
      </c>
      <c r="I3" s="4" t="n">
        <v>1999</v>
      </c>
      <c r="J3" s="4" t="n">
        <v>2000</v>
      </c>
      <c r="K3" s="4" t="n">
        <v>2001</v>
      </c>
      <c r="L3" s="4" t="n">
        <v>2002</v>
      </c>
      <c r="M3" s="4" t="n">
        <v>2003</v>
      </c>
      <c r="N3" s="4" t="n">
        <v>2004</v>
      </c>
      <c r="O3" s="4" t="n">
        <v>2005</v>
      </c>
      <c r="P3" s="4" t="n">
        <v>2006</v>
      </c>
      <c r="Q3" s="4" t="n">
        <v>2007</v>
      </c>
      <c r="R3" s="4" t="n">
        <v>2008</v>
      </c>
      <c r="S3" s="4" t="n">
        <v>2009</v>
      </c>
      <c r="T3" s="4" t="n">
        <v>2010</v>
      </c>
      <c r="U3" s="4" t="n">
        <v>2011</v>
      </c>
      <c r="V3" s="4" t="n">
        <v>2012</v>
      </c>
      <c r="W3" s="4" t="n">
        <v>2013</v>
      </c>
      <c r="X3" s="4" t="n">
        <v>2014</v>
      </c>
      <c r="Y3" s="4" t="n">
        <v>2015</v>
      </c>
      <c r="Z3" s="4" t="n">
        <v>2016</v>
      </c>
      <c r="AA3" s="4" t="n">
        <v>2017</v>
      </c>
      <c r="AB3" s="4" t="n">
        <v>2018</v>
      </c>
      <c r="AC3" s="4" t="n">
        <v>2019</v>
      </c>
      <c r="AD3" s="4" t="n">
        <v>2020</v>
      </c>
      <c r="AE3" s="4" t="n">
        <v>2021</v>
      </c>
      <c r="AF3" s="4" t="n">
        <v>2022</v>
      </c>
    </row>
    <row r="4">
      <c r="B4" s="5" t="inlineStr">
        <is>
          <t>Landbrug</t>
        </is>
      </c>
      <c r="C4">
        <f>K!AC2/Y!AB2</f>
        <v/>
      </c>
      <c r="D4">
        <f>K!AD2/Y!AC2</f>
        <v/>
      </c>
      <c r="E4">
        <f>K!AE2/Y!AD2</f>
        <v/>
      </c>
      <c r="F4">
        <f>K!AF2/Y!AE2</f>
        <v/>
      </c>
      <c r="G4">
        <f>K!AG2/Y!AF2</f>
        <v/>
      </c>
      <c r="H4">
        <f>K!AH2/Y!AG2</f>
        <v/>
      </c>
      <c r="I4">
        <f>K!AI2/Y!AH2</f>
        <v/>
      </c>
      <c r="J4">
        <f>K!AJ2/Y!AI2</f>
        <v/>
      </c>
      <c r="K4">
        <f>K!AK2/Y!AJ2</f>
        <v/>
      </c>
      <c r="L4">
        <f>K!AL2/Y!AK2</f>
        <v/>
      </c>
      <c r="M4">
        <f>K!AM2/Y!AL2</f>
        <v/>
      </c>
      <c r="N4">
        <f>K!AN2/Y!AM2</f>
        <v/>
      </c>
      <c r="O4">
        <f>K!AO2/Y!AN2</f>
        <v/>
      </c>
      <c r="P4">
        <f>K!AP2/Y!AO2</f>
        <v/>
      </c>
      <c r="Q4">
        <f>K!AQ2/Y!AP2</f>
        <v/>
      </c>
      <c r="R4">
        <f>K!AR2/Y!AQ2</f>
        <v/>
      </c>
      <c r="S4">
        <f>K!AS2/Y!AR2</f>
        <v/>
      </c>
      <c r="T4">
        <f>K!AT2/Y!AS2</f>
        <v/>
      </c>
      <c r="U4">
        <f>K!AU2/Y!AT2</f>
        <v/>
      </c>
      <c r="V4">
        <f>K!AV2/Y!AU2</f>
        <v/>
      </c>
      <c r="W4">
        <f>K!AW2/Y!AV2</f>
        <v/>
      </c>
      <c r="X4">
        <f>K!AX2/Y!AW2</f>
        <v/>
      </c>
      <c r="Y4">
        <f>K!AY2/Y!AX2</f>
        <v/>
      </c>
      <c r="Z4">
        <f>K!AZ2/Y!AY2</f>
        <v/>
      </c>
      <c r="AA4">
        <f>K!BA2/Y!AZ2</f>
        <v/>
      </c>
      <c r="AB4">
        <f>K!BB2/Y!BA2</f>
        <v/>
      </c>
      <c r="AC4">
        <f>K!BC2/Y!BB2</f>
        <v/>
      </c>
      <c r="AD4">
        <f>K!BD2/Y!BC2</f>
        <v/>
      </c>
      <c r="AE4">
        <f>K!BE2/Y!BD2</f>
        <v/>
      </c>
      <c r="AF4">
        <f>K!BF2/Y!BE2</f>
        <v/>
      </c>
    </row>
    <row r="5">
      <c r="B5" s="5" t="inlineStr">
        <is>
          <t>Føde- drikke og tobaksvareindustri</t>
        </is>
      </c>
      <c r="C5">
        <f>K!AC3/Y!AB3</f>
        <v/>
      </c>
      <c r="D5">
        <f>K!AD3/Y!AC3</f>
        <v/>
      </c>
      <c r="E5">
        <f>K!AE3/Y!AD3</f>
        <v/>
      </c>
      <c r="F5">
        <f>K!AF3/Y!AE3</f>
        <v/>
      </c>
      <c r="G5">
        <f>K!AG3/Y!AF3</f>
        <v/>
      </c>
      <c r="H5">
        <f>K!AH3/Y!AG3</f>
        <v/>
      </c>
      <c r="I5">
        <f>K!AI3/Y!AH3</f>
        <v/>
      </c>
      <c r="J5">
        <f>K!AJ3/Y!AI3</f>
        <v/>
      </c>
      <c r="K5">
        <f>K!AK3/Y!AJ3</f>
        <v/>
      </c>
      <c r="L5">
        <f>K!AL3/Y!AK3</f>
        <v/>
      </c>
      <c r="M5">
        <f>K!AM3/Y!AL3</f>
        <v/>
      </c>
      <c r="N5">
        <f>K!AN3/Y!AM3</f>
        <v/>
      </c>
      <c r="O5">
        <f>K!AO3/Y!AN3</f>
        <v/>
      </c>
      <c r="P5">
        <f>K!AP3/Y!AO3</f>
        <v/>
      </c>
      <c r="Q5">
        <f>K!AQ3/Y!AP3</f>
        <v/>
      </c>
      <c r="R5">
        <f>K!AR3/Y!AQ3</f>
        <v/>
      </c>
      <c r="S5">
        <f>K!AS3/Y!AR3</f>
        <v/>
      </c>
      <c r="T5">
        <f>K!AT3/Y!AS3</f>
        <v/>
      </c>
      <c r="U5">
        <f>K!AU3/Y!AT3</f>
        <v/>
      </c>
      <c r="V5">
        <f>K!AV3/Y!AU3</f>
        <v/>
      </c>
      <c r="W5">
        <f>K!AW3/Y!AV3</f>
        <v/>
      </c>
      <c r="X5">
        <f>K!AX3/Y!AW3</f>
        <v/>
      </c>
      <c r="Y5">
        <f>K!AY3/Y!AX3</f>
        <v/>
      </c>
      <c r="Z5">
        <f>K!AZ3/Y!AY3</f>
        <v/>
      </c>
      <c r="AA5">
        <f>K!BA3/Y!AZ3</f>
        <v/>
      </c>
      <c r="AB5">
        <f>K!BB3/Y!BA3</f>
        <v/>
      </c>
      <c r="AC5">
        <f>K!BC3/Y!BB3</f>
        <v/>
      </c>
      <c r="AD5">
        <f>K!BD3/Y!BC3</f>
        <v/>
      </c>
      <c r="AE5">
        <f>K!BE3/Y!BD3</f>
        <v/>
      </c>
      <c r="AF5">
        <f>K!BF3/Y!BE3</f>
        <v/>
      </c>
    </row>
    <row r="6">
      <c r="B6" s="4" t="inlineStr">
        <is>
          <t>Resten af økonomien</t>
        </is>
      </c>
      <c r="C6">
        <f>K!AC4/Y!AB4</f>
        <v/>
      </c>
      <c r="D6">
        <f>K!AD4/Y!AC4</f>
        <v/>
      </c>
      <c r="E6">
        <f>K!AE4/Y!AD4</f>
        <v/>
      </c>
      <c r="F6">
        <f>K!AF4/Y!AE4</f>
        <v/>
      </c>
      <c r="G6">
        <f>K!AG4/Y!AF4</f>
        <v/>
      </c>
      <c r="H6">
        <f>K!AH4/Y!AG4</f>
        <v/>
      </c>
      <c r="I6">
        <f>K!AI4/Y!AH4</f>
        <v/>
      </c>
      <c r="J6">
        <f>K!AJ4/Y!AI4</f>
        <v/>
      </c>
      <c r="K6">
        <f>K!AK4/Y!AJ4</f>
        <v/>
      </c>
      <c r="L6">
        <f>K!AL4/Y!AK4</f>
        <v/>
      </c>
      <c r="M6">
        <f>K!AM4/Y!AL4</f>
        <v/>
      </c>
      <c r="N6">
        <f>K!AN4/Y!AM4</f>
        <v/>
      </c>
      <c r="O6">
        <f>K!AO4/Y!AN4</f>
        <v/>
      </c>
      <c r="P6">
        <f>K!AP4/Y!AO4</f>
        <v/>
      </c>
      <c r="Q6">
        <f>K!AQ4/Y!AP4</f>
        <v/>
      </c>
      <c r="R6">
        <f>K!AR4/Y!AQ4</f>
        <v/>
      </c>
      <c r="S6">
        <f>K!AS4/Y!AR4</f>
        <v/>
      </c>
      <c r="T6">
        <f>K!AT4/Y!AS4</f>
        <v/>
      </c>
      <c r="U6">
        <f>K!AU4/Y!AT4</f>
        <v/>
      </c>
      <c r="V6">
        <f>K!AV4/Y!AU4</f>
        <v/>
      </c>
      <c r="W6">
        <f>K!AW4/Y!AV4</f>
        <v/>
      </c>
      <c r="X6">
        <f>K!AX4/Y!AW4</f>
        <v/>
      </c>
      <c r="Y6">
        <f>K!AY4/Y!AX4</f>
        <v/>
      </c>
      <c r="Z6">
        <f>K!AZ4/Y!AY4</f>
        <v/>
      </c>
      <c r="AA6">
        <f>K!BA4/Y!AZ4</f>
        <v/>
      </c>
      <c r="AB6">
        <f>K!BB4/Y!BA4</f>
        <v/>
      </c>
      <c r="AC6">
        <f>K!BC4/Y!BB4</f>
        <v/>
      </c>
      <c r="AD6">
        <f>K!BD4/Y!BC4</f>
        <v/>
      </c>
      <c r="AE6">
        <f>K!BE4/Y!BD4</f>
        <v/>
      </c>
      <c r="AF6">
        <f>K!BF4/Y!BE4</f>
        <v/>
      </c>
    </row>
    <row r="7" customFormat="1" s="1"/>
    <row r="8" ht="15" customHeight="1" s="6">
      <c r="B8" t="inlineStr">
        <is>
          <t>Arbejdskraft-output-ratio (L/Y)</t>
        </is>
      </c>
      <c r="C8" s="4" t="n">
        <v>1993</v>
      </c>
      <c r="D8" s="4" t="n">
        <v>1994</v>
      </c>
      <c r="E8" s="4" t="n">
        <v>1995</v>
      </c>
      <c r="F8" s="4" t="n">
        <v>1996</v>
      </c>
      <c r="G8" s="4" t="n">
        <v>1997</v>
      </c>
      <c r="H8" s="4" t="n">
        <v>1998</v>
      </c>
      <c r="I8" s="4" t="n">
        <v>1999</v>
      </c>
      <c r="J8" s="4" t="n">
        <v>2000</v>
      </c>
      <c r="K8" s="4" t="n">
        <v>2001</v>
      </c>
      <c r="L8" s="4" t="n">
        <v>2002</v>
      </c>
      <c r="M8" s="4" t="n">
        <v>2003</v>
      </c>
      <c r="N8" s="4" t="n">
        <v>2004</v>
      </c>
      <c r="O8" s="4" t="n">
        <v>2005</v>
      </c>
      <c r="P8" s="4" t="n">
        <v>2006</v>
      </c>
      <c r="Q8" s="4" t="n">
        <v>2007</v>
      </c>
      <c r="R8" s="4" t="n">
        <v>2008</v>
      </c>
      <c r="S8" s="4" t="n">
        <v>2009</v>
      </c>
      <c r="T8" s="4" t="n">
        <v>2010</v>
      </c>
      <c r="U8" s="4" t="n">
        <v>2011</v>
      </c>
      <c r="V8" s="4" t="n">
        <v>2012</v>
      </c>
      <c r="W8" s="4" t="n">
        <v>2013</v>
      </c>
      <c r="X8" s="4" t="n">
        <v>2014</v>
      </c>
      <c r="Y8" s="4" t="n">
        <v>2015</v>
      </c>
      <c r="Z8" s="4" t="n">
        <v>2016</v>
      </c>
      <c r="AA8" s="4" t="n">
        <v>2017</v>
      </c>
      <c r="AB8" s="4" t="n">
        <v>2018</v>
      </c>
      <c r="AC8" s="4" t="n">
        <v>2019</v>
      </c>
      <c r="AD8" s="4" t="n">
        <v>2020</v>
      </c>
      <c r="AE8" s="4" t="n">
        <v>2021</v>
      </c>
      <c r="AF8" s="4" t="n">
        <v>2022</v>
      </c>
    </row>
    <row r="9">
      <c r="B9" s="5" t="inlineStr">
        <is>
          <t>Landbrug</t>
        </is>
      </c>
      <c r="C9">
        <f>L!AC2/Y!AB2</f>
        <v/>
      </c>
      <c r="D9">
        <f>L!AD2/Y!AC2</f>
        <v/>
      </c>
      <c r="E9">
        <f>L!AE2/Y!AD2</f>
        <v/>
      </c>
      <c r="F9">
        <f>L!AF2/Y!AE2</f>
        <v/>
      </c>
      <c r="G9">
        <f>L!AG2/Y!AF2</f>
        <v/>
      </c>
      <c r="H9">
        <f>L!AH2/Y!AG2</f>
        <v/>
      </c>
      <c r="I9">
        <f>L!AI2/Y!AH2</f>
        <v/>
      </c>
      <c r="J9">
        <f>L!AJ2/Y!AI2</f>
        <v/>
      </c>
      <c r="K9">
        <f>L!AK2/Y!AJ2</f>
        <v/>
      </c>
      <c r="L9">
        <f>L!AL2/Y!AK2</f>
        <v/>
      </c>
      <c r="M9">
        <f>L!AM2/Y!AL2</f>
        <v/>
      </c>
      <c r="N9">
        <f>L!AN2/Y!AM2</f>
        <v/>
      </c>
      <c r="O9">
        <f>L!AO2/Y!AN2</f>
        <v/>
      </c>
      <c r="P9">
        <f>L!AP2/Y!AO2</f>
        <v/>
      </c>
      <c r="Q9">
        <f>L!AQ2/Y!AP2</f>
        <v/>
      </c>
      <c r="R9">
        <f>L!AR2/Y!AQ2</f>
        <v/>
      </c>
      <c r="S9">
        <f>L!AS2/Y!AR2</f>
        <v/>
      </c>
      <c r="T9">
        <f>L!AT2/Y!AS2</f>
        <v/>
      </c>
      <c r="U9">
        <f>L!AU2/Y!AT2</f>
        <v/>
      </c>
      <c r="V9">
        <f>L!AV2/Y!AU2</f>
        <v/>
      </c>
      <c r="W9">
        <f>L!AW2/Y!AV2</f>
        <v/>
      </c>
      <c r="X9">
        <f>L!AX2/Y!AW2</f>
        <v/>
      </c>
      <c r="Y9">
        <f>L!AY2/Y!AX2</f>
        <v/>
      </c>
      <c r="Z9">
        <f>L!AZ2/Y!AY2</f>
        <v/>
      </c>
      <c r="AA9">
        <f>L!BA2/Y!AZ2</f>
        <v/>
      </c>
      <c r="AB9">
        <f>L!BB2/Y!BA2</f>
        <v/>
      </c>
      <c r="AC9">
        <f>L!BC2/Y!BB2</f>
        <v/>
      </c>
      <c r="AD9">
        <f>L!BD2/Y!BC2</f>
        <v/>
      </c>
      <c r="AE9">
        <f>L!BE2/Y!BD2</f>
        <v/>
      </c>
      <c r="AF9">
        <f>L!BF2/Y!BE2</f>
        <v/>
      </c>
    </row>
    <row r="10">
      <c r="B10" s="5" t="inlineStr">
        <is>
          <t>Føde- drikke og tobaksvareindustri</t>
        </is>
      </c>
      <c r="C10">
        <f>L!AC3/Y!AB3</f>
        <v/>
      </c>
      <c r="D10">
        <f>L!AD3/Y!AC3</f>
        <v/>
      </c>
      <c r="E10">
        <f>L!AE3/Y!AD3</f>
        <v/>
      </c>
      <c r="F10">
        <f>L!AF3/Y!AE3</f>
        <v/>
      </c>
      <c r="G10">
        <f>L!AG3/Y!AF3</f>
        <v/>
      </c>
      <c r="H10">
        <f>L!AH3/Y!AG3</f>
        <v/>
      </c>
      <c r="I10">
        <f>L!AI3/Y!AH3</f>
        <v/>
      </c>
      <c r="J10">
        <f>L!AJ3/Y!AI3</f>
        <v/>
      </c>
      <c r="K10">
        <f>L!AK3/Y!AJ3</f>
        <v/>
      </c>
      <c r="L10">
        <f>L!AL3/Y!AK3</f>
        <v/>
      </c>
      <c r="M10">
        <f>L!AM3/Y!AL3</f>
        <v/>
      </c>
      <c r="N10">
        <f>L!AN3/Y!AM3</f>
        <v/>
      </c>
      <c r="O10">
        <f>L!AO3/Y!AN3</f>
        <v/>
      </c>
      <c r="P10">
        <f>L!AP3/Y!AO3</f>
        <v/>
      </c>
      <c r="Q10">
        <f>L!AQ3/Y!AP3</f>
        <v/>
      </c>
      <c r="R10">
        <f>L!AR3/Y!AQ3</f>
        <v/>
      </c>
      <c r="S10">
        <f>L!AS3/Y!AR3</f>
        <v/>
      </c>
      <c r="T10">
        <f>L!AT3/Y!AS3</f>
        <v/>
      </c>
      <c r="U10">
        <f>L!AU3/Y!AT3</f>
        <v/>
      </c>
      <c r="V10">
        <f>L!AV3/Y!AU3</f>
        <v/>
      </c>
      <c r="W10">
        <f>L!AW3/Y!AV3</f>
        <v/>
      </c>
      <c r="X10">
        <f>L!AX3/Y!AW3</f>
        <v/>
      </c>
      <c r="Y10">
        <f>L!AY3/Y!AX3</f>
        <v/>
      </c>
      <c r="Z10">
        <f>L!AZ3/Y!AY3</f>
        <v/>
      </c>
      <c r="AA10">
        <f>L!BA3/Y!AZ3</f>
        <v/>
      </c>
      <c r="AB10">
        <f>L!BB3/Y!BA3</f>
        <v/>
      </c>
      <c r="AC10">
        <f>L!BC3/Y!BB3</f>
        <v/>
      </c>
      <c r="AD10">
        <f>L!BD3/Y!BC3</f>
        <v/>
      </c>
      <c r="AE10">
        <f>L!BE3/Y!BD3</f>
        <v/>
      </c>
      <c r="AF10">
        <f>L!BF3/Y!BE3</f>
        <v/>
      </c>
    </row>
    <row r="11">
      <c r="B11" s="4" t="inlineStr">
        <is>
          <t>Resten af økonomien</t>
        </is>
      </c>
      <c r="C11">
        <f>L!AC4/Y!AB4</f>
        <v/>
      </c>
      <c r="D11">
        <f>L!AD4/Y!AC4</f>
        <v/>
      </c>
      <c r="E11">
        <f>L!AE4/Y!AD4</f>
        <v/>
      </c>
      <c r="F11">
        <f>L!AF4/Y!AE4</f>
        <v/>
      </c>
      <c r="G11">
        <f>L!AG4/Y!AF4</f>
        <v/>
      </c>
      <c r="H11">
        <f>L!AH4/Y!AG4</f>
        <v/>
      </c>
      <c r="I11">
        <f>L!AI4/Y!AH4</f>
        <v/>
      </c>
      <c r="J11">
        <f>L!AJ4/Y!AI4</f>
        <v/>
      </c>
      <c r="K11">
        <f>L!AK4/Y!AJ4</f>
        <v/>
      </c>
      <c r="L11">
        <f>L!AL4/Y!AK4</f>
        <v/>
      </c>
      <c r="M11">
        <f>L!AM4/Y!AL4</f>
        <v/>
      </c>
      <c r="N11">
        <f>L!AN4/Y!AM4</f>
        <v/>
      </c>
      <c r="O11">
        <f>L!AO4/Y!AN4</f>
        <v/>
      </c>
      <c r="P11">
        <f>L!AP4/Y!AO4</f>
        <v/>
      </c>
      <c r="Q11">
        <f>L!AQ4/Y!AP4</f>
        <v/>
      </c>
      <c r="R11">
        <f>L!AR4/Y!AQ4</f>
        <v/>
      </c>
      <c r="S11">
        <f>L!AS4/Y!AR4</f>
        <v/>
      </c>
      <c r="T11">
        <f>L!AT4/Y!AS4</f>
        <v/>
      </c>
      <c r="U11">
        <f>L!AU4/Y!AT4</f>
        <v/>
      </c>
      <c r="V11">
        <f>L!AV4/Y!AU4</f>
        <v/>
      </c>
      <c r="W11">
        <f>L!AW4/Y!AV4</f>
        <v/>
      </c>
      <c r="X11">
        <f>L!AX4/Y!AW4</f>
        <v/>
      </c>
      <c r="Y11">
        <f>L!AY4/Y!AX4</f>
        <v/>
      </c>
      <c r="Z11">
        <f>L!AZ4/Y!AY4</f>
        <v/>
      </c>
      <c r="AA11">
        <f>L!BA4/Y!AZ4</f>
        <v/>
      </c>
      <c r="AB11">
        <f>L!BB4/Y!BA4</f>
        <v/>
      </c>
      <c r="AC11">
        <f>L!BC4/Y!BB4</f>
        <v/>
      </c>
      <c r="AD11">
        <f>L!BD4/Y!BC4</f>
        <v/>
      </c>
      <c r="AE11">
        <f>L!BE4/Y!BD4</f>
        <v/>
      </c>
      <c r="AF11">
        <f>L!BF4/Y!BE4</f>
        <v/>
      </c>
    </row>
    <row r="12" customFormat="1" s="1"/>
    <row r="13" ht="15" customHeight="1" s="6">
      <c r="B13" t="inlineStr">
        <is>
          <t>Materiale-output-ratio (Mtot/Y)</t>
        </is>
      </c>
      <c r="C13" s="4" t="n">
        <v>1993</v>
      </c>
      <c r="D13" s="4" t="n">
        <v>1994</v>
      </c>
      <c r="E13" s="4" t="n">
        <v>1995</v>
      </c>
      <c r="F13" s="4" t="n">
        <v>1996</v>
      </c>
      <c r="G13" s="4" t="n">
        <v>1997</v>
      </c>
      <c r="H13" s="4" t="n">
        <v>1998</v>
      </c>
      <c r="I13" s="4" t="n">
        <v>1999</v>
      </c>
      <c r="J13" s="4" t="n">
        <v>2000</v>
      </c>
      <c r="K13" s="4" t="n">
        <v>2001</v>
      </c>
      <c r="L13" s="4" t="n">
        <v>2002</v>
      </c>
      <c r="M13" s="4" t="n">
        <v>2003</v>
      </c>
      <c r="N13" s="4" t="n">
        <v>2004</v>
      </c>
      <c r="O13" s="4" t="n">
        <v>2005</v>
      </c>
      <c r="P13" s="4" t="n">
        <v>2006</v>
      </c>
      <c r="Q13" s="4" t="n">
        <v>2007</v>
      </c>
      <c r="R13" s="4" t="n">
        <v>2008</v>
      </c>
      <c r="S13" s="4" t="n">
        <v>2009</v>
      </c>
      <c r="T13" s="4" t="n">
        <v>2010</v>
      </c>
      <c r="U13" s="4" t="n">
        <v>2011</v>
      </c>
      <c r="V13" s="4" t="n">
        <v>2012</v>
      </c>
      <c r="W13" s="4" t="n">
        <v>2013</v>
      </c>
      <c r="X13" s="4" t="n">
        <v>2014</v>
      </c>
      <c r="Y13" s="4" t="n">
        <v>2015</v>
      </c>
      <c r="Z13" s="4" t="n">
        <v>2016</v>
      </c>
      <c r="AA13" s="4" t="n">
        <v>2017</v>
      </c>
      <c r="AB13" s="4" t="n">
        <v>2018</v>
      </c>
      <c r="AC13" s="4" t="n">
        <v>2019</v>
      </c>
      <c r="AD13" s="4" t="n">
        <v>2020</v>
      </c>
      <c r="AE13" s="4" t="n">
        <v>2021</v>
      </c>
      <c r="AF13" s="4" t="n">
        <v>2022</v>
      </c>
    </row>
    <row r="14">
      <c r="B14" s="5" t="inlineStr">
        <is>
          <t>Landbrug</t>
        </is>
      </c>
      <c r="C14">
        <f>Mtot!AB2/Y!AB2</f>
        <v/>
      </c>
      <c r="D14">
        <f>Mtot!AC2/Y!AC2</f>
        <v/>
      </c>
      <c r="E14">
        <f>Mtot!AD2/Y!AD2</f>
        <v/>
      </c>
      <c r="F14">
        <f>Mtot!AE2/Y!AE2</f>
        <v/>
      </c>
      <c r="G14">
        <f>Mtot!AF2/Y!AF2</f>
        <v/>
      </c>
      <c r="H14">
        <f>Mtot!AG2/Y!AG2</f>
        <v/>
      </c>
      <c r="I14">
        <f>Mtot!AH2/Y!AH2</f>
        <v/>
      </c>
      <c r="J14">
        <f>Mtot!AI2/Y!AI2</f>
        <v/>
      </c>
      <c r="K14">
        <f>Mtot!AJ2/Y!AJ2</f>
        <v/>
      </c>
      <c r="L14">
        <f>Mtot!AK2/Y!AK2</f>
        <v/>
      </c>
      <c r="M14">
        <f>Mtot!AL2/Y!AL2</f>
        <v/>
      </c>
      <c r="N14">
        <f>Mtot!AM2/Y!AM2</f>
        <v/>
      </c>
      <c r="O14">
        <f>Mtot!AN2/Y!AN2</f>
        <v/>
      </c>
      <c r="P14">
        <f>Mtot!AO2/Y!AO2</f>
        <v/>
      </c>
      <c r="Q14">
        <f>Mtot!AP2/Y!AP2</f>
        <v/>
      </c>
      <c r="R14">
        <f>Mtot!AQ2/Y!AQ2</f>
        <v/>
      </c>
      <c r="S14">
        <f>Mtot!AR2/Y!AR2</f>
        <v/>
      </c>
      <c r="T14">
        <f>Mtot!AS2/Y!AS2</f>
        <v/>
      </c>
      <c r="U14">
        <f>Mtot!AT2/Y!AT2</f>
        <v/>
      </c>
      <c r="V14">
        <f>Mtot!AU2/Y!AU2</f>
        <v/>
      </c>
      <c r="W14">
        <f>Mtot!AV2/Y!AV2</f>
        <v/>
      </c>
      <c r="X14">
        <f>Mtot!AW2/Y!AW2</f>
        <v/>
      </c>
      <c r="Y14">
        <f>Mtot!AX2/Y!AX2</f>
        <v/>
      </c>
      <c r="Z14">
        <f>Mtot!AY2/Y!AY2</f>
        <v/>
      </c>
      <c r="AA14">
        <f>Mtot!AZ2/Y!AZ2</f>
        <v/>
      </c>
      <c r="AB14">
        <f>Mtot!BA2/Y!BA2</f>
        <v/>
      </c>
      <c r="AC14">
        <f>Mtot!BB2/Y!BB2</f>
        <v/>
      </c>
      <c r="AD14">
        <f>Mtot!BC2/Y!BC2</f>
        <v/>
      </c>
      <c r="AE14">
        <f>Mtot!BD2/Y!BD2</f>
        <v/>
      </c>
      <c r="AF14">
        <f>Mtot!BE2/Y!BE2</f>
        <v/>
      </c>
    </row>
    <row r="15">
      <c r="B15" s="5" t="inlineStr">
        <is>
          <t>Føde- drikke og tobaksvareindustri</t>
        </is>
      </c>
      <c r="C15">
        <f>Mtot!AB3/Y!AB3</f>
        <v/>
      </c>
      <c r="D15">
        <f>Mtot!AC3/Y!AC3</f>
        <v/>
      </c>
      <c r="E15">
        <f>Mtot!AD3/Y!AD3</f>
        <v/>
      </c>
      <c r="F15">
        <f>Mtot!AE3/Y!AE3</f>
        <v/>
      </c>
      <c r="G15">
        <f>Mtot!AF3/Y!AF3</f>
        <v/>
      </c>
      <c r="H15">
        <f>Mtot!AG3/Y!AG3</f>
        <v/>
      </c>
      <c r="I15">
        <f>Mtot!AH3/Y!AH3</f>
        <v/>
      </c>
      <c r="J15">
        <f>Mtot!AI3/Y!AI3</f>
        <v/>
      </c>
      <c r="K15">
        <f>Mtot!AJ3/Y!AJ3</f>
        <v/>
      </c>
      <c r="L15">
        <f>Mtot!AK3/Y!AK3</f>
        <v/>
      </c>
      <c r="M15">
        <f>Mtot!AL3/Y!AL3</f>
        <v/>
      </c>
      <c r="N15">
        <f>Mtot!AM3/Y!AM3</f>
        <v/>
      </c>
      <c r="O15">
        <f>Mtot!AN3/Y!AN3</f>
        <v/>
      </c>
      <c r="P15">
        <f>Mtot!AO3/Y!AO3</f>
        <v/>
      </c>
      <c r="Q15">
        <f>Mtot!AP3/Y!AP3</f>
        <v/>
      </c>
      <c r="R15">
        <f>Mtot!AQ3/Y!AQ3</f>
        <v/>
      </c>
      <c r="S15">
        <f>Mtot!AR3/Y!AR3</f>
        <v/>
      </c>
      <c r="T15">
        <f>Mtot!AS3/Y!AS3</f>
        <v/>
      </c>
      <c r="U15">
        <f>Mtot!AT3/Y!AT3</f>
        <v/>
      </c>
      <c r="V15">
        <f>Mtot!AU3/Y!AU3</f>
        <v/>
      </c>
      <c r="W15">
        <f>Mtot!AV3/Y!AV3</f>
        <v/>
      </c>
      <c r="X15">
        <f>Mtot!AW3/Y!AW3</f>
        <v/>
      </c>
      <c r="Y15">
        <f>Mtot!AX3/Y!AX3</f>
        <v/>
      </c>
      <c r="Z15">
        <f>Mtot!AY3/Y!AY3</f>
        <v/>
      </c>
      <c r="AA15">
        <f>Mtot!AZ3/Y!AZ3</f>
        <v/>
      </c>
      <c r="AB15">
        <f>Mtot!BA3/Y!BA3</f>
        <v/>
      </c>
      <c r="AC15">
        <f>Mtot!BB3/Y!BB3</f>
        <v/>
      </c>
      <c r="AD15">
        <f>Mtot!BC3/Y!BC3</f>
        <v/>
      </c>
      <c r="AE15">
        <f>Mtot!BD3/Y!BD3</f>
        <v/>
      </c>
      <c r="AF15">
        <f>Mtot!BE3/Y!BE3</f>
        <v/>
      </c>
    </row>
    <row r="16">
      <c r="B16" s="4" t="inlineStr">
        <is>
          <t>Resten af økonomien</t>
        </is>
      </c>
      <c r="C16">
        <f>Mtot!AB4/Y!AB4</f>
        <v/>
      </c>
      <c r="D16">
        <f>Mtot!AC4/Y!AC4</f>
        <v/>
      </c>
      <c r="E16">
        <f>Mtot!AD4/Y!AD4</f>
        <v/>
      </c>
      <c r="F16">
        <f>Mtot!AE4/Y!AE4</f>
        <v/>
      </c>
      <c r="G16">
        <f>Mtot!AF4/Y!AF4</f>
        <v/>
      </c>
      <c r="H16">
        <f>Mtot!AG4/Y!AG4</f>
        <v/>
      </c>
      <c r="I16">
        <f>Mtot!AH4/Y!AH4</f>
        <v/>
      </c>
      <c r="J16">
        <f>Mtot!AI4/Y!AI4</f>
        <v/>
      </c>
      <c r="K16">
        <f>Mtot!AJ4/Y!AJ4</f>
        <v/>
      </c>
      <c r="L16">
        <f>Mtot!AK4/Y!AK4</f>
        <v/>
      </c>
      <c r="M16">
        <f>Mtot!AL4/Y!AL4</f>
        <v/>
      </c>
      <c r="N16">
        <f>Mtot!AM4/Y!AM4</f>
        <v/>
      </c>
      <c r="O16">
        <f>Mtot!AN4/Y!AN4</f>
        <v/>
      </c>
      <c r="P16">
        <f>Mtot!AO4/Y!AO4</f>
        <v/>
      </c>
      <c r="Q16">
        <f>Mtot!AP4/Y!AP4</f>
        <v/>
      </c>
      <c r="R16">
        <f>Mtot!AQ4/Y!AQ4</f>
        <v/>
      </c>
      <c r="S16">
        <f>Mtot!AR4/Y!AR4</f>
        <v/>
      </c>
      <c r="T16">
        <f>Mtot!AS4/Y!AS4</f>
        <v/>
      </c>
      <c r="U16">
        <f>Mtot!AT4/Y!AT4</f>
        <v/>
      </c>
      <c r="V16">
        <f>Mtot!AU4/Y!AU4</f>
        <v/>
      </c>
      <c r="W16">
        <f>Mtot!AV4/Y!AV4</f>
        <v/>
      </c>
      <c r="X16">
        <f>Mtot!AW4/Y!AW4</f>
        <v/>
      </c>
      <c r="Y16">
        <f>Mtot!AX4/Y!AX4</f>
        <v/>
      </c>
      <c r="Z16">
        <f>Mtot!AY4/Y!AY4</f>
        <v/>
      </c>
      <c r="AA16">
        <f>Mtot!AZ4/Y!AZ4</f>
        <v/>
      </c>
      <c r="AB16">
        <f>Mtot!BA4/Y!BA4</f>
        <v/>
      </c>
      <c r="AC16">
        <f>Mtot!BB4/Y!BB4</f>
        <v/>
      </c>
      <c r="AD16">
        <f>Mtot!BC4/Y!BC4</f>
        <v/>
      </c>
      <c r="AE16">
        <f>Mtot!BD4/Y!BD4</f>
        <v/>
      </c>
      <c r="AF16">
        <f>Mtot!BE4/Y!BE4</f>
        <v/>
      </c>
    </row>
    <row r="17" customFormat="1" s="1"/>
    <row r="18" ht="15" customHeight="1" s="6">
      <c r="B18" t="inlineStr">
        <is>
          <t>Kapital pr arbejdstime (K/L)</t>
        </is>
      </c>
      <c r="C18" s="4" t="n">
        <v>1993</v>
      </c>
      <c r="D18" s="4" t="n">
        <v>1994</v>
      </c>
      <c r="E18" s="4" t="n">
        <v>1995</v>
      </c>
      <c r="F18" s="4" t="n">
        <v>1996</v>
      </c>
      <c r="G18" s="4" t="n">
        <v>1997</v>
      </c>
      <c r="H18" s="4" t="n">
        <v>1998</v>
      </c>
      <c r="I18" s="4" t="n">
        <v>1999</v>
      </c>
      <c r="J18" s="4" t="n">
        <v>2000</v>
      </c>
      <c r="K18" s="4" t="n">
        <v>2001</v>
      </c>
      <c r="L18" s="4" t="n">
        <v>2002</v>
      </c>
      <c r="M18" s="4" t="n">
        <v>2003</v>
      </c>
      <c r="N18" s="4" t="n">
        <v>2004</v>
      </c>
      <c r="O18" s="4" t="n">
        <v>2005</v>
      </c>
      <c r="P18" s="4" t="n">
        <v>2006</v>
      </c>
      <c r="Q18" s="4" t="n">
        <v>2007</v>
      </c>
      <c r="R18" s="4" t="n">
        <v>2008</v>
      </c>
      <c r="S18" s="4" t="n">
        <v>2009</v>
      </c>
      <c r="T18" s="4" t="n">
        <v>2010</v>
      </c>
      <c r="U18" s="4" t="n">
        <v>2011</v>
      </c>
      <c r="V18" s="4" t="n">
        <v>2012</v>
      </c>
      <c r="W18" s="4" t="n">
        <v>2013</v>
      </c>
      <c r="X18" s="4" t="n">
        <v>2014</v>
      </c>
      <c r="Y18" s="4" t="n">
        <v>2015</v>
      </c>
      <c r="Z18" s="4" t="n">
        <v>2016</v>
      </c>
      <c r="AA18" s="4" t="n">
        <v>2017</v>
      </c>
      <c r="AB18" s="4" t="n">
        <v>2018</v>
      </c>
      <c r="AC18" s="4" t="n">
        <v>2019</v>
      </c>
      <c r="AD18" s="4" t="n">
        <v>2020</v>
      </c>
      <c r="AE18" s="4" t="n">
        <v>2021</v>
      </c>
      <c r="AF18" s="4" t="n">
        <v>2022</v>
      </c>
    </row>
    <row r="19">
      <c r="B19" s="5" t="inlineStr">
        <is>
          <t>Landbrug</t>
        </is>
      </c>
      <c r="C19">
        <f>K!AC2/L!AC2</f>
        <v/>
      </c>
      <c r="D19">
        <f>K!AD2/L!AD2</f>
        <v/>
      </c>
      <c r="E19">
        <f>K!AE2/L!AE2</f>
        <v/>
      </c>
      <c r="F19">
        <f>K!AF2/L!AF2</f>
        <v/>
      </c>
      <c r="G19">
        <f>K!AG2/L!AG2</f>
        <v/>
      </c>
      <c r="H19">
        <f>K!AH2/L!AH2</f>
        <v/>
      </c>
      <c r="I19">
        <f>K!AI2/L!AI2</f>
        <v/>
      </c>
      <c r="J19">
        <f>K!AJ2/L!AJ2</f>
        <v/>
      </c>
      <c r="K19">
        <f>K!AK2/L!AK2</f>
        <v/>
      </c>
      <c r="L19">
        <f>K!AL2/L!AL2</f>
        <v/>
      </c>
      <c r="M19">
        <f>K!AM2/L!AM2</f>
        <v/>
      </c>
      <c r="N19">
        <f>K!AN2/L!AN2</f>
        <v/>
      </c>
      <c r="O19">
        <f>K!AO2/L!AO2</f>
        <v/>
      </c>
      <c r="P19">
        <f>K!AP2/L!AP2</f>
        <v/>
      </c>
      <c r="Q19">
        <f>K!AQ2/L!AQ2</f>
        <v/>
      </c>
      <c r="R19">
        <f>K!AR2/L!AR2</f>
        <v/>
      </c>
      <c r="S19">
        <f>K!AS2/L!AS2</f>
        <v/>
      </c>
      <c r="T19">
        <f>K!AT2/L!AT2</f>
        <v/>
      </c>
      <c r="U19">
        <f>K!AU2/L!AU2</f>
        <v/>
      </c>
      <c r="V19">
        <f>K!AV2/L!AV2</f>
        <v/>
      </c>
      <c r="W19">
        <f>K!AW2/L!AW2</f>
        <v/>
      </c>
      <c r="X19">
        <f>K!AX2/L!AX2</f>
        <v/>
      </c>
      <c r="Y19">
        <f>K!AY2/L!AY2</f>
        <v/>
      </c>
      <c r="Z19">
        <f>K!AZ2/L!AZ2</f>
        <v/>
      </c>
      <c r="AA19">
        <f>K!BA2/L!BA2</f>
        <v/>
      </c>
      <c r="AB19">
        <f>K!BB2/L!BB2</f>
        <v/>
      </c>
      <c r="AC19">
        <f>K!BC2/L!BC2</f>
        <v/>
      </c>
      <c r="AD19">
        <f>K!BD2/L!BD2</f>
        <v/>
      </c>
      <c r="AE19">
        <f>K!BE2/L!BE2</f>
        <v/>
      </c>
      <c r="AF19">
        <f>K!BF2/L!BF2</f>
        <v/>
      </c>
    </row>
    <row r="20">
      <c r="B20" s="5" t="inlineStr">
        <is>
          <t>Føde- drikke og tobaksvareindustri</t>
        </is>
      </c>
      <c r="C20">
        <f>K!AC3/L!AC3</f>
        <v/>
      </c>
      <c r="D20">
        <f>K!AD3/L!AD3</f>
        <v/>
      </c>
      <c r="E20">
        <f>K!AE3/L!AE3</f>
        <v/>
      </c>
      <c r="F20">
        <f>K!AF3/L!AF3</f>
        <v/>
      </c>
      <c r="G20">
        <f>K!AG3/L!AG3</f>
        <v/>
      </c>
      <c r="H20">
        <f>K!AH3/L!AH3</f>
        <v/>
      </c>
      <c r="I20">
        <f>K!AI3/L!AI3</f>
        <v/>
      </c>
      <c r="J20">
        <f>K!AJ3/L!AJ3</f>
        <v/>
      </c>
      <c r="K20">
        <f>K!AK3/L!AK3</f>
        <v/>
      </c>
      <c r="L20">
        <f>K!AL3/L!AL3</f>
        <v/>
      </c>
      <c r="M20">
        <f>K!AM3/L!AM3</f>
        <v/>
      </c>
      <c r="N20">
        <f>K!AN3/L!AN3</f>
        <v/>
      </c>
      <c r="O20">
        <f>K!AO3/L!AO3</f>
        <v/>
      </c>
      <c r="P20">
        <f>K!AP3/L!AP3</f>
        <v/>
      </c>
      <c r="Q20">
        <f>K!AQ3/L!AQ3</f>
        <v/>
      </c>
      <c r="R20">
        <f>K!AR3/L!AR3</f>
        <v/>
      </c>
      <c r="S20">
        <f>K!AS3/L!AS3</f>
        <v/>
      </c>
      <c r="T20">
        <f>K!AT3/L!AT3</f>
        <v/>
      </c>
      <c r="U20">
        <f>K!AU3/L!AU3</f>
        <v/>
      </c>
      <c r="V20">
        <f>K!AV3/L!AV3</f>
        <v/>
      </c>
      <c r="W20">
        <f>K!AW3/L!AW3</f>
        <v/>
      </c>
      <c r="X20">
        <f>K!AX3/L!AX3</f>
        <v/>
      </c>
      <c r="Y20">
        <f>K!AY3/L!AY3</f>
        <v/>
      </c>
      <c r="Z20">
        <f>K!AZ3/L!AZ3</f>
        <v/>
      </c>
      <c r="AA20">
        <f>K!BA3/L!BA3</f>
        <v/>
      </c>
      <c r="AB20">
        <f>K!BB3/L!BB3</f>
        <v/>
      </c>
      <c r="AC20">
        <f>K!BC3/L!BC3</f>
        <v/>
      </c>
      <c r="AD20">
        <f>K!BD3/L!BD3</f>
        <v/>
      </c>
      <c r="AE20">
        <f>K!BE3/L!BE3</f>
        <v/>
      </c>
      <c r="AF20">
        <f>K!BF3/L!BF3</f>
        <v/>
      </c>
    </row>
    <row r="21">
      <c r="B21" s="4" t="inlineStr">
        <is>
          <t>Resten af økonomien</t>
        </is>
      </c>
      <c r="C21">
        <f>K!AC4/L!AC4</f>
        <v/>
      </c>
      <c r="D21">
        <f>K!AD4/L!AD4</f>
        <v/>
      </c>
      <c r="E21">
        <f>K!AE4/L!AE4</f>
        <v/>
      </c>
      <c r="F21">
        <f>K!AF4/L!AF4</f>
        <v/>
      </c>
      <c r="G21">
        <f>K!AG4/L!AG4</f>
        <v/>
      </c>
      <c r="H21">
        <f>K!AH4/L!AH4</f>
        <v/>
      </c>
      <c r="I21">
        <f>K!AI4/L!AI4</f>
        <v/>
      </c>
      <c r="J21">
        <f>K!AJ4/L!AJ4</f>
        <v/>
      </c>
      <c r="K21">
        <f>K!AK4/L!AK4</f>
        <v/>
      </c>
      <c r="L21">
        <f>K!AL4/L!AL4</f>
        <v/>
      </c>
      <c r="M21">
        <f>K!AM4/L!AM4</f>
        <v/>
      </c>
      <c r="N21">
        <f>K!AN4/L!AN4</f>
        <v/>
      </c>
      <c r="O21">
        <f>K!AO4/L!AO4</f>
        <v/>
      </c>
      <c r="P21">
        <f>K!AP4/L!AP4</f>
        <v/>
      </c>
      <c r="Q21">
        <f>K!AQ4/L!AQ4</f>
        <v/>
      </c>
      <c r="R21">
        <f>K!AR4/L!AR4</f>
        <v/>
      </c>
      <c r="S21">
        <f>K!AS4/L!AS4</f>
        <v/>
      </c>
      <c r="T21">
        <f>K!AT4/L!AT4</f>
        <v/>
      </c>
      <c r="U21">
        <f>K!AU4/L!AU4</f>
        <v/>
      </c>
      <c r="V21">
        <f>K!AV4/L!AV4</f>
        <v/>
      </c>
      <c r="W21">
        <f>K!AW4/L!AW4</f>
        <v/>
      </c>
      <c r="X21">
        <f>K!AX4/L!AX4</f>
        <v/>
      </c>
      <c r="Y21">
        <f>K!AY4/L!AY4</f>
        <v/>
      </c>
      <c r="Z21">
        <f>K!AZ4/L!AZ4</f>
        <v/>
      </c>
      <c r="AA21">
        <f>K!BA4/L!BA4</f>
        <v/>
      </c>
      <c r="AB21">
        <f>K!BB4/L!BB4</f>
        <v/>
      </c>
      <c r="AC21">
        <f>K!BC4/L!BC4</f>
        <v/>
      </c>
      <c r="AD21">
        <f>K!BD4/L!BD4</f>
        <v/>
      </c>
      <c r="AE21">
        <f>K!BE4/L!BE4</f>
        <v/>
      </c>
      <c r="AF21">
        <f>K!BF4/L!BF4</f>
        <v/>
      </c>
    </row>
    <row r="23">
      <c r="B23" t="inlineStr">
        <is>
          <t>Produktionsværdi (mio.kr.)</t>
        </is>
      </c>
      <c r="C23" s="4" t="n">
        <v>1993</v>
      </c>
      <c r="D23" s="4" t="n">
        <v>1994</v>
      </c>
      <c r="E23" s="4" t="n">
        <v>1995</v>
      </c>
      <c r="F23" s="4" t="n">
        <v>1996</v>
      </c>
      <c r="G23" s="4" t="n">
        <v>1997</v>
      </c>
      <c r="H23" s="4" t="n">
        <v>1998</v>
      </c>
      <c r="I23" s="4" t="n">
        <v>1999</v>
      </c>
      <c r="J23" s="4" t="n">
        <v>2000</v>
      </c>
      <c r="K23" s="4" t="n">
        <v>2001</v>
      </c>
      <c r="L23" s="4" t="n">
        <v>2002</v>
      </c>
      <c r="M23" s="4" t="n">
        <v>2003</v>
      </c>
      <c r="N23" s="4" t="n">
        <v>2004</v>
      </c>
      <c r="O23" s="4" t="n">
        <v>2005</v>
      </c>
      <c r="P23" s="4" t="n">
        <v>2006</v>
      </c>
      <c r="Q23" s="4" t="n">
        <v>2007</v>
      </c>
      <c r="R23" s="4" t="n">
        <v>2008</v>
      </c>
      <c r="S23" s="4" t="n">
        <v>2009</v>
      </c>
      <c r="T23" s="4" t="n">
        <v>2010</v>
      </c>
      <c r="U23" s="4" t="n">
        <v>2011</v>
      </c>
      <c r="V23" s="4" t="n">
        <v>2012</v>
      </c>
      <c r="W23" s="4" t="n">
        <v>2013</v>
      </c>
      <c r="X23" s="4" t="n">
        <v>2014</v>
      </c>
      <c r="Y23" s="4" t="n">
        <v>2015</v>
      </c>
      <c r="Z23" s="4" t="n">
        <v>2016</v>
      </c>
      <c r="AA23" s="4" t="n">
        <v>2017</v>
      </c>
      <c r="AB23" s="4" t="n">
        <v>2018</v>
      </c>
      <c r="AC23" s="4" t="n">
        <v>2019</v>
      </c>
      <c r="AD23" s="4" t="n">
        <v>2020</v>
      </c>
      <c r="AE23" s="4" t="n">
        <v>2021</v>
      </c>
      <c r="AF23" s="4" t="n">
        <v>2022</v>
      </c>
    </row>
    <row r="24">
      <c r="B24" s="5" t="inlineStr">
        <is>
          <t>Landbrug</t>
        </is>
      </c>
      <c r="C24">
        <f>Y!AB2*P!AB2</f>
        <v/>
      </c>
      <c r="D24">
        <f>Y!AC2*P!AC2</f>
        <v/>
      </c>
      <c r="E24">
        <f>Y!AD2*P!AD2</f>
        <v/>
      </c>
      <c r="F24">
        <f>Y!AE2*P!AE2</f>
        <v/>
      </c>
      <c r="G24">
        <f>Y!AF2*P!AF2</f>
        <v/>
      </c>
      <c r="H24">
        <f>Y!AG2*P!AG2</f>
        <v/>
      </c>
      <c r="I24">
        <f>Y!AH2*P!AH2</f>
        <v/>
      </c>
      <c r="J24">
        <f>Y!AI2*P!AI2</f>
        <v/>
      </c>
      <c r="K24">
        <f>Y!AJ2*P!AJ2</f>
        <v/>
      </c>
      <c r="L24">
        <f>Y!AK2*P!AK2</f>
        <v/>
      </c>
      <c r="M24">
        <f>Y!AL2*P!AL2</f>
        <v/>
      </c>
      <c r="N24">
        <f>Y!AM2*P!AM2</f>
        <v/>
      </c>
      <c r="O24">
        <f>Y!AN2*P!AN2</f>
        <v/>
      </c>
      <c r="P24">
        <f>Y!AO2*P!AO2</f>
        <v/>
      </c>
      <c r="Q24">
        <f>Y!AP2*P!AP2</f>
        <v/>
      </c>
      <c r="R24">
        <f>Y!AQ2*P!AQ2</f>
        <v/>
      </c>
      <c r="S24">
        <f>Y!AR2*P!AR2</f>
        <v/>
      </c>
      <c r="T24">
        <f>Y!AS2*P!AS2</f>
        <v/>
      </c>
      <c r="U24">
        <f>Y!AT2*P!AT2</f>
        <v/>
      </c>
      <c r="V24">
        <f>Y!AU2*P!AU2</f>
        <v/>
      </c>
      <c r="W24">
        <f>Y!AV2*P!AV2</f>
        <v/>
      </c>
      <c r="X24">
        <f>Y!AW2*P!AW2</f>
        <v/>
      </c>
      <c r="Y24">
        <f>Y!AX2*P!AX2</f>
        <v/>
      </c>
      <c r="Z24">
        <f>Y!AY2*P!AY2</f>
        <v/>
      </c>
      <c r="AA24">
        <f>Y!AZ2*P!AZ2</f>
        <v/>
      </c>
      <c r="AB24">
        <f>Y!BA2*P!BA2</f>
        <v/>
      </c>
      <c r="AC24">
        <f>Y!BB2*P!BB2</f>
        <v/>
      </c>
      <c r="AD24">
        <f>Y!BC2*P!BC2</f>
        <v/>
      </c>
      <c r="AE24">
        <f>Y!BD2*P!BD2</f>
        <v/>
      </c>
      <c r="AF24">
        <f>Y!BE2*P!BE2</f>
        <v/>
      </c>
    </row>
    <row r="25">
      <c r="B25" s="5" t="inlineStr">
        <is>
          <t>Føde- drikke og tobaksvareindustri</t>
        </is>
      </c>
      <c r="C25">
        <f>Y!AB3*P!AB3</f>
        <v/>
      </c>
      <c r="D25">
        <f>Y!AC3*P!AC3</f>
        <v/>
      </c>
      <c r="E25">
        <f>Y!AD3*P!AD3</f>
        <v/>
      </c>
      <c r="F25">
        <f>Y!AE3*P!AE3</f>
        <v/>
      </c>
      <c r="G25">
        <f>Y!AF3*P!AF3</f>
        <v/>
      </c>
      <c r="H25">
        <f>Y!AG3*P!AG3</f>
        <v/>
      </c>
      <c r="I25">
        <f>Y!AH3*P!AH3</f>
        <v/>
      </c>
      <c r="J25">
        <f>Y!AI3*P!AI3</f>
        <v/>
      </c>
      <c r="K25">
        <f>Y!AJ3*P!AJ3</f>
        <v/>
      </c>
      <c r="L25">
        <f>Y!AK3*P!AK3</f>
        <v/>
      </c>
      <c r="M25">
        <f>Y!AL3*P!AL3</f>
        <v/>
      </c>
      <c r="N25">
        <f>Y!AM3*P!AM3</f>
        <v/>
      </c>
      <c r="O25">
        <f>Y!AN3*P!AN3</f>
        <v/>
      </c>
      <c r="P25">
        <f>Y!AO3*P!AO3</f>
        <v/>
      </c>
      <c r="Q25">
        <f>Y!AP3*P!AP3</f>
        <v/>
      </c>
      <c r="R25">
        <f>Y!AQ3*P!AQ3</f>
        <v/>
      </c>
      <c r="S25">
        <f>Y!AR3*P!AR3</f>
        <v/>
      </c>
      <c r="T25">
        <f>Y!AS3*P!AS3</f>
        <v/>
      </c>
      <c r="U25">
        <f>Y!AT3*P!AT3</f>
        <v/>
      </c>
      <c r="V25">
        <f>Y!AU3*P!AU3</f>
        <v/>
      </c>
      <c r="W25">
        <f>Y!AV3*P!AV3</f>
        <v/>
      </c>
      <c r="X25">
        <f>Y!AW3*P!AW3</f>
        <v/>
      </c>
      <c r="Y25">
        <f>Y!AX3*P!AX3</f>
        <v/>
      </c>
      <c r="Z25">
        <f>Y!AY3*P!AY3</f>
        <v/>
      </c>
      <c r="AA25">
        <f>Y!AZ3*P!AZ3</f>
        <v/>
      </c>
      <c r="AB25">
        <f>Y!BA3*P!BA3</f>
        <v/>
      </c>
      <c r="AC25">
        <f>Y!BB3*P!BB3</f>
        <v/>
      </c>
      <c r="AD25">
        <f>Y!BC3*P!BC3</f>
        <v/>
      </c>
      <c r="AE25">
        <f>Y!BD3*P!BD3</f>
        <v/>
      </c>
      <c r="AF25">
        <f>Y!BE3*P!BE3</f>
        <v/>
      </c>
    </row>
    <row r="26">
      <c r="B26" s="4" t="inlineStr">
        <is>
          <t>Resten af økonomien</t>
        </is>
      </c>
      <c r="C26">
        <f>Y!AB4*P!AB4</f>
        <v/>
      </c>
      <c r="D26">
        <f>Y!AC4*P!AC4</f>
        <v/>
      </c>
      <c r="E26">
        <f>Y!AD4*P!AD4</f>
        <v/>
      </c>
      <c r="F26">
        <f>Y!AE4*P!AE4</f>
        <v/>
      </c>
      <c r="G26">
        <f>Y!AF4*P!AF4</f>
        <v/>
      </c>
      <c r="H26">
        <f>Y!AG4*P!AG4</f>
        <v/>
      </c>
      <c r="I26">
        <f>Y!AH4*P!AH4</f>
        <v/>
      </c>
      <c r="J26">
        <f>Y!AI4*P!AI4</f>
        <v/>
      </c>
      <c r="K26">
        <f>Y!AJ4*P!AJ4</f>
        <v/>
      </c>
      <c r="L26">
        <f>Y!AK4*P!AK4</f>
        <v/>
      </c>
      <c r="M26">
        <f>Y!AL4*P!AL4</f>
        <v/>
      </c>
      <c r="N26">
        <f>Y!AM4*P!AM4</f>
        <v/>
      </c>
      <c r="O26">
        <f>Y!AN4*P!AN4</f>
        <v/>
      </c>
      <c r="P26">
        <f>Y!AO4*P!AO4</f>
        <v/>
      </c>
      <c r="Q26">
        <f>Y!AP4*P!AP4</f>
        <v/>
      </c>
      <c r="R26">
        <f>Y!AQ4*P!AQ4</f>
        <v/>
      </c>
      <c r="S26">
        <f>Y!AR4*P!AR4</f>
        <v/>
      </c>
      <c r="T26">
        <f>Y!AS4*P!AS4</f>
        <v/>
      </c>
      <c r="U26">
        <f>Y!AT4*P!AT4</f>
        <v/>
      </c>
      <c r="V26">
        <f>Y!AU4*P!AU4</f>
        <v/>
      </c>
      <c r="W26">
        <f>Y!AV4*P!AV4</f>
        <v/>
      </c>
      <c r="X26">
        <f>Y!AW4*P!AW4</f>
        <v/>
      </c>
      <c r="Y26">
        <f>Y!AX4*P!AX4</f>
        <v/>
      </c>
      <c r="Z26">
        <f>Y!AY4*P!AY4</f>
        <v/>
      </c>
      <c r="AA26">
        <f>Y!AZ4*P!AZ4</f>
        <v/>
      </c>
      <c r="AB26">
        <f>Y!BA4*P!BA4</f>
        <v/>
      </c>
      <c r="AC26">
        <f>Y!BB4*P!BB4</f>
        <v/>
      </c>
      <c r="AD26">
        <f>Y!BC4*P!BC4</f>
        <v/>
      </c>
      <c r="AE26">
        <f>Y!BD4*P!BD4</f>
        <v/>
      </c>
      <c r="AF26">
        <f>Y!BE4*P!BE4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tabSelected="1" workbookViewId="0">
      <selection activeCell="B11" sqref="B11"/>
    </sheetView>
  </sheetViews>
  <sheetFormatPr baseColWidth="8" defaultRowHeight="14.25"/>
  <cols>
    <col width="11.875" bestFit="1" customWidth="1" style="6" min="2" max="2"/>
    <col width="11.875" bestFit="1" customWidth="1" style="6" min="28" max="28"/>
    <col width="10.875" bestFit="1" customWidth="1" style="6" min="30" max="30"/>
  </cols>
  <sheetData>
    <row r="1" ht="15" customHeight="1" s="6">
      <c r="A1" s="7" t="inlineStr">
        <is>
          <t>ANVENDELSE</t>
        </is>
      </c>
      <c r="B1" s="7" t="n">
        <v>1993</v>
      </c>
      <c r="C1" s="7" t="n">
        <v>1994</v>
      </c>
      <c r="D1" s="7" t="n">
        <v>1995</v>
      </c>
      <c r="E1" s="7" t="n">
        <v>1996</v>
      </c>
      <c r="F1" s="7" t="n">
        <v>1997</v>
      </c>
      <c r="G1" s="7" t="n">
        <v>1998</v>
      </c>
      <c r="H1" s="7" t="n">
        <v>1999</v>
      </c>
      <c r="I1" s="7" t="n">
        <v>2000</v>
      </c>
      <c r="J1" s="7" t="n">
        <v>2001</v>
      </c>
      <c r="K1" s="7" t="n">
        <v>2002</v>
      </c>
      <c r="L1" s="7" t="n">
        <v>2003</v>
      </c>
      <c r="M1" s="7" t="n">
        <v>2004</v>
      </c>
      <c r="N1" s="7" t="n">
        <v>2005</v>
      </c>
      <c r="O1" s="7" t="n">
        <v>2006</v>
      </c>
      <c r="P1" s="7" t="n">
        <v>2007</v>
      </c>
      <c r="Q1" s="7" t="n">
        <v>2008</v>
      </c>
      <c r="R1" s="7" t="n">
        <v>2009</v>
      </c>
      <c r="S1" s="7" t="n">
        <v>2010</v>
      </c>
      <c r="T1" s="7" t="n">
        <v>2011</v>
      </c>
      <c r="U1" s="7" t="n">
        <v>2012</v>
      </c>
      <c r="V1" s="7" t="n">
        <v>2013</v>
      </c>
      <c r="W1" s="7" t="n">
        <v>2014</v>
      </c>
      <c r="X1" s="7" t="n">
        <v>2015</v>
      </c>
      <c r="Y1" s="7" t="n">
        <v>2016</v>
      </c>
      <c r="Z1" s="7" t="n">
        <v>2017</v>
      </c>
      <c r="AA1" s="7" t="n">
        <v>2018</v>
      </c>
      <c r="AB1" s="7" t="n">
        <v>2019</v>
      </c>
      <c r="AC1" s="7" t="n">
        <v>2020</v>
      </c>
      <c r="AD1" s="7" t="n">
        <v>2021</v>
      </c>
      <c r="AE1" s="7" t="n">
        <v>2022</v>
      </c>
    </row>
    <row r="2" ht="15" customHeight="1" s="6">
      <c r="A2" s="8" t="inlineStr">
        <is>
          <t>L</t>
        </is>
      </c>
      <c r="B2" t="n">
        <v>205.929</v>
      </c>
      <c r="C2" t="n">
        <v>187.306</v>
      </c>
      <c r="D2" t="n">
        <v>180.889</v>
      </c>
      <c r="E2" t="n">
        <v>173.049</v>
      </c>
      <c r="F2" t="n">
        <v>162.332</v>
      </c>
      <c r="G2" t="n">
        <v>160.81</v>
      </c>
      <c r="H2" t="n">
        <v>152.28</v>
      </c>
      <c r="I2" t="n">
        <v>149.02</v>
      </c>
      <c r="J2" t="n">
        <v>145.343</v>
      </c>
      <c r="K2" t="n">
        <v>145.637</v>
      </c>
      <c r="L2" t="n">
        <v>134.391</v>
      </c>
      <c r="M2" t="n">
        <v>133.301</v>
      </c>
      <c r="N2" t="n">
        <v>125.588</v>
      </c>
      <c r="O2" t="n">
        <v>117.953</v>
      </c>
      <c r="P2" t="n">
        <v>114.771</v>
      </c>
      <c r="Q2" t="n">
        <v>109.397</v>
      </c>
      <c r="R2" t="n">
        <v>101.938</v>
      </c>
      <c r="S2" t="n">
        <v>98.59399999999999</v>
      </c>
      <c r="T2" t="n">
        <v>97.13500000000001</v>
      </c>
      <c r="U2" t="n">
        <v>95.702</v>
      </c>
      <c r="V2" t="n">
        <v>94.81399999999999</v>
      </c>
      <c r="W2" t="n">
        <v>95.678</v>
      </c>
      <c r="X2" t="n">
        <v>97.467</v>
      </c>
      <c r="Y2" t="n">
        <v>91.694</v>
      </c>
      <c r="Z2" t="n">
        <v>92.464</v>
      </c>
      <c r="AA2" t="n">
        <v>89.982</v>
      </c>
      <c r="AB2" t="n">
        <v>85.014</v>
      </c>
      <c r="AC2" t="n">
        <v>85.48999999999999</v>
      </c>
      <c r="AD2" t="n">
        <v>86.997</v>
      </c>
      <c r="AE2" t="n">
        <v>84.48999999999999</v>
      </c>
    </row>
    <row r="3" ht="15" customHeight="1" s="6">
      <c r="A3" s="8" t="inlineStr">
        <is>
          <t>KL</t>
        </is>
      </c>
      <c r="B3" s="9" t="n"/>
      <c r="C3" t="n">
        <v>52117.7942920397</v>
      </c>
      <c r="D3" t="n">
        <v>50900.44212814769</v>
      </c>
      <c r="E3" t="n">
        <v>49681.53810440915</v>
      </c>
      <c r="F3" t="n">
        <v>48143.42584614595</v>
      </c>
      <c r="G3" t="n">
        <v>47708.98096128811</v>
      </c>
      <c r="H3" t="n">
        <v>46314.40517457399</v>
      </c>
      <c r="I3" t="n">
        <v>45117.47293070092</v>
      </c>
      <c r="J3" t="n">
        <v>44432.63343472131</v>
      </c>
      <c r="K3" t="n">
        <v>44480.11115735141</v>
      </c>
      <c r="L3" t="n">
        <v>42600.84677868951</v>
      </c>
      <c r="M3" t="n">
        <v>42241.34972629409</v>
      </c>
      <c r="N3" t="n">
        <v>40925.50270728581</v>
      </c>
      <c r="O3" t="n">
        <v>39424.93775864297</v>
      </c>
      <c r="P3" t="n">
        <v>39026.410472316</v>
      </c>
      <c r="Q3" t="n">
        <v>38328.71283845652</v>
      </c>
      <c r="R3" t="n">
        <v>37355.83024252533</v>
      </c>
      <c r="S3" t="n">
        <v>36543.06679463401</v>
      </c>
      <c r="T3" t="n">
        <v>35879.71137814789</v>
      </c>
      <c r="U3" t="n">
        <v>35222.06901360519</v>
      </c>
      <c r="V3" t="n">
        <v>34756.94561624983</v>
      </c>
      <c r="W3" t="n">
        <v>34683.36572808852</v>
      </c>
      <c r="X3" t="n">
        <v>34775.85363676753</v>
      </c>
      <c r="Y3" t="n">
        <v>33362.228708932</v>
      </c>
      <c r="Z3" t="n">
        <v>33300.80118341903</v>
      </c>
      <c r="AA3" t="n">
        <v>32593.13413024461</v>
      </c>
      <c r="AB3" t="n">
        <v>31418.73959721648</v>
      </c>
      <c r="AC3" t="n">
        <v>31265.50482956038</v>
      </c>
      <c r="AD3" t="n">
        <v>31288.38839371736</v>
      </c>
      <c r="AE3" t="n">
        <v>30691.03957848601</v>
      </c>
    </row>
    <row r="4" ht="15" customHeight="1" s="6">
      <c r="A4" s="10" t="inlineStr">
        <is>
          <t>w</t>
        </is>
      </c>
      <c r="B4" t="n">
        <v>70.47278483110684</v>
      </c>
      <c r="C4" t="n">
        <v>72.40197125400465</v>
      </c>
      <c r="D4" t="n">
        <v>73.66841896620072</v>
      </c>
      <c r="E4" t="n">
        <v>77.60292760823279</v>
      </c>
      <c r="F4" t="n">
        <v>82.11214838255977</v>
      </c>
      <c r="G4" t="n">
        <v>85.65442745217563</v>
      </c>
      <c r="H4" t="n">
        <v>87.36362446231531</v>
      </c>
      <c r="I4" t="n">
        <v>90.1477119846667</v>
      </c>
      <c r="J4" t="n">
        <v>91.29734131122945</v>
      </c>
      <c r="K4" t="n">
        <v>97.14543015199132</v>
      </c>
      <c r="L4" t="n">
        <v>103.0156194928302</v>
      </c>
      <c r="M4" t="n">
        <v>108.3957151617354</v>
      </c>
      <c r="N4" t="n">
        <v>109.3107302675426</v>
      </c>
      <c r="O4" t="n">
        <v>113.5215525764227</v>
      </c>
      <c r="P4" t="n">
        <v>120.938515391743</v>
      </c>
      <c r="Q4" t="n">
        <v>127.1319296478519</v>
      </c>
      <c r="R4" t="n">
        <v>132.9063867016623</v>
      </c>
      <c r="S4" t="n">
        <v>140.4118988187661</v>
      </c>
      <c r="T4" t="n">
        <v>143.6153156920136</v>
      </c>
      <c r="U4" t="n">
        <v>146.4079964656505</v>
      </c>
      <c r="V4" t="n">
        <v>150.459150687682</v>
      </c>
      <c r="W4" t="n">
        <v>156.5228404752214</v>
      </c>
      <c r="X4" t="n">
        <v>175.9783909508379</v>
      </c>
      <c r="Y4" t="n">
        <v>179.4635236129756</v>
      </c>
      <c r="Z4" t="n">
        <v>182.1442515646232</v>
      </c>
      <c r="AA4" t="n">
        <v>189.6717047587715</v>
      </c>
      <c r="AB4" t="n">
        <v>197.7102564102564</v>
      </c>
      <c r="AC4" t="n">
        <v>205.6869386807061</v>
      </c>
      <c r="AD4" t="n">
        <v>203.3906396942594</v>
      </c>
      <c r="AE4" t="n">
        <v>217.8911462658753</v>
      </c>
    </row>
    <row r="5" ht="15" customHeight="1" s="6">
      <c r="A5" s="10" t="inlineStr">
        <is>
          <t>P_KL</t>
        </is>
      </c>
      <c r="B5" s="13" t="n"/>
      <c r="C5" t="n">
        <v>0.5694120959315283</v>
      </c>
      <c r="D5" t="n">
        <v>0.6203550077443011</v>
      </c>
      <c r="E5" t="n">
        <v>0.7134677524911863</v>
      </c>
      <c r="F5" t="n">
        <v>0.6507866225210786</v>
      </c>
      <c r="G5" t="n">
        <v>0.649408838612045</v>
      </c>
      <c r="H5" t="n">
        <v>0.768881340314308</v>
      </c>
      <c r="I5" t="n">
        <v>0.6350900452763967</v>
      </c>
      <c r="J5" t="n">
        <v>0.6043450057779055</v>
      </c>
      <c r="K5" t="n">
        <v>0.6441331110491195</v>
      </c>
      <c r="L5" t="n">
        <v>0.6838603200060787</v>
      </c>
      <c r="M5" t="n">
        <v>0.7418455698970408</v>
      </c>
      <c r="N5" t="n">
        <v>0.5988069078658156</v>
      </c>
      <c r="O5" t="n">
        <v>0.7204947967960789</v>
      </c>
      <c r="P5" t="n">
        <v>0.6709370405933222</v>
      </c>
      <c r="Q5" t="n">
        <v>0.7763583357535823</v>
      </c>
      <c r="R5" t="n">
        <v>0.8359836510773638</v>
      </c>
      <c r="S5" t="n">
        <v>0.867934305260484</v>
      </c>
      <c r="T5" t="n">
        <v>0.8739833090523872</v>
      </c>
      <c r="U5" t="n">
        <v>0.7601711783897879</v>
      </c>
      <c r="V5" t="n">
        <v>0.8098461097281371</v>
      </c>
      <c r="W5" t="n">
        <v>0.8038074603702017</v>
      </c>
      <c r="X5" t="n">
        <v>0.8462145501429614</v>
      </c>
      <c r="Y5" t="n">
        <v>0.7966074074519801</v>
      </c>
      <c r="Z5" t="n">
        <v>0.9094996692785136</v>
      </c>
      <c r="AA5" t="n">
        <v>1.124247766496554</v>
      </c>
      <c r="AB5" t="n">
        <v>0.9867634629065262</v>
      </c>
      <c r="AC5" t="n">
        <v>1</v>
      </c>
      <c r="AD5" t="n">
        <v>1.198400336086221</v>
      </c>
      <c r="AE5" t="n">
        <v>1.017388687344558</v>
      </c>
    </row>
    <row r="7" ht="15" customHeight="1" s="6">
      <c r="A7" s="13" t="inlineStr">
        <is>
          <t>EKL</t>
        </is>
      </c>
      <c r="B7" t="n">
        <v>0</v>
      </c>
    </row>
    <row r="8">
      <c r="B8">
        <f>(B2/B3)*(B4/B5)^$B$7</f>
        <v/>
      </c>
      <c r="C8">
        <f>(C2/C3)*(C4/C5)^$B$7</f>
        <v/>
      </c>
      <c r="D8">
        <f>(D2/D3)*(D4/D5)^$B$7</f>
        <v/>
      </c>
      <c r="E8">
        <f>(E2/E3)*(E4/E5)^$B$7</f>
        <v/>
      </c>
      <c r="F8">
        <f>(F2/F3)*(F4/F5)^$B$7</f>
        <v/>
      </c>
      <c r="G8">
        <f>(G2/G3)*(G4/G5)^$B$7</f>
        <v/>
      </c>
      <c r="H8">
        <f>(H2/H3)*(H4/H5)^$B$7</f>
        <v/>
      </c>
      <c r="I8">
        <f>(I2/I3)*(I4/I5)^$B$7</f>
        <v/>
      </c>
      <c r="J8">
        <f>(J2/J3)*(J4/J5)^$B$7</f>
        <v/>
      </c>
      <c r="K8">
        <f>(K2/K3)*(K4/K5)^$B$7</f>
        <v/>
      </c>
      <c r="L8">
        <f>(L2/L3)*(L4/L5)^$B$7</f>
        <v/>
      </c>
      <c r="M8">
        <f>(M2/M3)*(M4/M5)^$B$7</f>
        <v/>
      </c>
      <c r="N8">
        <f>(N2/N3)*(N4/N5)^$B$7</f>
        <v/>
      </c>
      <c r="O8">
        <f>(O2/O3)*(O4/O5)^$B$7</f>
        <v/>
      </c>
      <c r="P8">
        <f>(P2/P3)*(P4/P5)^$B$7</f>
        <v/>
      </c>
      <c r="Q8">
        <f>(Q2/Q3)*(Q4/Q5)^$B$7</f>
        <v/>
      </c>
      <c r="R8">
        <f>(R2/R3)*(R4/R5)^$B$7</f>
        <v/>
      </c>
      <c r="S8">
        <f>(S2/S3)*(S4/S5)^$B$7</f>
        <v/>
      </c>
      <c r="T8">
        <f>(T2/T3)*(T4/T5)^$B$7</f>
        <v/>
      </c>
      <c r="U8">
        <f>(U2/U3)*(U4/U5)^$B$7</f>
        <v/>
      </c>
      <c r="V8">
        <f>(V2/V3)*(V4/V5)^$B$7</f>
        <v/>
      </c>
      <c r="W8">
        <f>(W2/W3)*(W4/W5)^$B$7</f>
        <v/>
      </c>
      <c r="X8">
        <f>(X2/X3)*(X4/X5)^$B$7</f>
        <v/>
      </c>
      <c r="Y8">
        <f>(Y2/Y3)*(Y4/Y5)^$B$7</f>
        <v/>
      </c>
      <c r="Z8">
        <f>(Z2/Z3)*(Z4/Z5)^$B$7</f>
        <v/>
      </c>
      <c r="AA8">
        <f>(AA2/AA3)*(AA4/AA5)^$B$7</f>
        <v/>
      </c>
      <c r="AB8">
        <f>(AB2/AB3)*(AB4/AB5)^$B$7</f>
        <v/>
      </c>
      <c r="AC8">
        <f>(AC2/AC3)*(AC4/AC5)^$B$7</f>
        <v/>
      </c>
      <c r="AD8">
        <f>(AD2/AD3)*(AD4/AD5)^$B$7</f>
        <v/>
      </c>
      <c r="AE8">
        <f>(AE2/AE3)*(AE4/AE5)^$B$7</f>
        <v/>
      </c>
    </row>
    <row r="11">
      <c r="A11" t="inlineStr">
        <is>
          <t>lon lob</t>
        </is>
      </c>
      <c r="B11">
        <f>B2*B4</f>
        <v/>
      </c>
      <c r="C11">
        <f>C2*C4</f>
        <v/>
      </c>
      <c r="D11">
        <f>D2*D4</f>
        <v/>
      </c>
      <c r="E11">
        <f>E2*E4</f>
        <v/>
      </c>
      <c r="F11">
        <f>F2*F4</f>
        <v/>
      </c>
      <c r="G11">
        <f>G2*G4</f>
        <v/>
      </c>
      <c r="H11">
        <f>H2*H4</f>
        <v/>
      </c>
      <c r="I11">
        <f>I2*I4</f>
        <v/>
      </c>
      <c r="J11">
        <f>J2*J4</f>
        <v/>
      </c>
      <c r="K11">
        <f>K2*K4</f>
        <v/>
      </c>
      <c r="L11">
        <f>L2*L4</f>
        <v/>
      </c>
      <c r="M11">
        <f>M2*M4</f>
        <v/>
      </c>
      <c r="N11">
        <f>N2*N4</f>
        <v/>
      </c>
      <c r="O11">
        <f>O2*O4</f>
        <v/>
      </c>
      <c r="P11">
        <f>P2*P4</f>
        <v/>
      </c>
      <c r="Q11">
        <f>Q2*Q4</f>
        <v/>
      </c>
      <c r="R11">
        <f>R2*R4</f>
        <v/>
      </c>
      <c r="S11">
        <f>S2*S4</f>
        <v/>
      </c>
      <c r="T11">
        <f>T2*T4</f>
        <v/>
      </c>
      <c r="U11">
        <f>U2*U4</f>
        <v/>
      </c>
      <c r="V11">
        <f>V2*V4</f>
        <v/>
      </c>
      <c r="W11">
        <f>W2*W4</f>
        <v/>
      </c>
      <c r="X11">
        <f>X2*X4</f>
        <v/>
      </c>
      <c r="Y11">
        <f>Y2*Y4</f>
        <v/>
      </c>
      <c r="Z11">
        <f>Z2*Z4</f>
        <v/>
      </c>
      <c r="AA11">
        <f>AA2*AA4</f>
        <v/>
      </c>
      <c r="AB11">
        <f>AB2*AB4</f>
        <v/>
      </c>
      <c r="AC11">
        <f>AC2*AC4</f>
        <v/>
      </c>
      <c r="AD11">
        <f>AD2*AD4</f>
        <v/>
      </c>
      <c r="AE11">
        <f>AE2*AE4</f>
        <v/>
      </c>
      <c r="AF11">
        <f>AF2*AF4</f>
        <v/>
      </c>
    </row>
    <row r="12">
      <c r="A12" t="inlineStr">
        <is>
          <t>lon for</t>
        </is>
      </c>
      <c r="B12">
        <f>B2*A4</f>
        <v/>
      </c>
      <c r="C12">
        <f>C2*B4</f>
        <v/>
      </c>
      <c r="D12">
        <f>D2*C4</f>
        <v/>
      </c>
      <c r="E12">
        <f>E2*D4</f>
        <v/>
      </c>
      <c r="F12">
        <f>F2*E4</f>
        <v/>
      </c>
      <c r="G12">
        <f>G2*F4</f>
        <v/>
      </c>
      <c r="H12">
        <f>H2*G4</f>
        <v/>
      </c>
      <c r="I12">
        <f>I2*H4</f>
        <v/>
      </c>
      <c r="J12">
        <f>J2*I4</f>
        <v/>
      </c>
      <c r="K12">
        <f>K2*J4</f>
        <v/>
      </c>
      <c r="L12">
        <f>L2*K4</f>
        <v/>
      </c>
      <c r="M12">
        <f>M2*L4</f>
        <v/>
      </c>
      <c r="N12">
        <f>N2*M4</f>
        <v/>
      </c>
      <c r="O12">
        <f>O2*N4</f>
        <v/>
      </c>
      <c r="P12">
        <f>P2*O4</f>
        <v/>
      </c>
      <c r="Q12">
        <f>Q2*P4</f>
        <v/>
      </c>
      <c r="R12">
        <f>R2*Q4</f>
        <v/>
      </c>
      <c r="S12">
        <f>S2*R4</f>
        <v/>
      </c>
      <c r="T12">
        <f>T2*S4</f>
        <v/>
      </c>
      <c r="U12">
        <f>U2*T4</f>
        <v/>
      </c>
      <c r="V12">
        <f>V2*U4</f>
        <v/>
      </c>
      <c r="W12">
        <f>W2*V4</f>
        <v/>
      </c>
      <c r="X12">
        <f>X2*W4</f>
        <v/>
      </c>
      <c r="Y12">
        <f>Y2*X4</f>
        <v/>
      </c>
      <c r="Z12">
        <f>Z2*Y4</f>
        <v/>
      </c>
      <c r="AA12">
        <f>AA2*Z4</f>
        <v/>
      </c>
      <c r="AB12">
        <f>AB2*AA4</f>
        <v/>
      </c>
      <c r="AC12">
        <f>AC2*AB4</f>
        <v/>
      </c>
      <c r="AD12">
        <f>AD2*AC4</f>
        <v/>
      </c>
      <c r="AE12">
        <f>AE2*AD4</f>
        <v/>
      </c>
    </row>
    <row r="13">
      <c r="A13" t="inlineStr">
        <is>
          <t>Pt</t>
        </is>
      </c>
      <c r="B13">
        <f>C13/(C11/C12)</f>
        <v/>
      </c>
      <c r="C13">
        <f>D13/(D11/D12)</f>
        <v/>
      </c>
      <c r="D13">
        <f>E13/(E11/E12)</f>
        <v/>
      </c>
      <c r="E13">
        <f>F13/(F11/F12)</f>
        <v/>
      </c>
      <c r="F13">
        <f>G13/(G11/G12)</f>
        <v/>
      </c>
      <c r="G13">
        <f>H13/(H11/H12)</f>
        <v/>
      </c>
      <c r="H13">
        <f>I13/(I11/I12)</f>
        <v/>
      </c>
      <c r="I13">
        <f>J13/(J11/J12)</f>
        <v/>
      </c>
      <c r="J13">
        <f>K13/(K11/K12)</f>
        <v/>
      </c>
      <c r="K13">
        <f>L13/(L11/L12)</f>
        <v/>
      </c>
      <c r="L13">
        <f>M13/(M11/M12)</f>
        <v/>
      </c>
      <c r="M13">
        <f>N13/(N11/N12)</f>
        <v/>
      </c>
      <c r="N13">
        <f>O13/(O11/O12)</f>
        <v/>
      </c>
      <c r="O13">
        <f>P13/(P11/P12)</f>
        <v/>
      </c>
      <c r="P13">
        <f>Q13/(Q11/Q12)</f>
        <v/>
      </c>
      <c r="Q13">
        <f>R13/(R11/R12)</f>
        <v/>
      </c>
      <c r="R13">
        <f>S13/(S11/S12)</f>
        <v/>
      </c>
      <c r="S13">
        <f>T13/(T11/T12)</f>
        <v/>
      </c>
      <c r="T13">
        <f>U13/(U11/U12)</f>
        <v/>
      </c>
      <c r="U13">
        <f>V13/(V11/V12)</f>
        <v/>
      </c>
      <c r="V13">
        <f>W13/(W11/W12)</f>
        <v/>
      </c>
      <c r="W13">
        <f>X13/(X11/X12)</f>
        <v/>
      </c>
      <c r="X13">
        <f>Y13/(Y11/Y12)</f>
        <v/>
      </c>
      <c r="Y13">
        <f>Z13/(Z11/Z12)</f>
        <v/>
      </c>
      <c r="Z13">
        <f>AA13/(AA11/AA12)</f>
        <v/>
      </c>
      <c r="AA13">
        <f>AB13/(AB11/AB12)</f>
        <v/>
      </c>
      <c r="AB13">
        <f>AC13/(AC11/AC12)</f>
        <v/>
      </c>
      <c r="AC13">
        <f>1</f>
        <v/>
      </c>
      <c r="AD13">
        <f>AC13*AD11/AD12</f>
        <v/>
      </c>
      <c r="AE13">
        <f>AD13*AE11/AE12</f>
        <v/>
      </c>
    </row>
    <row r="14">
      <c r="A14" t="inlineStr">
        <is>
          <t>Xt</t>
        </is>
      </c>
      <c r="B14">
        <f>B11/B13</f>
        <v/>
      </c>
      <c r="C14">
        <f>C11/C13</f>
        <v/>
      </c>
      <c r="D14">
        <f>D11/D13</f>
        <v/>
      </c>
      <c r="E14">
        <f>E11/E13</f>
        <v/>
      </c>
      <c r="F14">
        <f>F11/F13</f>
        <v/>
      </c>
      <c r="G14">
        <f>G11/G13</f>
        <v/>
      </c>
      <c r="H14">
        <f>H11/H13</f>
        <v/>
      </c>
      <c r="I14">
        <f>I11/I13</f>
        <v/>
      </c>
      <c r="J14">
        <f>J11/J13</f>
        <v/>
      </c>
      <c r="K14">
        <f>K11/K13</f>
        <v/>
      </c>
      <c r="L14">
        <f>L11/L13</f>
        <v/>
      </c>
      <c r="M14">
        <f>M11/M13</f>
        <v/>
      </c>
      <c r="N14">
        <f>N11/N13</f>
        <v/>
      </c>
      <c r="O14">
        <f>O11/O13</f>
        <v/>
      </c>
      <c r="P14">
        <f>P11/P13</f>
        <v/>
      </c>
      <c r="Q14">
        <f>Q11/Q13</f>
        <v/>
      </c>
      <c r="R14">
        <f>R11/R13</f>
        <v/>
      </c>
      <c r="S14">
        <f>S11/S13</f>
        <v/>
      </c>
      <c r="T14">
        <f>T11/T13</f>
        <v/>
      </c>
      <c r="U14">
        <f>U11/U13</f>
        <v/>
      </c>
      <c r="V14">
        <f>V11/V13</f>
        <v/>
      </c>
      <c r="W14">
        <f>W11/W13</f>
        <v/>
      </c>
      <c r="X14">
        <f>X11/X13</f>
        <v/>
      </c>
      <c r="Y14">
        <f>Y11/Y13</f>
        <v/>
      </c>
      <c r="Z14">
        <f>Z11/Z13</f>
        <v/>
      </c>
      <c r="AA14">
        <f>AA11/AA13</f>
        <v/>
      </c>
      <c r="AB14">
        <f>AB11/AB13</f>
        <v/>
      </c>
      <c r="AC14">
        <f>AC11/AC13</f>
        <v/>
      </c>
      <c r="AD14">
        <f>AD11/AD13</f>
        <v/>
      </c>
      <c r="AE14">
        <f>AE11/AE13</f>
        <v/>
      </c>
    </row>
    <row r="16">
      <c r="B16">
        <f>(B14/B3)*(B13/B5)^$B$7</f>
        <v/>
      </c>
      <c r="C16">
        <f>(C14/C3)*(C13/C5)^$B$7</f>
        <v/>
      </c>
      <c r="D16">
        <f>(D14/D3)*(D13/D5)^$B$7</f>
        <v/>
      </c>
      <c r="E16">
        <f>(E14/E3)*(E13/E5)^$B$7</f>
        <v/>
      </c>
      <c r="F16">
        <f>(F14/F3)*(F13/F5)^$B$7</f>
        <v/>
      </c>
      <c r="G16">
        <f>(G14/G3)*(G13/G5)^$B$7</f>
        <v/>
      </c>
      <c r="H16">
        <f>(H14/H3)*(H13/H5)^$B$7</f>
        <v/>
      </c>
      <c r="I16">
        <f>(I14/I3)*(I13/I5)^$B$7</f>
        <v/>
      </c>
      <c r="J16">
        <f>(J14/J3)*(J13/J5)^$B$7</f>
        <v/>
      </c>
      <c r="K16">
        <f>(K14/K3)*(K13/K5)^$B$7</f>
        <v/>
      </c>
      <c r="L16">
        <f>(L14/L3)*(L13/L5)^$B$7</f>
        <v/>
      </c>
      <c r="M16">
        <f>(M14/M3)*(M13/M5)^$B$7</f>
        <v/>
      </c>
      <c r="N16">
        <f>(N14/N3)*(N13/N5)^$B$7</f>
        <v/>
      </c>
      <c r="O16">
        <f>(O14/O3)*(O13/O5)^$B$7</f>
        <v/>
      </c>
      <c r="P16">
        <f>(P14/P3)*(P13/P5)^$B$7</f>
        <v/>
      </c>
      <c r="Q16">
        <f>(Q14/Q3)*(Q13/Q5)^$B$7</f>
        <v/>
      </c>
      <c r="R16">
        <f>(R14/R3)*(R13/R5)^$B$7</f>
        <v/>
      </c>
      <c r="S16">
        <f>(S14/S3)*(S13/S5)^$B$7</f>
        <v/>
      </c>
      <c r="T16">
        <f>(T14/T3)*(T13/T5)^$B$7</f>
        <v/>
      </c>
      <c r="U16">
        <f>(U14/U3)*(U13/U5)^$B$7</f>
        <v/>
      </c>
      <c r="V16">
        <f>(V14/V3)*(V13/V5)^$B$7</f>
        <v/>
      </c>
      <c r="W16">
        <f>(W14/W3)*(W13/W5)^$B$7</f>
        <v/>
      </c>
      <c r="X16">
        <f>(X14/X3)*(X13/X5)^$B$7</f>
        <v/>
      </c>
      <c r="Y16">
        <f>(Y14/Y3)*(Y13/Y5)^$B$7</f>
        <v/>
      </c>
      <c r="Z16">
        <f>(Z14/Z3)*(Z13/Z5)^$B$7</f>
        <v/>
      </c>
      <c r="AA16">
        <f>(AA14/AA3)*(AA13/AA5)^$B$7</f>
        <v/>
      </c>
      <c r="AB16">
        <f>(AB14/AB3)*(AB13/AB5)^$B$7</f>
        <v/>
      </c>
      <c r="AC16">
        <f>(AC14/AC3)*(AC13/AC5)^$B$7</f>
        <v/>
      </c>
      <c r="AD16">
        <f>(AD14/AD3)*(AD13/AD5)^$B$7</f>
        <v/>
      </c>
      <c r="AE16">
        <f>(AE14/AE3)*(AE13/AE5)^$B$7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n">
        <v>44352.25324136804</v>
      </c>
      <c r="C2" t="n">
        <v>44088.47393080113</v>
      </c>
      <c r="D2" t="n">
        <v>44065.48484996815</v>
      </c>
      <c r="E2" t="n">
        <v>41076.9550383105</v>
      </c>
      <c r="F2" t="n">
        <v>44428.58814517586</v>
      </c>
      <c r="G2" t="n">
        <v>45125.5163303274</v>
      </c>
      <c r="H2" t="n">
        <v>45687.59425864594</v>
      </c>
      <c r="I2" t="n">
        <v>47792.36567134227</v>
      </c>
      <c r="J2" t="n">
        <v>45353.0800337268</v>
      </c>
      <c r="K2" t="n">
        <v>45360.61361791695</v>
      </c>
      <c r="L2" t="n">
        <v>48300.74778957923</v>
      </c>
      <c r="M2" t="n">
        <v>50462.61777530038</v>
      </c>
      <c r="N2" t="n">
        <v>51681.03234064477</v>
      </c>
      <c r="O2" t="n">
        <v>51506.40350358545</v>
      </c>
      <c r="P2" t="n">
        <v>52624.81803597939</v>
      </c>
      <c r="Q2" t="n">
        <v>55228.20202592899</v>
      </c>
      <c r="R2" t="n">
        <v>53482.36133950211</v>
      </c>
      <c r="S2" t="n">
        <v>58750.74407098013</v>
      </c>
      <c r="T2" t="n">
        <v>58588.02553627376</v>
      </c>
      <c r="U2" t="n">
        <v>58742.29926717988</v>
      </c>
      <c r="V2" t="n">
        <v>56961.09686101312</v>
      </c>
      <c r="W2" t="n">
        <v>56075.44641832796</v>
      </c>
      <c r="X2" t="n">
        <v>58852.66326331355</v>
      </c>
      <c r="Y2" t="n">
        <v>62263.47948612532</v>
      </c>
      <c r="Z2" t="n">
        <v>60786.47471592598</v>
      </c>
      <c r="AA2" t="n">
        <v>60399.71777727219</v>
      </c>
      <c r="AB2" t="n">
        <v>69638.68957226025</v>
      </c>
      <c r="AC2" t="n">
        <v>68856.8069084517</v>
      </c>
      <c r="AD2" t="n">
        <v>69737.09596880477</v>
      </c>
      <c r="AE2" t="n">
        <v>70280.70200201102</v>
      </c>
      <c r="AF2" t="n">
        <v>72177.73128503423</v>
      </c>
      <c r="AG2" t="n">
        <v>73158.19867719349</v>
      </c>
      <c r="AH2" t="n">
        <v>73173.61124958949</v>
      </c>
      <c r="AI2" t="n">
        <v>74464.20968859072</v>
      </c>
      <c r="AJ2" t="n">
        <v>73547.4024563283</v>
      </c>
      <c r="AK2" t="n">
        <v>74587.44832457317</v>
      </c>
      <c r="AL2" t="n">
        <v>74719.00507601726</v>
      </c>
      <c r="AM2" t="n">
        <v>75618.6549319928</v>
      </c>
      <c r="AN2" t="n">
        <v>74196.06004710899</v>
      </c>
      <c r="AO2" t="n">
        <v>75618.96015965735</v>
      </c>
      <c r="AP2" t="n">
        <v>79159.85391933467</v>
      </c>
      <c r="AQ2" t="n">
        <v>73126.39063253529</v>
      </c>
      <c r="AR2" t="n">
        <v>73444.22001881609</v>
      </c>
      <c r="AS2" t="n">
        <v>77334.76954112363</v>
      </c>
      <c r="AT2" t="n">
        <v>75869.89634279175</v>
      </c>
      <c r="AU2" t="n">
        <v>77617.49260952293</v>
      </c>
      <c r="AV2" t="n">
        <v>76593.50982590164</v>
      </c>
      <c r="AW2" t="n">
        <v>80374.73154191791</v>
      </c>
      <c r="AX2" t="n">
        <v>79210.57885923756</v>
      </c>
      <c r="AY2" t="n">
        <v>76984.40951486437</v>
      </c>
      <c r="AZ2" t="n">
        <v>80708.04847840172</v>
      </c>
      <c r="BA2" t="n">
        <v>79724.53943400572</v>
      </c>
      <c r="BB2" t="n">
        <v>78394.56939138639</v>
      </c>
      <c r="BC2" t="n">
        <v>80503.511</v>
      </c>
      <c r="BD2" t="n">
        <v>82678.533</v>
      </c>
      <c r="BE2" t="n">
        <v>81481.01820091688</v>
      </c>
    </row>
    <row r="3">
      <c r="A3" s="14" t="inlineStr">
        <is>
          <t>10120</t>
        </is>
      </c>
      <c r="B3" t="n">
        <v>83186.18915203959</v>
      </c>
      <c r="C3" t="n">
        <v>86476.23384520176</v>
      </c>
      <c r="D3" t="n">
        <v>85557.50135649744</v>
      </c>
      <c r="E3" t="n">
        <v>89270.71586799553</v>
      </c>
      <c r="F3" t="n">
        <v>92244.7468675104</v>
      </c>
      <c r="G3" t="n">
        <v>94861.98237698004</v>
      </c>
      <c r="H3" t="n">
        <v>96469.27312480546</v>
      </c>
      <c r="I3" t="n">
        <v>98731.16980730824</v>
      </c>
      <c r="J3" t="n">
        <v>96574.4743863621</v>
      </c>
      <c r="K3" t="n">
        <v>100366.0400220507</v>
      </c>
      <c r="L3" t="n">
        <v>105550.6922790394</v>
      </c>
      <c r="M3" t="n">
        <v>108622.2423857864</v>
      </c>
      <c r="N3" t="n">
        <v>118817.6574903217</v>
      </c>
      <c r="O3" t="n">
        <v>124261.6272593861</v>
      </c>
      <c r="P3" t="n">
        <v>125155.2759814342</v>
      </c>
      <c r="Q3" t="n">
        <v>121655.9651178281</v>
      </c>
      <c r="R3" t="n">
        <v>119434.5398079128</v>
      </c>
      <c r="S3" t="n">
        <v>120350.9189723221</v>
      </c>
      <c r="T3" t="n">
        <v>126590.801685085</v>
      </c>
      <c r="U3" t="n">
        <v>133131.0942393675</v>
      </c>
      <c r="V3" t="n">
        <v>131489.2947051704</v>
      </c>
      <c r="W3" t="n">
        <v>131466.3154790609</v>
      </c>
      <c r="X3" t="n">
        <v>131914.2679106165</v>
      </c>
      <c r="Y3" t="n">
        <v>138076.5812806358</v>
      </c>
      <c r="Z3" t="n">
        <v>139256.1125604009</v>
      </c>
      <c r="AA3" t="n">
        <v>142823.7153329027</v>
      </c>
      <c r="AB3" t="n">
        <v>150359.8245860832</v>
      </c>
      <c r="AC3" t="n">
        <v>151786.7330626713</v>
      </c>
      <c r="AD3" t="n">
        <v>151157.9545498834</v>
      </c>
      <c r="AE3" t="n">
        <v>144547.0961151224</v>
      </c>
      <c r="AF3" t="n">
        <v>146043.7813077298</v>
      </c>
      <c r="AG3" t="n">
        <v>150061.6671918054</v>
      </c>
      <c r="AH3" t="n">
        <v>149807.4360077864</v>
      </c>
      <c r="AI3" t="n">
        <v>149968.463026137</v>
      </c>
      <c r="AJ3" t="n">
        <v>152904.3817121767</v>
      </c>
      <c r="AK3" t="n">
        <v>155839.8651139851</v>
      </c>
      <c r="AL3" t="n">
        <v>157377.1239716237</v>
      </c>
      <c r="AM3" t="n">
        <v>159879.9841791989</v>
      </c>
      <c r="AN3" t="n">
        <v>163810.68543604</v>
      </c>
      <c r="AO3" t="n">
        <v>162171.855725454</v>
      </c>
      <c r="AP3" t="n">
        <v>160069.2987518459</v>
      </c>
      <c r="AQ3" t="n">
        <v>158120.9073891882</v>
      </c>
      <c r="AR3" t="n">
        <v>150853.3276345319</v>
      </c>
      <c r="AS3" t="n">
        <v>144714.1518630601</v>
      </c>
      <c r="AT3" t="n">
        <v>145739.453110663</v>
      </c>
      <c r="AU3" t="n">
        <v>142580.8823455286</v>
      </c>
      <c r="AV3" t="n">
        <v>144480.4350347449</v>
      </c>
      <c r="AW3" t="n">
        <v>145446.7892941844</v>
      </c>
      <c r="AX3" t="n">
        <v>146833.766160653</v>
      </c>
      <c r="AY3" t="n">
        <v>148098.4400441665</v>
      </c>
      <c r="AZ3" t="n">
        <v>153499.9419309165</v>
      </c>
      <c r="BA3" t="n">
        <v>153657.7876695022</v>
      </c>
      <c r="BB3" t="n">
        <v>155602.5733596943</v>
      </c>
      <c r="BC3" t="n">
        <v>161377.858</v>
      </c>
      <c r="BD3" t="n">
        <v>165261.179</v>
      </c>
      <c r="BE3" t="n">
        <v>168806.1413670465</v>
      </c>
    </row>
    <row r="4">
      <c r="A4" s="14" t="inlineStr">
        <is>
          <t>Privat</t>
        </is>
      </c>
      <c r="B4" t="n">
        <v>-145266.9308512129</v>
      </c>
      <c r="C4" t="n">
        <v>-163957.031245293</v>
      </c>
      <c r="D4" t="n">
        <v>-191310.4823793222</v>
      </c>
      <c r="E4" t="n">
        <v>-230670.1774607655</v>
      </c>
      <c r="F4" t="n">
        <v>-230989.1755537532</v>
      </c>
      <c r="G4" t="n">
        <v>-245238.5340304871</v>
      </c>
      <c r="H4" t="n">
        <v>-253725.6176231638</v>
      </c>
      <c r="I4" t="n">
        <v>-252109.5763131403</v>
      </c>
      <c r="J4" t="n">
        <v>-258278.7552047465</v>
      </c>
      <c r="K4" t="n">
        <v>-274864.658695028</v>
      </c>
      <c r="L4" t="n">
        <v>-271206.8859116362</v>
      </c>
      <c r="M4" t="n">
        <v>-291009.4740348665</v>
      </c>
      <c r="N4" t="n">
        <v>-309191.3428060247</v>
      </c>
      <c r="O4" t="n">
        <v>-324252.2644786992</v>
      </c>
      <c r="P4" t="n">
        <v>-329311.3234593357</v>
      </c>
      <c r="Q4" t="n">
        <v>-332188.0120531424</v>
      </c>
      <c r="R4" t="n">
        <v>-339354.8637397436</v>
      </c>
      <c r="S4" t="n">
        <v>-322216.9981127658</v>
      </c>
      <c r="T4" t="n">
        <v>-331051.4062384372</v>
      </c>
      <c r="U4" t="n">
        <v>-333287.2297559106</v>
      </c>
      <c r="V4" t="n">
        <v>-346166.6118196021</v>
      </c>
      <c r="W4" t="n">
        <v>-352791.9083108426</v>
      </c>
      <c r="X4" t="n">
        <v>-347702.9739695591</v>
      </c>
      <c r="Y4" t="n">
        <v>-333890.8723195487</v>
      </c>
      <c r="Z4" t="n">
        <v>-341320.9182228367</v>
      </c>
      <c r="AA4" t="n">
        <v>-351521.1017387777</v>
      </c>
      <c r="AB4" t="n">
        <v>-354269.7350346562</v>
      </c>
      <c r="AC4" t="n">
        <v>-365426.7472145819</v>
      </c>
      <c r="AD4" t="n">
        <v>-375332.9508778116</v>
      </c>
      <c r="AE4" t="n">
        <v>-389791.2266769158</v>
      </c>
      <c r="AF4" t="n">
        <v>-393171.4899995218</v>
      </c>
      <c r="AG4" t="n">
        <v>-405031.9886576757</v>
      </c>
      <c r="AH4" t="n">
        <v>-418254.6342791006</v>
      </c>
      <c r="AI4" t="n">
        <v>-429681.3075334293</v>
      </c>
      <c r="AJ4" t="n">
        <v>-442619.9955360086</v>
      </c>
      <c r="AK4" t="n">
        <v>-448939.7814995429</v>
      </c>
      <c r="AL4" t="n">
        <v>-449166.9837654812</v>
      </c>
      <c r="AM4" t="n">
        <v>-457473.3128240557</v>
      </c>
      <c r="AN4" t="n">
        <v>-466982.3884255779</v>
      </c>
      <c r="AO4" t="n">
        <v>-479788.0752886518</v>
      </c>
      <c r="AP4" t="n">
        <v>-473827.5066416897</v>
      </c>
      <c r="AQ4" t="n">
        <v>-498412.8414841738</v>
      </c>
      <c r="AR4" t="n">
        <v>-513999.1338106414</v>
      </c>
      <c r="AS4" t="n">
        <v>-517589.0347555215</v>
      </c>
      <c r="AT4" t="n">
        <v>-513501.8861708473</v>
      </c>
      <c r="AU4" t="n">
        <v>-519409.8651684717</v>
      </c>
      <c r="AV4" t="n">
        <v>-520408.5048578273</v>
      </c>
      <c r="AW4" t="n">
        <v>-529876.606586716</v>
      </c>
      <c r="AX4" t="n">
        <v>-544906.1661450199</v>
      </c>
      <c r="AY4" t="n">
        <v>-549644.9411344499</v>
      </c>
      <c r="AZ4" t="n">
        <v>-549781.7537991101</v>
      </c>
      <c r="BA4" t="n">
        <v>-555403.3181195698</v>
      </c>
      <c r="BB4" t="n">
        <v>-562496.5634559173</v>
      </c>
      <c r="BC4" t="n">
        <v>-551339.1259999999</v>
      </c>
      <c r="BD4" t="n">
        <v>-576511.1969999999</v>
      </c>
      <c r="BE4" t="n">
        <v>-568004.8002847447</v>
      </c>
    </row>
    <row r="5">
      <c r="A5" s="14" t="inlineStr">
        <is>
          <t>REST</t>
        </is>
      </c>
      <c r="B5" t="n">
        <v>1109665.213340058</v>
      </c>
      <c r="C5" t="n">
        <v>1150467.193343124</v>
      </c>
      <c r="D5" t="n">
        <v>1244272.400438901</v>
      </c>
      <c r="E5" t="n">
        <v>1296967.277280342</v>
      </c>
      <c r="F5" t="n">
        <v>1323255.232905944</v>
      </c>
      <c r="G5" t="n">
        <v>1389078.770240082</v>
      </c>
      <c r="H5" t="n">
        <v>1455464.829944315</v>
      </c>
      <c r="I5" t="n">
        <v>1429114.245668934</v>
      </c>
      <c r="J5" t="n">
        <v>1395556.684293183</v>
      </c>
      <c r="K5" t="n">
        <v>1504518.119197477</v>
      </c>
      <c r="L5" t="n">
        <v>1524849.295061466</v>
      </c>
      <c r="M5" t="n">
        <v>1565128.534262393</v>
      </c>
      <c r="N5" t="n">
        <v>1624836.986971996</v>
      </c>
      <c r="O5" t="n">
        <v>1610111.16972274</v>
      </c>
      <c r="P5" t="n">
        <v>1578283.396032682</v>
      </c>
      <c r="Q5" t="n">
        <v>1618114.617567447</v>
      </c>
      <c r="R5" t="n">
        <v>1656903.970010277</v>
      </c>
      <c r="S5" t="n">
        <v>1747167.823515828</v>
      </c>
      <c r="T5" t="n">
        <v>1838273.014954977</v>
      </c>
      <c r="U5" t="n">
        <v>1959928.773404152</v>
      </c>
      <c r="V5" t="n">
        <v>1995809.245998322</v>
      </c>
      <c r="W5" t="n">
        <v>2024259.280030638</v>
      </c>
      <c r="X5" t="n">
        <v>2032213.677335962</v>
      </c>
      <c r="Y5" t="n">
        <v>2061376.4384691</v>
      </c>
      <c r="Z5" t="n">
        <v>2081193.209629014</v>
      </c>
      <c r="AA5" t="n">
        <v>2112919.206116003</v>
      </c>
      <c r="AB5" t="n">
        <v>2121405.330408786</v>
      </c>
      <c r="AC5" t="n">
        <v>2237038.360188793</v>
      </c>
      <c r="AD5" t="n">
        <v>2322092.566369626</v>
      </c>
      <c r="AE5" t="n">
        <v>2404761.989962694</v>
      </c>
      <c r="AF5" t="n">
        <v>2483498.239260253</v>
      </c>
      <c r="AG5" t="n">
        <v>2556756.604345683</v>
      </c>
      <c r="AH5" t="n">
        <v>2672884.780310449</v>
      </c>
      <c r="AI5" t="n">
        <v>2814342.666237871</v>
      </c>
      <c r="AJ5" t="n">
        <v>2887124.865219376</v>
      </c>
      <c r="AK5" t="n">
        <v>2919063.570854669</v>
      </c>
      <c r="AL5" t="n">
        <v>2924155.734951382</v>
      </c>
      <c r="AM5" t="n">
        <v>2993388.003021371</v>
      </c>
      <c r="AN5" t="n">
        <v>3163125.558010897</v>
      </c>
      <c r="AO5" t="n">
        <v>3345591.194915816</v>
      </c>
      <c r="AP5" t="n">
        <v>3450061.583684026</v>
      </c>
      <c r="AQ5" t="n">
        <v>3489091.048175066</v>
      </c>
      <c r="AR5" t="n">
        <v>3255992.657996442</v>
      </c>
      <c r="AS5" t="n">
        <v>3260982.013480115</v>
      </c>
      <c r="AT5" t="n">
        <v>3349605.56060521</v>
      </c>
      <c r="AU5" t="n">
        <v>3379079.532733603</v>
      </c>
      <c r="AV5" t="n">
        <v>3383461.539368217</v>
      </c>
      <c r="AW5" t="n">
        <v>3454295.978751553</v>
      </c>
      <c r="AX5" t="n">
        <v>3545031.5170629</v>
      </c>
      <c r="AY5" t="n">
        <v>3681621.569739005</v>
      </c>
      <c r="AZ5" t="n">
        <v>3775390.757328587</v>
      </c>
      <c r="BA5" t="n">
        <v>3850118.533052297</v>
      </c>
      <c r="BB5" t="n">
        <v>3911961.729734923</v>
      </c>
      <c r="BC5" t="n">
        <v>3813550.26</v>
      </c>
      <c r="BD5" t="n">
        <v>4064668.822</v>
      </c>
      <c r="BE5" t="n">
        <v>4180703.943826616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n">
        <v>48616.65257575306</v>
      </c>
      <c r="C2" t="n">
        <v>47695.37470521536</v>
      </c>
      <c r="D2" t="n">
        <v>45482.5690658906</v>
      </c>
      <c r="E2" t="n">
        <v>48860.85117789665</v>
      </c>
      <c r="F2" t="n">
        <v>49832.77674227234</v>
      </c>
      <c r="G2" t="n">
        <v>48754.59951240747</v>
      </c>
      <c r="H2" t="n">
        <v>53687.97599808209</v>
      </c>
      <c r="I2" t="n">
        <v>50347.45043918342</v>
      </c>
      <c r="J2" t="n">
        <v>50898.99282135843</v>
      </c>
      <c r="K2" t="n">
        <v>55765.44418699203</v>
      </c>
      <c r="L2" t="n">
        <v>54995.31210915105</v>
      </c>
      <c r="M2" t="n">
        <v>57754.73694512538</v>
      </c>
      <c r="N2" t="n">
        <v>61097.32223064437</v>
      </c>
      <c r="O2" t="n">
        <v>60091.67600949918</v>
      </c>
      <c r="P2" t="n">
        <v>59554.56776295263</v>
      </c>
      <c r="Q2" t="n">
        <v>59448.35099562973</v>
      </c>
      <c r="R2" t="n">
        <v>59821.15650896244</v>
      </c>
      <c r="S2" t="n">
        <v>59231.53640988183</v>
      </c>
      <c r="T2" t="n">
        <v>60601.4193429064</v>
      </c>
      <c r="U2" t="n">
        <v>58326.36194664553</v>
      </c>
      <c r="V2" t="n">
        <v>60860.16978237176</v>
      </c>
      <c r="W2" t="n">
        <v>55537.80404619839</v>
      </c>
      <c r="X2" t="n">
        <v>54018.15607392648</v>
      </c>
      <c r="Y2" t="n">
        <v>55825.53822061766</v>
      </c>
      <c r="Z2" t="n">
        <v>53599.12120189369</v>
      </c>
      <c r="AA2" t="n">
        <v>56940.76169177408</v>
      </c>
      <c r="AB2" t="n">
        <v>64170.63061656398</v>
      </c>
      <c r="AC2" t="n">
        <v>61795.67147279095</v>
      </c>
      <c r="AD2" t="n">
        <v>61275.31318104747</v>
      </c>
      <c r="AE2" t="n">
        <v>61125.29824594459</v>
      </c>
      <c r="AF2" t="n">
        <v>62786.83204304177</v>
      </c>
      <c r="AG2" t="n">
        <v>64275.3861652171</v>
      </c>
      <c r="AH2" t="n">
        <v>66399.92924825684</v>
      </c>
      <c r="AI2" t="n">
        <v>64663.64449220451</v>
      </c>
      <c r="AJ2" t="n">
        <v>62761.64526738508</v>
      </c>
      <c r="AK2" t="n">
        <v>62054.26327548044</v>
      </c>
      <c r="AL2" t="n">
        <v>60125.1753547323</v>
      </c>
      <c r="AM2" t="n">
        <v>59973.97306970056</v>
      </c>
      <c r="AN2" t="n">
        <v>58787.12354473936</v>
      </c>
      <c r="AO2" t="n">
        <v>59166.38330925229</v>
      </c>
      <c r="AP2" t="n">
        <v>59174.69550599217</v>
      </c>
      <c r="AQ2" t="n">
        <v>59635.58252852644</v>
      </c>
      <c r="AR2" t="n">
        <v>61402.53077541014</v>
      </c>
      <c r="AS2" t="n">
        <v>59798.81226491135</v>
      </c>
      <c r="AT2" t="n">
        <v>62118.60396474173</v>
      </c>
      <c r="AU2" t="n">
        <v>61114.01612139211</v>
      </c>
      <c r="AV2" t="n">
        <v>61542.8165266025</v>
      </c>
      <c r="AW2" t="n">
        <v>60755.58924365752</v>
      </c>
      <c r="AX2" t="n">
        <v>63763.30398868157</v>
      </c>
      <c r="AY2" t="n">
        <v>64105.71619968155</v>
      </c>
      <c r="AZ2" t="n">
        <v>65253.10960620073</v>
      </c>
      <c r="BA2" t="n">
        <v>65253.85208329702</v>
      </c>
      <c r="BB2" t="n">
        <v>61879.54991145801</v>
      </c>
      <c r="BC2" t="n">
        <v>63033.21257101208</v>
      </c>
      <c r="BD2" t="n">
        <v>64274.68170207688</v>
      </c>
      <c r="BE2" t="n">
        <v>66780.01707420382</v>
      </c>
    </row>
    <row r="3">
      <c r="A3" s="14" t="inlineStr">
        <is>
          <t>10120</t>
        </is>
      </c>
      <c r="B3" t="n">
        <v>92311.38255122377</v>
      </c>
      <c r="C3" t="n">
        <v>92533.86987301213</v>
      </c>
      <c r="D3" t="n">
        <v>91299.97137196272</v>
      </c>
      <c r="E3" t="n">
        <v>95924.24310963551</v>
      </c>
      <c r="F3" t="n">
        <v>99093.35480304848</v>
      </c>
      <c r="G3" t="n">
        <v>99118.14641359476</v>
      </c>
      <c r="H3" t="n">
        <v>101617.6376664761</v>
      </c>
      <c r="I3" t="n">
        <v>102728.2985950755</v>
      </c>
      <c r="J3" t="n">
        <v>102527.8025580276</v>
      </c>
      <c r="K3" t="n">
        <v>106483.6731493285</v>
      </c>
      <c r="L3" t="n">
        <v>108828.2934209305</v>
      </c>
      <c r="M3" t="n">
        <v>114400.4619077853</v>
      </c>
      <c r="N3" t="n">
        <v>122847.1552807264</v>
      </c>
      <c r="O3" t="n">
        <v>127864.4431251519</v>
      </c>
      <c r="P3" t="n">
        <v>128325.3860092016</v>
      </c>
      <c r="Q3" t="n">
        <v>125682.8130673876</v>
      </c>
      <c r="R3" t="n">
        <v>124749.2227748916</v>
      </c>
      <c r="S3" t="n">
        <v>126286.064793585</v>
      </c>
      <c r="T3" t="n">
        <v>131100.1614539996</v>
      </c>
      <c r="U3" t="n">
        <v>138841.8873649393</v>
      </c>
      <c r="V3" t="n">
        <v>137759.3239435276</v>
      </c>
      <c r="W3" t="n">
        <v>134679.09829873</v>
      </c>
      <c r="X3" t="n">
        <v>134094.7002294368</v>
      </c>
      <c r="Y3" t="n">
        <v>140357.9576436716</v>
      </c>
      <c r="Z3" t="n">
        <v>141931.4553872902</v>
      </c>
      <c r="AA3" t="n">
        <v>148881.5031120595</v>
      </c>
      <c r="AB3" t="n">
        <v>158789.2886501688</v>
      </c>
      <c r="AC3" t="n">
        <v>161316.4286090729</v>
      </c>
      <c r="AD3" t="n">
        <v>158309.7527807041</v>
      </c>
      <c r="AE3" t="n">
        <v>154302.0217224884</v>
      </c>
      <c r="AF3" t="n">
        <v>153769.0179749978</v>
      </c>
      <c r="AG3" t="n">
        <v>159143.8542414019</v>
      </c>
      <c r="AH3" t="n">
        <v>157659.7609072421</v>
      </c>
      <c r="AI3" t="n">
        <v>158584.4571502687</v>
      </c>
      <c r="AJ3" t="n">
        <v>160192.8549094842</v>
      </c>
      <c r="AK3" t="n">
        <v>171400.986147762</v>
      </c>
      <c r="AL3" t="n">
        <v>177339.7303625582</v>
      </c>
      <c r="AM3" t="n">
        <v>178628.3949179971</v>
      </c>
      <c r="AN3" t="n">
        <v>179994.9562115741</v>
      </c>
      <c r="AO3" t="n">
        <v>181228.9049275269</v>
      </c>
      <c r="AP3" t="n">
        <v>181025.0905443233</v>
      </c>
      <c r="AQ3" t="n">
        <v>179981.7470213285</v>
      </c>
      <c r="AR3" t="n">
        <v>167624.7836741265</v>
      </c>
      <c r="AS3" t="n">
        <v>161904.1754014415</v>
      </c>
      <c r="AT3" t="n">
        <v>163129.3182747044</v>
      </c>
      <c r="AU3" t="n">
        <v>159423.3471073075</v>
      </c>
      <c r="AV3" t="n">
        <v>161629.704049069</v>
      </c>
      <c r="AW3" t="n">
        <v>163134.3432124144</v>
      </c>
      <c r="AX3" t="n">
        <v>167857.9561039003</v>
      </c>
      <c r="AY3" t="n">
        <v>166609.2923473076</v>
      </c>
      <c r="AZ3" t="n">
        <v>169873.3647646146</v>
      </c>
      <c r="BA3" t="n">
        <v>171898.6794419917</v>
      </c>
      <c r="BB3" t="n">
        <v>171774.5831717725</v>
      </c>
      <c r="BC3" t="n">
        <v>178572.8837028076</v>
      </c>
      <c r="BD3" t="n">
        <v>179510.8841794208</v>
      </c>
      <c r="BE3" t="n">
        <v>177435.1906994178</v>
      </c>
    </row>
    <row r="4">
      <c r="A4" s="14" t="inlineStr">
        <is>
          <t>REST</t>
        </is>
      </c>
      <c r="B4" t="n">
        <v>411650.3630393801</v>
      </c>
      <c r="C4" t="n">
        <v>419464.8522533373</v>
      </c>
      <c r="D4" t="n">
        <v>460225.2513475017</v>
      </c>
      <c r="E4" t="n">
        <v>485600.640308082</v>
      </c>
      <c r="F4" t="n">
        <v>490434.4928266159</v>
      </c>
      <c r="G4" t="n">
        <v>519321.2475980927</v>
      </c>
      <c r="H4" t="n">
        <v>548114.6802806389</v>
      </c>
      <c r="I4" t="n">
        <v>532865.5984816187</v>
      </c>
      <c r="J4" t="n">
        <v>513054.5965392591</v>
      </c>
      <c r="K4" t="n">
        <v>559570.3524571237</v>
      </c>
      <c r="L4" t="n">
        <v>570967.8013726063</v>
      </c>
      <c r="M4" t="n">
        <v>585914.3025301159</v>
      </c>
      <c r="N4" t="n">
        <v>605503.7195492765</v>
      </c>
      <c r="O4" t="n">
        <v>595958.4539997339</v>
      </c>
      <c r="P4" t="n">
        <v>571217.1826005579</v>
      </c>
      <c r="Q4" t="n">
        <v>572900.062393529</v>
      </c>
      <c r="R4" t="n">
        <v>588340.1896378635</v>
      </c>
      <c r="S4" t="n">
        <v>643087.6911091156</v>
      </c>
      <c r="T4" t="n">
        <v>687835.5008956766</v>
      </c>
      <c r="U4" t="n">
        <v>753013.4712319335</v>
      </c>
      <c r="V4" t="n">
        <v>766533.0551170275</v>
      </c>
      <c r="W4" t="n">
        <v>773759.883584109</v>
      </c>
      <c r="X4" t="n">
        <v>769874.6956493731</v>
      </c>
      <c r="Y4" t="n">
        <v>778785.6887824115</v>
      </c>
      <c r="Z4" t="n">
        <v>777506.6240801777</v>
      </c>
      <c r="AA4" t="n">
        <v>783090.0379926905</v>
      </c>
      <c r="AB4" t="n">
        <v>790669.5322732792</v>
      </c>
      <c r="AC4" t="n">
        <v>840314.5892443059</v>
      </c>
      <c r="AD4" t="n">
        <v>887658.3860770294</v>
      </c>
      <c r="AE4" t="n">
        <v>927768.4495259183</v>
      </c>
      <c r="AF4" t="n">
        <v>956336.2451553276</v>
      </c>
      <c r="AG4" t="n">
        <v>994177.1792164518</v>
      </c>
      <c r="AH4" t="n">
        <v>1058538.429012055</v>
      </c>
      <c r="AI4" t="n">
        <v>1111451.202913584</v>
      </c>
      <c r="AJ4" t="n">
        <v>1160800.966628311</v>
      </c>
      <c r="AK4" t="n">
        <v>1182038.638196169</v>
      </c>
      <c r="AL4" t="n">
        <v>1166308.69631479</v>
      </c>
      <c r="AM4" t="n">
        <v>1196504.329992387</v>
      </c>
      <c r="AN4" t="n">
        <v>1310626.117069062</v>
      </c>
      <c r="AO4" t="n">
        <v>1402762.477579571</v>
      </c>
      <c r="AP4" t="n">
        <v>1468177.595653327</v>
      </c>
      <c r="AQ4" t="n">
        <v>1486203.261617712</v>
      </c>
      <c r="AR4" t="n">
        <v>1347206.038455899</v>
      </c>
      <c r="AS4" t="n">
        <v>1331167.325717672</v>
      </c>
      <c r="AT4" t="n">
        <v>1367626.499603715</v>
      </c>
      <c r="AU4" t="n">
        <v>1394607.052951425</v>
      </c>
      <c r="AV4" t="n">
        <v>1384723.600265643</v>
      </c>
      <c r="AW4" t="n">
        <v>1429188.768820581</v>
      </c>
      <c r="AX4" t="n">
        <v>1482747.139334347</v>
      </c>
      <c r="AY4" t="n">
        <v>1546927.680630374</v>
      </c>
      <c r="AZ4" t="n">
        <v>1582576.540408743</v>
      </c>
      <c r="BA4" t="n">
        <v>1615911.822410623</v>
      </c>
      <c r="BB4" t="n">
        <v>1646520.659483966</v>
      </c>
      <c r="BC4" t="n">
        <v>1622919.938166526</v>
      </c>
      <c r="BD4" t="n">
        <v>1733667.288669758</v>
      </c>
      <c r="BE4" t="n">
        <v>1826995.02770532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  <c r="BG1" s="14" t="n">
        <v>2023</v>
      </c>
      <c r="BH1" s="14" t="n">
        <v>2024</v>
      </c>
    </row>
    <row r="2">
      <c r="A2" s="14" t="inlineStr">
        <is>
          <t>01000</t>
        </is>
      </c>
      <c r="B2" t="n">
        <v>222779</v>
      </c>
      <c r="C2" t="n">
        <v>224430</v>
      </c>
      <c r="D2" t="n">
        <v>224282</v>
      </c>
      <c r="E2" t="n">
        <v>225092</v>
      </c>
      <c r="F2" t="n">
        <v>225532</v>
      </c>
      <c r="G2" t="n">
        <v>226385</v>
      </c>
      <c r="H2" t="n">
        <v>229269</v>
      </c>
      <c r="I2" t="n">
        <v>235171</v>
      </c>
      <c r="J2" t="n">
        <v>240479</v>
      </c>
      <c r="K2" t="n">
        <v>244016</v>
      </c>
      <c r="L2" t="n">
        <v>249923</v>
      </c>
      <c r="M2" t="n">
        <v>257543</v>
      </c>
      <c r="N2" t="n">
        <v>265709</v>
      </c>
      <c r="O2" t="n">
        <v>273950</v>
      </c>
      <c r="P2" t="n">
        <v>274839</v>
      </c>
      <c r="Q2" t="n">
        <v>271574</v>
      </c>
      <c r="R2" t="n">
        <v>269172</v>
      </c>
      <c r="S2" t="n">
        <v>265387</v>
      </c>
      <c r="T2" t="n">
        <v>264710</v>
      </c>
      <c r="U2" t="n">
        <v>266226</v>
      </c>
      <c r="V2" t="n">
        <v>266885</v>
      </c>
      <c r="W2" t="n">
        <v>266110</v>
      </c>
      <c r="X2" t="n">
        <v>264303</v>
      </c>
      <c r="Y2" t="n">
        <v>267224</v>
      </c>
      <c r="Z2" t="n">
        <v>270771</v>
      </c>
      <c r="AA2" t="n">
        <v>270977</v>
      </c>
      <c r="AB2" t="n">
        <v>269956</v>
      </c>
      <c r="AC2" t="n">
        <v>265165</v>
      </c>
      <c r="AD2" t="n">
        <v>261404</v>
      </c>
      <c r="AE2" t="n">
        <v>258846</v>
      </c>
      <c r="AF2" t="n">
        <v>255722</v>
      </c>
      <c r="AG2" t="n">
        <v>253481</v>
      </c>
      <c r="AH2" t="n">
        <v>250903</v>
      </c>
      <c r="AI2" t="n">
        <v>243755</v>
      </c>
      <c r="AJ2" t="n">
        <v>242098</v>
      </c>
      <c r="AK2" t="n">
        <v>242131</v>
      </c>
      <c r="AL2" t="n">
        <v>240161</v>
      </c>
      <c r="AM2" t="n">
        <v>238063</v>
      </c>
      <c r="AN2" t="n">
        <v>236088</v>
      </c>
      <c r="AO2" t="n">
        <v>234687</v>
      </c>
      <c r="AP2" t="n">
        <v>235845</v>
      </c>
      <c r="AQ2" t="n">
        <v>239330</v>
      </c>
      <c r="AR2" t="n">
        <v>242244</v>
      </c>
      <c r="AS2" t="n">
        <v>239024</v>
      </c>
      <c r="AT2" t="n">
        <v>234064</v>
      </c>
      <c r="AU2" t="n">
        <v>229103</v>
      </c>
      <c r="AV2" t="n">
        <v>225090</v>
      </c>
      <c r="AW2" t="n">
        <v>222016</v>
      </c>
      <c r="AX2" t="n">
        <v>218477</v>
      </c>
      <c r="AY2" t="n">
        <v>215268</v>
      </c>
      <c r="AZ2" t="n">
        <v>211288</v>
      </c>
      <c r="BA2" t="n">
        <v>208278</v>
      </c>
      <c r="BB2" t="n">
        <v>204256</v>
      </c>
      <c r="BC2" t="n">
        <v>200726</v>
      </c>
      <c r="BD2" t="n">
        <v>196514</v>
      </c>
      <c r="BE2" t="n">
        <v>194470</v>
      </c>
      <c r="BF2" t="n">
        <v>190650</v>
      </c>
      <c r="BG2" t="n">
        <v>187393</v>
      </c>
      <c r="BH2" t="n">
        <v>184590</v>
      </c>
    </row>
    <row r="3">
      <c r="A3" s="14" t="inlineStr">
        <is>
          <t>10120</t>
        </is>
      </c>
      <c r="B3" t="n">
        <v>34654</v>
      </c>
      <c r="C3" t="n">
        <v>36904</v>
      </c>
      <c r="D3" t="n">
        <v>38025</v>
      </c>
      <c r="E3" t="n">
        <v>39447</v>
      </c>
      <c r="F3" t="n">
        <v>40346</v>
      </c>
      <c r="G3" t="n">
        <v>41710</v>
      </c>
      <c r="H3" t="n">
        <v>42921</v>
      </c>
      <c r="I3" t="n">
        <v>44127</v>
      </c>
      <c r="J3" t="n">
        <v>46869</v>
      </c>
      <c r="K3" t="n">
        <v>48514</v>
      </c>
      <c r="L3" t="n">
        <v>50580</v>
      </c>
      <c r="M3" t="n">
        <v>52444</v>
      </c>
      <c r="N3" t="n">
        <v>54643</v>
      </c>
      <c r="O3" t="n">
        <v>57092</v>
      </c>
      <c r="P3" t="n">
        <v>58318</v>
      </c>
      <c r="Q3" t="n">
        <v>59085</v>
      </c>
      <c r="R3" t="n">
        <v>59216</v>
      </c>
      <c r="S3" t="n">
        <v>59268</v>
      </c>
      <c r="T3" t="n">
        <v>60351</v>
      </c>
      <c r="U3" t="n">
        <v>61829</v>
      </c>
      <c r="V3" t="n">
        <v>63940</v>
      </c>
      <c r="W3" t="n">
        <v>66178</v>
      </c>
      <c r="X3" t="n">
        <v>68823</v>
      </c>
      <c r="Y3" t="n">
        <v>71028</v>
      </c>
      <c r="Z3" t="n">
        <v>72698</v>
      </c>
      <c r="AA3" t="n">
        <v>75678</v>
      </c>
      <c r="AB3" t="n">
        <v>78426</v>
      </c>
      <c r="AC3" t="n">
        <v>79444</v>
      </c>
      <c r="AD3" t="n">
        <v>80168</v>
      </c>
      <c r="AE3" t="n">
        <v>80875</v>
      </c>
      <c r="AF3" t="n">
        <v>83394</v>
      </c>
      <c r="AG3" t="n">
        <v>83779</v>
      </c>
      <c r="AH3" t="n">
        <v>84571</v>
      </c>
      <c r="AI3" t="n">
        <v>84521</v>
      </c>
      <c r="AJ3" t="n">
        <v>86866</v>
      </c>
      <c r="AK3" t="n">
        <v>88848</v>
      </c>
      <c r="AL3" t="n">
        <v>90559</v>
      </c>
      <c r="AM3" t="n">
        <v>93051</v>
      </c>
      <c r="AN3" t="n">
        <v>95676</v>
      </c>
      <c r="AO3" t="n">
        <v>95904</v>
      </c>
      <c r="AP3" t="n">
        <v>95868</v>
      </c>
      <c r="AQ3" t="n">
        <v>96614</v>
      </c>
      <c r="AR3" t="n">
        <v>99622</v>
      </c>
      <c r="AS3" t="n">
        <v>102062</v>
      </c>
      <c r="AT3" t="n">
        <v>99903</v>
      </c>
      <c r="AU3" t="n">
        <v>98584</v>
      </c>
      <c r="AV3" t="n">
        <v>99448</v>
      </c>
      <c r="AW3" t="n">
        <v>99126</v>
      </c>
      <c r="AX3" t="n">
        <v>98817</v>
      </c>
      <c r="AY3" t="n">
        <v>98167</v>
      </c>
      <c r="AZ3" t="n">
        <v>97863</v>
      </c>
      <c r="BA3" t="n">
        <v>98143</v>
      </c>
      <c r="BB3" t="n">
        <v>100338</v>
      </c>
      <c r="BC3" t="n">
        <v>101517</v>
      </c>
      <c r="BD3" t="n">
        <v>101385</v>
      </c>
      <c r="BE3" t="n">
        <v>101864</v>
      </c>
      <c r="BF3" t="n">
        <v>102660</v>
      </c>
      <c r="BG3" t="n">
        <v>103486</v>
      </c>
      <c r="BH3" t="n">
        <v>104607</v>
      </c>
    </row>
    <row r="4">
      <c r="A4" s="14" t="inlineStr">
        <is>
          <t>Privat</t>
        </is>
      </c>
      <c r="B4" t="n">
        <v>2328289</v>
      </c>
      <c r="C4" t="n">
        <v>2420953</v>
      </c>
      <c r="D4" t="n">
        <v>2512851</v>
      </c>
      <c r="E4" t="n">
        <v>2625053</v>
      </c>
      <c r="F4" t="n">
        <v>2731578</v>
      </c>
      <c r="G4" t="n">
        <v>2833885</v>
      </c>
      <c r="H4" t="n">
        <v>2968039</v>
      </c>
      <c r="I4" t="n">
        <v>3113691</v>
      </c>
      <c r="J4" t="n">
        <v>3216009</v>
      </c>
      <c r="K4" t="n">
        <v>3292020</v>
      </c>
      <c r="L4" t="n">
        <v>3408556</v>
      </c>
      <c r="M4" t="n">
        <v>3511869</v>
      </c>
      <c r="N4" t="n">
        <v>3615136</v>
      </c>
      <c r="O4" t="n">
        <v>3713343</v>
      </c>
      <c r="P4" t="n">
        <v>3780940</v>
      </c>
      <c r="Q4" t="n">
        <v>3807718</v>
      </c>
      <c r="R4" t="n">
        <v>3850841</v>
      </c>
      <c r="S4" t="n">
        <v>3900678</v>
      </c>
      <c r="T4" t="n">
        <v>3969100</v>
      </c>
      <c r="U4" t="n">
        <v>4059681</v>
      </c>
      <c r="V4" t="n">
        <v>4195239</v>
      </c>
      <c r="W4" t="n">
        <v>4321877</v>
      </c>
      <c r="X4" t="n">
        <v>4413324</v>
      </c>
      <c r="Y4" t="n">
        <v>4504518</v>
      </c>
      <c r="Z4" t="n">
        <v>4595977</v>
      </c>
      <c r="AA4" t="n">
        <v>4658767</v>
      </c>
      <c r="AB4" t="n">
        <v>4707856</v>
      </c>
      <c r="AC4" t="n">
        <v>4740237</v>
      </c>
      <c r="AD4" t="n">
        <v>4773036</v>
      </c>
      <c r="AE4" t="n">
        <v>4825957</v>
      </c>
      <c r="AF4" t="n">
        <v>4885502</v>
      </c>
      <c r="AG4" t="n">
        <v>4955736</v>
      </c>
      <c r="AH4" t="n">
        <v>5039873</v>
      </c>
      <c r="AI4" t="n">
        <v>5107743</v>
      </c>
      <c r="AJ4" t="n">
        <v>5203157</v>
      </c>
      <c r="AK4" t="n">
        <v>5285017</v>
      </c>
      <c r="AL4" t="n">
        <v>5356277</v>
      </c>
      <c r="AM4" t="n">
        <v>5425441</v>
      </c>
      <c r="AN4" t="n">
        <v>5498539</v>
      </c>
      <c r="AO4" t="n">
        <v>5587189</v>
      </c>
      <c r="AP4" t="n">
        <v>5723562</v>
      </c>
      <c r="AQ4" t="n">
        <v>5850835</v>
      </c>
      <c r="AR4" t="n">
        <v>5942911</v>
      </c>
      <c r="AS4" t="n">
        <v>5987917</v>
      </c>
      <c r="AT4" t="n">
        <v>5990758</v>
      </c>
      <c r="AU4" t="n">
        <v>5995379</v>
      </c>
      <c r="AV4" t="n">
        <v>6010959</v>
      </c>
      <c r="AW4" t="n">
        <v>6036155</v>
      </c>
      <c r="AX4" t="n">
        <v>6077431</v>
      </c>
      <c r="AY4" t="n">
        <v>6133100</v>
      </c>
      <c r="AZ4" t="n">
        <v>6213595</v>
      </c>
      <c r="BA4" t="n">
        <v>6311588</v>
      </c>
      <c r="BB4" t="n">
        <v>6417049</v>
      </c>
      <c r="BC4" t="n">
        <v>6501720</v>
      </c>
      <c r="BD4" t="n">
        <v>6591703</v>
      </c>
      <c r="BE4" t="n">
        <v>6734739</v>
      </c>
      <c r="BF4" t="n">
        <v>6874669</v>
      </c>
      <c r="BG4" t="n">
        <v>6992400</v>
      </c>
      <c r="BH4" t="n">
        <v>7114398</v>
      </c>
    </row>
    <row r="5">
      <c r="A5" s="14" t="inlineStr">
        <is>
          <t>REST</t>
        </is>
      </c>
      <c r="B5" t="n">
        <v>2618163</v>
      </c>
      <c r="C5" t="n">
        <v>2738303</v>
      </c>
      <c r="D5" t="n">
        <v>2867006</v>
      </c>
      <c r="E5" t="n">
        <v>3015495</v>
      </c>
      <c r="F5" t="n">
        <v>3161059</v>
      </c>
      <c r="G5" t="n">
        <v>3302298</v>
      </c>
      <c r="H5" t="n">
        <v>3467494</v>
      </c>
      <c r="I5" t="n">
        <v>3631240</v>
      </c>
      <c r="J5" t="n">
        <v>3755637</v>
      </c>
      <c r="K5" t="n">
        <v>3856260</v>
      </c>
      <c r="L5" t="n">
        <v>3992820</v>
      </c>
      <c r="M5" t="n">
        <v>4114787</v>
      </c>
      <c r="N5" t="n">
        <v>4233512</v>
      </c>
      <c r="O5" t="n">
        <v>4350333</v>
      </c>
      <c r="P5" t="n">
        <v>4435830</v>
      </c>
      <c r="Q5" t="n">
        <v>4471498</v>
      </c>
      <c r="R5" t="n">
        <v>4517509</v>
      </c>
      <c r="S5" t="n">
        <v>4564886</v>
      </c>
      <c r="T5" t="n">
        <v>4625448</v>
      </c>
      <c r="U5" t="n">
        <v>4710206</v>
      </c>
      <c r="V5" t="n">
        <v>4837386</v>
      </c>
      <c r="W5" t="n">
        <v>4962141</v>
      </c>
      <c r="X5" t="n">
        <v>5055391</v>
      </c>
      <c r="Y5" t="n">
        <v>5137935</v>
      </c>
      <c r="Z5" t="n">
        <v>5217291</v>
      </c>
      <c r="AA5" t="n">
        <v>5264800</v>
      </c>
      <c r="AB5" t="n">
        <v>5305384</v>
      </c>
      <c r="AC5" t="n">
        <v>5328639</v>
      </c>
      <c r="AD5" t="n">
        <v>5354683</v>
      </c>
      <c r="AE5" t="n">
        <v>5403081</v>
      </c>
      <c r="AF5" t="n">
        <v>5462484</v>
      </c>
      <c r="AG5" t="n">
        <v>5531111</v>
      </c>
      <c r="AH5" t="n">
        <v>5612542</v>
      </c>
      <c r="AI5" t="n">
        <v>5682056</v>
      </c>
      <c r="AJ5" t="n">
        <v>5773271</v>
      </c>
      <c r="AK5" t="n">
        <v>5852073</v>
      </c>
      <c r="AL5" t="n">
        <v>5918328</v>
      </c>
      <c r="AM5" t="n">
        <v>5980902</v>
      </c>
      <c r="AN5" t="n">
        <v>6046439</v>
      </c>
      <c r="AO5" t="n">
        <v>6132550</v>
      </c>
      <c r="AP5" t="n">
        <v>6270696</v>
      </c>
      <c r="AQ5" t="n">
        <v>6395005</v>
      </c>
      <c r="AR5" t="n">
        <v>6486901</v>
      </c>
      <c r="AS5" t="n">
        <v>6533631</v>
      </c>
      <c r="AT5" t="n">
        <v>6550770</v>
      </c>
      <c r="AU5" t="n">
        <v>6568622</v>
      </c>
      <c r="AV5" t="n">
        <v>6599838</v>
      </c>
      <c r="AW5" t="n">
        <v>6638025</v>
      </c>
      <c r="AX5" t="n">
        <v>6696875</v>
      </c>
      <c r="AY5" t="n">
        <v>6769376</v>
      </c>
      <c r="AZ5" t="n">
        <v>6870825</v>
      </c>
      <c r="BA5" t="n">
        <v>6985059</v>
      </c>
      <c r="BB5" t="n">
        <v>7107156</v>
      </c>
      <c r="BC5" t="n">
        <v>7209258</v>
      </c>
      <c r="BD5" t="n">
        <v>7324959</v>
      </c>
      <c r="BE5" t="n">
        <v>7488001</v>
      </c>
      <c r="BF5" t="n">
        <v>7648052</v>
      </c>
      <c r="BG5" t="n">
        <v>7786450</v>
      </c>
      <c r="BH5" t="n">
        <v>7930718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</row>
    <row r="2">
      <c r="A2" s="14" t="inlineStr">
        <is>
          <t>01000</t>
        </is>
      </c>
      <c r="B2" t="n">
        <v>630.077</v>
      </c>
      <c r="C2" t="n">
        <v>595.974</v>
      </c>
      <c r="D2" t="n">
        <v>561.953</v>
      </c>
      <c r="E2" t="n">
        <v>532.92</v>
      </c>
      <c r="F2" t="n">
        <v>505.492</v>
      </c>
      <c r="G2" t="n">
        <v>472.538</v>
      </c>
      <c r="H2" t="n">
        <v>463.15</v>
      </c>
      <c r="I2" t="n">
        <v>454.509</v>
      </c>
      <c r="J2" t="n">
        <v>433.263</v>
      </c>
      <c r="K2" t="n">
        <v>415.44</v>
      </c>
      <c r="L2" t="n">
        <v>408.086</v>
      </c>
      <c r="M2" t="n">
        <v>393.844</v>
      </c>
      <c r="N2" t="n">
        <v>380.021</v>
      </c>
      <c r="O2" t="n">
        <v>361.6</v>
      </c>
      <c r="P2" t="n">
        <v>342.439</v>
      </c>
      <c r="Q2" t="n">
        <v>325.525</v>
      </c>
      <c r="R2" t="n">
        <v>314.708</v>
      </c>
      <c r="S2" t="n">
        <v>305.717</v>
      </c>
      <c r="T2" t="n">
        <v>297.005</v>
      </c>
      <c r="U2" t="n">
        <v>286.292</v>
      </c>
      <c r="V2" t="n">
        <v>277.373</v>
      </c>
      <c r="W2" t="n">
        <v>272.733</v>
      </c>
      <c r="X2" t="n">
        <v>247.527</v>
      </c>
      <c r="Y2" t="n">
        <v>239.832</v>
      </c>
      <c r="Z2" t="n">
        <v>229.64</v>
      </c>
      <c r="AA2" t="n">
        <v>224.577</v>
      </c>
      <c r="AB2" t="n">
        <v>216.746</v>
      </c>
      <c r="AC2" t="n">
        <v>205.929</v>
      </c>
      <c r="AD2" t="n">
        <v>187.306</v>
      </c>
      <c r="AE2" t="n">
        <v>180.889</v>
      </c>
      <c r="AF2" t="n">
        <v>173.049</v>
      </c>
      <c r="AG2" t="n">
        <v>162.332</v>
      </c>
      <c r="AH2" t="n">
        <v>160.81</v>
      </c>
      <c r="AI2" t="n">
        <v>152.28</v>
      </c>
      <c r="AJ2" t="n">
        <v>149.02</v>
      </c>
      <c r="AK2" t="n">
        <v>145.343</v>
      </c>
      <c r="AL2" t="n">
        <v>145.637</v>
      </c>
      <c r="AM2" t="n">
        <v>134.391</v>
      </c>
      <c r="AN2" t="n">
        <v>133.301</v>
      </c>
      <c r="AO2" t="n">
        <v>125.588</v>
      </c>
      <c r="AP2" t="n">
        <v>117.953</v>
      </c>
      <c r="AQ2" t="n">
        <v>114.771</v>
      </c>
      <c r="AR2" t="n">
        <v>109.397</v>
      </c>
      <c r="AS2" t="n">
        <v>101.938</v>
      </c>
      <c r="AT2" t="n">
        <v>98.59399999999999</v>
      </c>
      <c r="AU2" t="n">
        <v>97.13500000000001</v>
      </c>
      <c r="AV2" t="n">
        <v>95.702</v>
      </c>
      <c r="AW2" t="n">
        <v>94.81399999999999</v>
      </c>
      <c r="AX2" t="n">
        <v>95.678</v>
      </c>
      <c r="AY2" t="n">
        <v>97.467</v>
      </c>
      <c r="AZ2" t="n">
        <v>91.694</v>
      </c>
      <c r="BA2" t="n">
        <v>92.464</v>
      </c>
      <c r="BB2" t="n">
        <v>89.982</v>
      </c>
      <c r="BC2" t="n">
        <v>85.014</v>
      </c>
      <c r="BD2" t="n">
        <v>85.48999999999999</v>
      </c>
      <c r="BE2" t="n">
        <v>86.997</v>
      </c>
      <c r="BF2" t="n">
        <v>84.48999999999999</v>
      </c>
    </row>
    <row r="3">
      <c r="A3" s="14" t="inlineStr">
        <is>
          <t>10120</t>
        </is>
      </c>
      <c r="B3" t="n">
        <v>232.125</v>
      </c>
      <c r="C3" t="n">
        <v>220.326</v>
      </c>
      <c r="D3" t="n">
        <v>210.205</v>
      </c>
      <c r="E3" t="n">
        <v>204.42</v>
      </c>
      <c r="F3" t="n">
        <v>202.642</v>
      </c>
      <c r="G3" t="n">
        <v>194.114</v>
      </c>
      <c r="H3" t="n">
        <v>187.292</v>
      </c>
      <c r="I3" t="n">
        <v>179.902</v>
      </c>
      <c r="J3" t="n">
        <v>174.334</v>
      </c>
      <c r="K3" t="n">
        <v>156.33</v>
      </c>
      <c r="L3" t="n">
        <v>155.216</v>
      </c>
      <c r="M3" t="n">
        <v>152.588</v>
      </c>
      <c r="N3" t="n">
        <v>149.102</v>
      </c>
      <c r="O3" t="n">
        <v>150.151</v>
      </c>
      <c r="P3" t="n">
        <v>147.911</v>
      </c>
      <c r="Q3" t="n">
        <v>145.985</v>
      </c>
      <c r="R3" t="n">
        <v>146.121</v>
      </c>
      <c r="S3" t="n">
        <v>147.457</v>
      </c>
      <c r="T3" t="n">
        <v>147.552</v>
      </c>
      <c r="U3" t="n">
        <v>145.082</v>
      </c>
      <c r="V3" t="n">
        <v>148.494</v>
      </c>
      <c r="W3" t="n">
        <v>140.336</v>
      </c>
      <c r="X3" t="n">
        <v>138.844</v>
      </c>
      <c r="Y3" t="n">
        <v>133.495</v>
      </c>
      <c r="Z3" t="n">
        <v>129.957</v>
      </c>
      <c r="AA3" t="n">
        <v>129.1</v>
      </c>
      <c r="AB3" t="n">
        <v>127.466</v>
      </c>
      <c r="AC3" t="n">
        <v>124.695</v>
      </c>
      <c r="AD3" t="n">
        <v>121.438</v>
      </c>
      <c r="AE3" t="n">
        <v>123.972</v>
      </c>
      <c r="AF3" t="n">
        <v>120.697</v>
      </c>
      <c r="AG3" t="n">
        <v>117.906</v>
      </c>
      <c r="AH3" t="n">
        <v>115.14</v>
      </c>
      <c r="AI3" t="n">
        <v>116.399</v>
      </c>
      <c r="AJ3" t="n">
        <v>117.301</v>
      </c>
      <c r="AK3" t="n">
        <v>117.036</v>
      </c>
      <c r="AL3" t="n">
        <v>116.729</v>
      </c>
      <c r="AM3" t="n">
        <v>110.661</v>
      </c>
      <c r="AN3" t="n">
        <v>106.601</v>
      </c>
      <c r="AO3" t="n">
        <v>99.25</v>
      </c>
      <c r="AP3" t="n">
        <v>95.15600000000001</v>
      </c>
      <c r="AQ3" t="n">
        <v>90.557</v>
      </c>
      <c r="AR3" t="n">
        <v>89.33199999999999</v>
      </c>
      <c r="AS3" t="n">
        <v>83.22</v>
      </c>
      <c r="AT3" t="n">
        <v>79.289</v>
      </c>
      <c r="AU3" t="n">
        <v>76.71899999999999</v>
      </c>
      <c r="AV3" t="n">
        <v>73.253</v>
      </c>
      <c r="AW3" t="n">
        <v>70.479</v>
      </c>
      <c r="AX3" t="n">
        <v>66.267</v>
      </c>
      <c r="AY3" t="n">
        <v>64.949</v>
      </c>
      <c r="AZ3" t="n">
        <v>65.699</v>
      </c>
      <c r="BA3" t="n">
        <v>67.126</v>
      </c>
      <c r="BB3" t="n">
        <v>65.33499999999999</v>
      </c>
      <c r="BC3" t="n">
        <v>65.51900000000001</v>
      </c>
      <c r="BD3" t="n">
        <v>70.152</v>
      </c>
      <c r="BE3" t="n">
        <v>70.23999999999999</v>
      </c>
      <c r="BF3" t="n">
        <v>69.952</v>
      </c>
    </row>
    <row r="4">
      <c r="A4" s="14" t="inlineStr">
        <is>
          <t>Privat</t>
        </is>
      </c>
      <c r="B4" t="n">
        <v>3143.073</v>
      </c>
      <c r="C4" t="n">
        <v>3077.567</v>
      </c>
      <c r="D4" t="n">
        <v>3040.631</v>
      </c>
      <c r="E4" t="n">
        <v>3025.629</v>
      </c>
      <c r="F4" t="n">
        <v>3014.989</v>
      </c>
      <c r="G4" t="n">
        <v>2937.88</v>
      </c>
      <c r="H4" t="n">
        <v>2863.709</v>
      </c>
      <c r="I4" t="n">
        <v>2801.221</v>
      </c>
      <c r="J4" t="n">
        <v>2735.764</v>
      </c>
      <c r="K4" t="n">
        <v>2546.486</v>
      </c>
      <c r="L4" t="n">
        <v>2610.71</v>
      </c>
      <c r="M4" t="n">
        <v>2563.278</v>
      </c>
      <c r="N4" t="n">
        <v>2526.133</v>
      </c>
      <c r="O4" t="n">
        <v>2517.724</v>
      </c>
      <c r="P4" t="n">
        <v>2463.159</v>
      </c>
      <c r="Q4" t="n">
        <v>2317.728</v>
      </c>
      <c r="R4" t="n">
        <v>2323.815</v>
      </c>
      <c r="S4" t="n">
        <v>2311.374</v>
      </c>
      <c r="T4" t="n">
        <v>2375.899</v>
      </c>
      <c r="U4" t="n">
        <v>2436.049</v>
      </c>
      <c r="V4" t="n">
        <v>2531.631</v>
      </c>
      <c r="W4" t="n">
        <v>2485.704</v>
      </c>
      <c r="X4" t="n">
        <v>2427.86</v>
      </c>
      <c r="Y4" t="n">
        <v>2392.102</v>
      </c>
      <c r="Z4" t="n">
        <v>2367.943</v>
      </c>
      <c r="AA4" t="n">
        <v>2345.393</v>
      </c>
      <c r="AB4" t="n">
        <v>2355.778</v>
      </c>
      <c r="AC4" t="n">
        <v>2297.253</v>
      </c>
      <c r="AD4" t="n">
        <v>2290.292</v>
      </c>
      <c r="AE4" t="n">
        <v>2349.179</v>
      </c>
      <c r="AF4" t="n">
        <v>2382.269</v>
      </c>
      <c r="AG4" t="n">
        <v>2451.678</v>
      </c>
      <c r="AH4" t="n">
        <v>2516.331</v>
      </c>
      <c r="AI4" t="n">
        <v>2590.934</v>
      </c>
      <c r="AJ4" t="n">
        <v>2663.535</v>
      </c>
      <c r="AK4" t="n">
        <v>2691.526</v>
      </c>
      <c r="AL4" t="n">
        <v>2671.37</v>
      </c>
      <c r="AM4" t="n">
        <v>2624.379</v>
      </c>
      <c r="AN4" t="n">
        <v>2612.563</v>
      </c>
      <c r="AO4" t="n">
        <v>2641.905</v>
      </c>
      <c r="AP4" t="n">
        <v>2724.381</v>
      </c>
      <c r="AQ4" t="n">
        <v>2771.278</v>
      </c>
      <c r="AR4" t="n">
        <v>2808.093</v>
      </c>
      <c r="AS4" t="n">
        <v>2618.122</v>
      </c>
      <c r="AT4" t="n">
        <v>2541.281</v>
      </c>
      <c r="AU4" t="n">
        <v>2594.214</v>
      </c>
      <c r="AV4" t="n">
        <v>2554.006</v>
      </c>
      <c r="AW4" t="n">
        <v>2559.716</v>
      </c>
      <c r="AX4" t="n">
        <v>2562.253</v>
      </c>
      <c r="AY4" t="n">
        <v>2604.218</v>
      </c>
      <c r="AZ4" t="n">
        <v>2689.705</v>
      </c>
      <c r="BA4" t="n">
        <v>2725.711</v>
      </c>
      <c r="BB4" t="n">
        <v>2722.559</v>
      </c>
      <c r="BC4" t="n">
        <v>2750.48</v>
      </c>
      <c r="BD4" t="n">
        <v>2620.695</v>
      </c>
      <c r="BE4" t="n">
        <v>2789.53</v>
      </c>
      <c r="BF4" t="n">
        <v>2945.371</v>
      </c>
    </row>
    <row r="5">
      <c r="A5" s="14" t="inlineStr">
        <is>
          <t>REST</t>
        </is>
      </c>
      <c r="B5" t="n">
        <v>3742.182</v>
      </c>
      <c r="C5" t="n">
        <v>3720.867</v>
      </c>
      <c r="D5" t="n">
        <v>3695.254</v>
      </c>
      <c r="E5" t="n">
        <v>3716.009</v>
      </c>
      <c r="F5" t="n">
        <v>3741.101</v>
      </c>
      <c r="G5" t="n">
        <v>3694.889</v>
      </c>
      <c r="H5" t="n">
        <v>3653.882</v>
      </c>
      <c r="I5" t="n">
        <v>3614.336</v>
      </c>
      <c r="J5" t="n">
        <v>3566.698</v>
      </c>
      <c r="K5" t="n">
        <v>3379.346</v>
      </c>
      <c r="L5" t="n">
        <v>3472.797</v>
      </c>
      <c r="M5" t="n">
        <v>3418.194</v>
      </c>
      <c r="N5" t="n">
        <v>3410.781</v>
      </c>
      <c r="O5" t="n">
        <v>3444.395</v>
      </c>
      <c r="P5" t="n">
        <v>3477.283</v>
      </c>
      <c r="Q5" t="n">
        <v>3356.998</v>
      </c>
      <c r="R5" t="n">
        <v>3400.968</v>
      </c>
      <c r="S5" t="n">
        <v>3394.252</v>
      </c>
      <c r="T5" t="n">
        <v>3445.565</v>
      </c>
      <c r="U5" t="n">
        <v>3514.7</v>
      </c>
      <c r="V5" t="n">
        <v>3625.889</v>
      </c>
      <c r="W5" t="n">
        <v>3568.13</v>
      </c>
      <c r="X5" t="n">
        <v>3517.672</v>
      </c>
      <c r="Y5" t="n">
        <v>3475.337</v>
      </c>
      <c r="Z5" t="n">
        <v>3434.81</v>
      </c>
      <c r="AA5" t="n">
        <v>3395.609</v>
      </c>
      <c r="AB5" t="n">
        <v>3413.744</v>
      </c>
      <c r="AC5" t="n">
        <v>3357.281</v>
      </c>
      <c r="AD5" t="n">
        <v>3342.697</v>
      </c>
      <c r="AE5" t="n">
        <v>3401.971</v>
      </c>
      <c r="AF5" t="n">
        <v>3431.762</v>
      </c>
      <c r="AG5" t="n">
        <v>3539.072</v>
      </c>
      <c r="AH5" t="n">
        <v>3632.582</v>
      </c>
      <c r="AI5" t="n">
        <v>3714.509</v>
      </c>
      <c r="AJ5" t="n">
        <v>3772.557</v>
      </c>
      <c r="AK5" t="n">
        <v>3824.171</v>
      </c>
      <c r="AL5" t="n">
        <v>3809.762</v>
      </c>
      <c r="AM5" t="n">
        <v>3776.588</v>
      </c>
      <c r="AN5" t="n">
        <v>3761.275</v>
      </c>
      <c r="AO5" t="n">
        <v>3814.54</v>
      </c>
      <c r="AP5" t="n">
        <v>3929.729</v>
      </c>
      <c r="AQ5" t="n">
        <v>3967.488</v>
      </c>
      <c r="AR5" t="n">
        <v>4018.058</v>
      </c>
      <c r="AS5" t="n">
        <v>3861.885</v>
      </c>
      <c r="AT5" t="n">
        <v>3790.107</v>
      </c>
      <c r="AU5" t="n">
        <v>3830.075</v>
      </c>
      <c r="AV5" t="n">
        <v>3769.454</v>
      </c>
      <c r="AW5" t="n">
        <v>3781.533</v>
      </c>
      <c r="AX5" t="n">
        <v>3776.795</v>
      </c>
      <c r="AY5" t="n">
        <v>3815.08</v>
      </c>
      <c r="AZ5" t="n">
        <v>3899.913</v>
      </c>
      <c r="BA5" t="n">
        <v>3935.591</v>
      </c>
      <c r="BB5" t="n">
        <v>3934.302</v>
      </c>
      <c r="BC5" t="n">
        <v>3972.38</v>
      </c>
      <c r="BD5" t="n">
        <v>3827.066</v>
      </c>
      <c r="BE5" t="n">
        <v>4062.261</v>
      </c>
      <c r="BF5" t="n">
        <v>4225.398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n">
        <v>0.2560739121458371</v>
      </c>
      <c r="C2" t="n">
        <v>0.2583400373049164</v>
      </c>
      <c r="D2" t="n">
        <v>0.2810525753243573</v>
      </c>
      <c r="E2" t="n">
        <v>0.3043012070476516</v>
      </c>
      <c r="F2" t="n">
        <v>0.2981196691805785</v>
      </c>
      <c r="G2" t="n">
        <v>0.3339359020225236</v>
      </c>
      <c r="H2" t="n">
        <v>0.4305279872834995</v>
      </c>
      <c r="I2" t="n">
        <v>0.4441488865810277</v>
      </c>
      <c r="J2" t="n">
        <v>0.4871519196396347</v>
      </c>
      <c r="K2" t="n">
        <v>0.5640882024993873</v>
      </c>
      <c r="L2" t="n">
        <v>0.5951435602038827</v>
      </c>
      <c r="M2" t="n">
        <v>0.6345172012790889</v>
      </c>
      <c r="N2" t="n">
        <v>0.6509635058807008</v>
      </c>
      <c r="O2" t="n">
        <v>0.7231817689893076</v>
      </c>
      <c r="P2" t="n">
        <v>0.8119098097553131</v>
      </c>
      <c r="Q2" t="n">
        <v>0.9104181225453216</v>
      </c>
      <c r="R2" t="n">
        <v>0.9546656452935764</v>
      </c>
      <c r="S2" t="n">
        <v>0.9919767301940784</v>
      </c>
      <c r="T2" t="n">
        <v>0.9874915133328732</v>
      </c>
      <c r="U2" t="n">
        <v>0.9547584228003702</v>
      </c>
      <c r="V2" t="n">
        <v>0.9536064786908648</v>
      </c>
      <c r="W2" t="n">
        <v>0.932897985505861</v>
      </c>
      <c r="X2" t="n">
        <v>0.9723989166633664</v>
      </c>
      <c r="Y2" t="n">
        <v>0.9061487322206676</v>
      </c>
      <c r="Z2" t="n">
        <v>0.8933905651510315</v>
      </c>
      <c r="AA2" t="n">
        <v>0.9027064033818472</v>
      </c>
      <c r="AB2" t="n">
        <v>0.80025434628797</v>
      </c>
      <c r="AC2" t="n">
        <v>0.8008948784587202</v>
      </c>
      <c r="AD2" t="n">
        <v>0.8356474583637411</v>
      </c>
      <c r="AE2" t="n">
        <v>0.8470011582738127</v>
      </c>
      <c r="AF2" t="n">
        <v>0.8467165829673531</v>
      </c>
      <c r="AG2" t="n">
        <v>0.7519186091872522</v>
      </c>
      <c r="AH2" t="n">
        <v>0.7351271869925892</v>
      </c>
      <c r="AI2" t="n">
        <v>0.8024794898099309</v>
      </c>
      <c r="AJ2" t="n">
        <v>0.8571823870657378</v>
      </c>
      <c r="AK2" t="n">
        <v>0.7809177322508079</v>
      </c>
      <c r="AL2" t="n">
        <v>0.7551537917641605</v>
      </c>
      <c r="AM2" t="n">
        <v>0.7775565705695168</v>
      </c>
      <c r="AN2" t="n">
        <v>0.7183385474398479</v>
      </c>
      <c r="AO2" t="n">
        <v>0.7313255284552777</v>
      </c>
      <c r="AP2" t="n">
        <v>0.7626810309872719</v>
      </c>
      <c r="AQ2" t="n">
        <v>0.8360712113801251</v>
      </c>
      <c r="AR2" t="n">
        <v>0.7960780301706646</v>
      </c>
      <c r="AS2" t="n">
        <v>0.844624641510905</v>
      </c>
      <c r="AT2" t="n">
        <v>0.9483546237484212</v>
      </c>
      <c r="AU2" t="n">
        <v>1.029352267303177</v>
      </c>
      <c r="AV2" t="n">
        <v>0.9779207033370632</v>
      </c>
      <c r="AW2" t="n">
        <v>0.9385341083305344</v>
      </c>
      <c r="AX2" t="n">
        <v>0.8680480687079508</v>
      </c>
      <c r="AY2" t="n">
        <v>0.881366596530159</v>
      </c>
      <c r="AZ2" t="n">
        <v>0.9560939020926764</v>
      </c>
      <c r="BA2" t="n">
        <v>0.9115415845099554</v>
      </c>
      <c r="BB2" t="n">
        <v>0.9851761620682608</v>
      </c>
      <c r="BC2" t="n">
        <v>1</v>
      </c>
      <c r="BD2" t="n">
        <v>0.9783678672673112</v>
      </c>
      <c r="BE2" t="n">
        <v>1.17552286550737</v>
      </c>
    </row>
    <row r="3">
      <c r="A3" s="14" t="inlineStr">
        <is>
          <t>10120</t>
        </is>
      </c>
      <c r="B3" t="n">
        <v>0.2173672599300296</v>
      </c>
      <c r="C3" t="n">
        <v>0.2171001923326902</v>
      </c>
      <c r="D3" t="n">
        <v>0.2334346688875489</v>
      </c>
      <c r="E3" t="n">
        <v>0.2501914069225834</v>
      </c>
      <c r="F3" t="n">
        <v>0.2579297879604246</v>
      </c>
      <c r="G3" t="n">
        <v>0.2766724070313018</v>
      </c>
      <c r="H3" t="n">
        <v>0.3541355386372814</v>
      </c>
      <c r="I3" t="n">
        <v>0.3836503717511528</v>
      </c>
      <c r="J3" t="n">
        <v>0.4142895444601047</v>
      </c>
      <c r="K3" t="n">
        <v>0.4527399107309284</v>
      </c>
      <c r="L3" t="n">
        <v>0.4877205150289943</v>
      </c>
      <c r="M3" t="n">
        <v>0.5174875123674979</v>
      </c>
      <c r="N3" t="n">
        <v>0.5245286291313774</v>
      </c>
      <c r="O3" t="n">
        <v>0.5781365622231825</v>
      </c>
      <c r="P3" t="n">
        <v>0.6515625758525497</v>
      </c>
      <c r="Q3" t="n">
        <v>0.7242084587851315</v>
      </c>
      <c r="R3" t="n">
        <v>0.7493764881075909</v>
      </c>
      <c r="S3" t="n">
        <v>0.8071227027550943</v>
      </c>
      <c r="T3" t="n">
        <v>0.8062752478170422</v>
      </c>
      <c r="U3" t="n">
        <v>0.7677319756437212</v>
      </c>
      <c r="V3" t="n">
        <v>0.7554649541830261</v>
      </c>
      <c r="W3" t="n">
        <v>0.7647753999465643</v>
      </c>
      <c r="X3" t="n">
        <v>0.8150770170885109</v>
      </c>
      <c r="Y3" t="n">
        <v>0.7943401044749195</v>
      </c>
      <c r="Z3" t="n">
        <v>0.7917599520249209</v>
      </c>
      <c r="AA3" t="n">
        <v>0.8113853972352395</v>
      </c>
      <c r="AB3" t="n">
        <v>0.754799636887209</v>
      </c>
      <c r="AC3" t="n">
        <v>0.7611440121864809</v>
      </c>
      <c r="AD3" t="n">
        <v>0.7685614584157495</v>
      </c>
      <c r="AE3" t="n">
        <v>0.7856548630320012</v>
      </c>
      <c r="AF3" t="n">
        <v>0.7980358557987525</v>
      </c>
      <c r="AG3" t="n">
        <v>0.7540223703857325</v>
      </c>
      <c r="AH3" t="n">
        <v>0.7306972532011731</v>
      </c>
      <c r="AI3" t="n">
        <v>0.7802627541738977</v>
      </c>
      <c r="AJ3" t="n">
        <v>0.8197000870513229</v>
      </c>
      <c r="AK3" t="n">
        <v>0.8201806701161583</v>
      </c>
      <c r="AL3" t="n">
        <v>0.8045986723129568</v>
      </c>
      <c r="AM3" t="n">
        <v>0.8107377772486934</v>
      </c>
      <c r="AN3" t="n">
        <v>0.8183370067903222</v>
      </c>
      <c r="AO3" t="n">
        <v>0.8320036136752562</v>
      </c>
      <c r="AP3" t="n">
        <v>0.8605144901243066</v>
      </c>
      <c r="AQ3" t="n">
        <v>0.9218334337105294</v>
      </c>
      <c r="AR3" t="n">
        <v>0.8863758267496896</v>
      </c>
      <c r="AS3" t="n">
        <v>0.9158215716553592</v>
      </c>
      <c r="AT3" t="n">
        <v>0.9597641545545637</v>
      </c>
      <c r="AU3" t="n">
        <v>0.9927584587180036</v>
      </c>
      <c r="AV3" t="n">
        <v>1.009094739816772</v>
      </c>
      <c r="AW3" t="n">
        <v>0.9817921501943369</v>
      </c>
      <c r="AX3" t="n">
        <v>0.9669314879838984</v>
      </c>
      <c r="AY3" t="n">
        <v>0.9721225892525592</v>
      </c>
      <c r="AZ3" t="n">
        <v>0.9816736352109988</v>
      </c>
      <c r="BA3" t="n">
        <v>0.9721503040333598</v>
      </c>
      <c r="BB3" t="n">
        <v>0.9972466049214757</v>
      </c>
      <c r="BC3" t="n">
        <v>1</v>
      </c>
      <c r="BD3" t="n">
        <v>0.9914565053417658</v>
      </c>
      <c r="BE3" t="n">
        <v>1.14727594879914</v>
      </c>
    </row>
    <row r="4">
      <c r="A4" s="14" t="inlineStr">
        <is>
          <t>Privat</t>
        </is>
      </c>
      <c r="B4" t="n">
        <v>0.0467374161498181</v>
      </c>
      <c r="C4" t="n">
        <v>0.0580660916320008</v>
      </c>
      <c r="D4" t="n">
        <v>0.0623315296250012</v>
      </c>
      <c r="E4" t="n">
        <v>0.0703201695969518</v>
      </c>
      <c r="F4" t="n">
        <v>0.0863124471188063</v>
      </c>
      <c r="G4" t="n">
        <v>0.09331933535842681</v>
      </c>
      <c r="H4" t="n">
        <v>0.0924011032848093</v>
      </c>
      <c r="I4" t="n">
        <v>0.1223501560356725</v>
      </c>
      <c r="J4" t="n">
        <v>0.1491128295452317</v>
      </c>
      <c r="K4" t="n">
        <v>0.1563776740308066</v>
      </c>
      <c r="L4" t="n">
        <v>0.1707368743398608</v>
      </c>
      <c r="M4" t="n">
        <v>0.1846069863469922</v>
      </c>
      <c r="N4" t="n">
        <v>0.2045028894604869</v>
      </c>
      <c r="O4" t="n">
        <v>0.2257678758780389</v>
      </c>
      <c r="P4" t="n">
        <v>0.2512639016806158</v>
      </c>
      <c r="Q4" t="n">
        <v>0.2822346671107486</v>
      </c>
      <c r="R4" t="n">
        <v>0.3059584614635953</v>
      </c>
      <c r="S4" t="n">
        <v>0.3209647957920772</v>
      </c>
      <c r="T4" t="n">
        <v>0.34059038830601</v>
      </c>
      <c r="U4" t="n">
        <v>0.3571653498010717</v>
      </c>
      <c r="V4" t="n">
        <v>0.3972827485501952</v>
      </c>
      <c r="W4" t="n">
        <v>0.4314535918037152</v>
      </c>
      <c r="X4" t="n">
        <v>0.4535282289929617</v>
      </c>
      <c r="Y4" t="n">
        <v>0.4905534969019586</v>
      </c>
      <c r="Z4" t="n">
        <v>0.5181339131536636</v>
      </c>
      <c r="AA4" t="n">
        <v>0.5324777234542667</v>
      </c>
      <c r="AB4" t="n">
        <v>0.5610459950256724</v>
      </c>
      <c r="AC4" t="n">
        <v>0.5701048748839006</v>
      </c>
      <c r="AD4" t="n">
        <v>0.5692969282346902</v>
      </c>
      <c r="AE4" t="n">
        <v>0.5820049541239075</v>
      </c>
      <c r="AF4" t="n">
        <v>0.6034869364517977</v>
      </c>
      <c r="AG4" t="n">
        <v>0.6401066959161195</v>
      </c>
      <c r="AH4" t="n">
        <v>0.6634461169289323</v>
      </c>
      <c r="AI4" t="n">
        <v>0.6665967985533467</v>
      </c>
      <c r="AJ4" t="n">
        <v>0.6844978651113655</v>
      </c>
      <c r="AK4" t="n">
        <v>0.7213352354703939</v>
      </c>
      <c r="AL4" t="n">
        <v>0.7454720317885769</v>
      </c>
      <c r="AM4" t="n">
        <v>0.7648773976342874</v>
      </c>
      <c r="AN4" t="n">
        <v>0.7951487576477987</v>
      </c>
      <c r="AO4" t="n">
        <v>0.813311830989622</v>
      </c>
      <c r="AP4" t="n">
        <v>0.834077596720991</v>
      </c>
      <c r="AQ4" t="n">
        <v>0.8597700286452328</v>
      </c>
      <c r="AR4" t="n">
        <v>0.9013075986440676</v>
      </c>
      <c r="AS4" t="n">
        <v>0.9095514691928622</v>
      </c>
      <c r="AT4" t="n">
        <v>0.8896666697890236</v>
      </c>
      <c r="AU4" t="n">
        <v>0.8957344771437757</v>
      </c>
      <c r="AV4" t="n">
        <v>0.9095101897485466</v>
      </c>
      <c r="AW4" t="n">
        <v>0.9141324432497476</v>
      </c>
      <c r="AX4" t="n">
        <v>0.9188853679933278</v>
      </c>
      <c r="AY4" t="n">
        <v>0.9283278000282484</v>
      </c>
      <c r="AZ4" t="n">
        <v>0.931137260308308</v>
      </c>
      <c r="BA4" t="n">
        <v>0.955946069601438</v>
      </c>
      <c r="BB4" t="n">
        <v>0.9547769406809704</v>
      </c>
      <c r="BC4" t="n">
        <v>1</v>
      </c>
      <c r="BD4" t="n">
        <v>1.022244940023255</v>
      </c>
      <c r="BE4" t="n">
        <v>1.0486358050168</v>
      </c>
    </row>
    <row r="5">
      <c r="A5" s="14" t="inlineStr">
        <is>
          <t>REST</t>
        </is>
      </c>
      <c r="B5" t="n">
        <v>0.1136752432026936</v>
      </c>
      <c r="C5" t="n">
        <v>0.1197020330495659</v>
      </c>
      <c r="D5" t="n">
        <v>0.1271209157610556</v>
      </c>
      <c r="E5" t="n">
        <v>0.1379434008351844</v>
      </c>
      <c r="F5" t="n">
        <v>0.148178059019954</v>
      </c>
      <c r="G5" t="n">
        <v>0.1592559649887713</v>
      </c>
      <c r="H5" t="n">
        <v>0.1759983365656457</v>
      </c>
      <c r="I5" t="n">
        <v>0.2107790527684528</v>
      </c>
      <c r="J5" t="n">
        <v>0.2357893324603005</v>
      </c>
      <c r="K5" t="n">
        <v>0.2547440952086625</v>
      </c>
      <c r="L5" t="n">
        <v>0.2753793075551598</v>
      </c>
      <c r="M5" t="n">
        <v>0.2951329535485673</v>
      </c>
      <c r="N5" t="n">
        <v>0.3184311553395956</v>
      </c>
      <c r="O5" t="n">
        <v>0.3532929481496323</v>
      </c>
      <c r="P5" t="n">
        <v>0.3966256215921297</v>
      </c>
      <c r="Q5" t="n">
        <v>0.4394918173776138</v>
      </c>
      <c r="R5" t="n">
        <v>0.4718815267218839</v>
      </c>
      <c r="S5" t="n">
        <v>0.4973937410610327</v>
      </c>
      <c r="T5" t="n">
        <v>0.519822956234498</v>
      </c>
      <c r="U5" t="n">
        <v>0.5167207302339891</v>
      </c>
      <c r="V5" t="n">
        <v>0.5328589759428815</v>
      </c>
      <c r="W5" t="n">
        <v>0.548848244866727</v>
      </c>
      <c r="X5" t="n">
        <v>0.5818756640542537</v>
      </c>
      <c r="Y5" t="n">
        <v>0.5985547243939237</v>
      </c>
      <c r="Z5" t="n">
        <v>0.6156421283098432</v>
      </c>
      <c r="AA5" t="n">
        <v>0.624242565537826</v>
      </c>
      <c r="AB5" t="n">
        <v>0.6287708203990263</v>
      </c>
      <c r="AC5" t="n">
        <v>0.640203259133712</v>
      </c>
      <c r="AD5" t="n">
        <v>0.6507645228641847</v>
      </c>
      <c r="AE5" t="n">
        <v>0.660434608759197</v>
      </c>
      <c r="AF5" t="n">
        <v>0.6761765832780293</v>
      </c>
      <c r="AG5" t="n">
        <v>0.6832887741565403</v>
      </c>
      <c r="AH5" t="n">
        <v>0.6927544219788386</v>
      </c>
      <c r="AI5" t="n">
        <v>0.7208939786682395</v>
      </c>
      <c r="AJ5" t="n">
        <v>0.7383961413244986</v>
      </c>
      <c r="AK5" t="n">
        <v>0.7485157445064708</v>
      </c>
      <c r="AL5" t="n">
        <v>0.7564784089848686</v>
      </c>
      <c r="AM5" t="n">
        <v>0.7718492469629588</v>
      </c>
      <c r="AN5" t="n">
        <v>0.7958936348967173</v>
      </c>
      <c r="AO5" t="n">
        <v>0.8182564074654928</v>
      </c>
      <c r="AP5" t="n">
        <v>0.8408502250276604</v>
      </c>
      <c r="AQ5" t="n">
        <v>0.8782255503486226</v>
      </c>
      <c r="AR5" t="n">
        <v>0.8666299713760237</v>
      </c>
      <c r="AS5" t="n">
        <v>0.8984180568580943</v>
      </c>
      <c r="AT5" t="n">
        <v>0.9118211445314643</v>
      </c>
      <c r="AU5" t="n">
        <v>0.9327420838923708</v>
      </c>
      <c r="AV5" t="n">
        <v>0.940635566259245</v>
      </c>
      <c r="AW5" t="n">
        <v>0.9445256246337032</v>
      </c>
      <c r="AX5" t="n">
        <v>0.9466760094647854</v>
      </c>
      <c r="AY5" t="n">
        <v>0.9377484892464784</v>
      </c>
      <c r="AZ5" t="n">
        <v>0.9569345575652062</v>
      </c>
      <c r="BA5" t="n">
        <v>0.9734433248808998</v>
      </c>
      <c r="BB5" t="n">
        <v>0.986326413592357</v>
      </c>
      <c r="BC5" t="n">
        <v>1</v>
      </c>
      <c r="BD5" t="n">
        <v>1.049692119787662</v>
      </c>
      <c r="BE5" t="n">
        <v>1.187597937742398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</row>
    <row r="2">
      <c r="A2" s="14" t="inlineStr">
        <is>
          <t>01000</t>
        </is>
      </c>
      <c r="B2" t="n">
        <v>4.961465856150742</v>
      </c>
      <c r="C2" t="n">
        <v>5.326186276671321</v>
      </c>
      <c r="D2" t="n">
        <v>5.644206084281077</v>
      </c>
      <c r="E2" t="n">
        <v>6.012332650485236</v>
      </c>
      <c r="F2" t="n">
        <v>5.843746132059673</v>
      </c>
      <c r="G2" t="n">
        <v>6.860279967100272</v>
      </c>
      <c r="H2" t="n">
        <v>7.078671089940801</v>
      </c>
      <c r="I2" t="n">
        <v>7.972720231543761</v>
      </c>
      <c r="J2" t="n">
        <v>9.640369336482715</v>
      </c>
      <c r="K2" t="n">
        <v>11.50581698993282</v>
      </c>
      <c r="L2" t="n">
        <v>12.85365745699843</v>
      </c>
      <c r="M2" t="n">
        <v>14.34634550721398</v>
      </c>
      <c r="N2" t="n">
        <v>16.74978601448369</v>
      </c>
      <c r="O2" t="n">
        <v>19.344179113318</v>
      </c>
      <c r="P2" t="n">
        <v>22.66203120200811</v>
      </c>
      <c r="Q2" t="n">
        <v>25.41239116915423</v>
      </c>
      <c r="R2" t="n">
        <v>28.23424381633438</v>
      </c>
      <c r="S2" t="n">
        <v>32.00441304274218</v>
      </c>
      <c r="T2" t="n">
        <v>35.98272495463004</v>
      </c>
      <c r="U2" t="n">
        <v>39.72670200411631</v>
      </c>
      <c r="V2" t="n">
        <v>43.97596448977664</v>
      </c>
      <c r="W2" t="n">
        <v>49.24480896513823</v>
      </c>
      <c r="X2" t="n">
        <v>54.20625447278521</v>
      </c>
      <c r="Y2" t="n">
        <v>57.80975101458813</v>
      </c>
      <c r="Z2" t="n">
        <v>61.15090804266359</v>
      </c>
      <c r="AA2" t="n">
        <v>62.96467185061076</v>
      </c>
      <c r="AB2" t="n">
        <v>68.24304726938962</v>
      </c>
      <c r="AC2" t="n">
        <v>70.47278483110684</v>
      </c>
      <c r="AD2" t="n">
        <v>72.40197125400465</v>
      </c>
      <c r="AE2" t="n">
        <v>73.66841896620072</v>
      </c>
      <c r="AF2" t="n">
        <v>77.60292760823279</v>
      </c>
      <c r="AG2" t="n">
        <v>82.11214838255977</v>
      </c>
      <c r="AH2" t="n">
        <v>85.65442745217563</v>
      </c>
      <c r="AI2" t="n">
        <v>87.36362446231531</v>
      </c>
      <c r="AJ2" t="n">
        <v>90.1477119846667</v>
      </c>
      <c r="AK2" t="n">
        <v>91.29734131122945</v>
      </c>
      <c r="AL2" t="n">
        <v>97.14543015199132</v>
      </c>
      <c r="AM2" t="n">
        <v>103.0156194928302</v>
      </c>
      <c r="AN2" t="n">
        <v>108.3957151617354</v>
      </c>
      <c r="AO2" t="n">
        <v>109.3107302675426</v>
      </c>
      <c r="AP2" t="n">
        <v>113.5215525764227</v>
      </c>
      <c r="AQ2" t="n">
        <v>120.938515391743</v>
      </c>
      <c r="AR2" t="n">
        <v>127.1319296478519</v>
      </c>
      <c r="AS2" t="n">
        <v>132.9063867016623</v>
      </c>
      <c r="AT2" t="n">
        <v>140.4118988187661</v>
      </c>
      <c r="AU2" t="n">
        <v>143.6153156920136</v>
      </c>
      <c r="AV2" t="n">
        <v>146.4079964656505</v>
      </c>
      <c r="AW2" t="n">
        <v>150.459150687682</v>
      </c>
      <c r="AX2" t="n">
        <v>156.5228404752214</v>
      </c>
      <c r="AY2" t="n">
        <v>175.9783909508379</v>
      </c>
      <c r="AZ2" t="n">
        <v>179.4635236129756</v>
      </c>
      <c r="BA2" t="n">
        <v>182.1442515646232</v>
      </c>
      <c r="BB2" t="n">
        <v>189.6717047587715</v>
      </c>
      <c r="BC2" t="n">
        <v>197.7102564102564</v>
      </c>
      <c r="BD2" t="n">
        <v>205.6869386807061</v>
      </c>
      <c r="BE2" t="n">
        <v>203.3906396942594</v>
      </c>
      <c r="BF2" t="n">
        <v>217.8911462658753</v>
      </c>
    </row>
    <row r="3">
      <c r="A3" s="14" t="inlineStr">
        <is>
          <t>10120</t>
        </is>
      </c>
      <c r="B3" t="n">
        <v>10.64216620739119</v>
      </c>
      <c r="C3" t="n">
        <v>11.95369310547322</v>
      </c>
      <c r="D3" t="n">
        <v>13.27020935825669</v>
      </c>
      <c r="E3" t="n">
        <v>14.8176410113623</v>
      </c>
      <c r="F3" t="n">
        <v>16.77080404419092</v>
      </c>
      <c r="G3" t="n">
        <v>19.71779993921862</v>
      </c>
      <c r="H3" t="n">
        <v>22.35704342254711</v>
      </c>
      <c r="I3" t="n">
        <v>26.96159627600252</v>
      </c>
      <c r="J3" t="n">
        <v>32.74029792851468</v>
      </c>
      <c r="K3" t="n">
        <v>40.09808220329486</v>
      </c>
      <c r="L3" t="n">
        <v>44.33428380328792</v>
      </c>
      <c r="M3" t="n">
        <v>49.17151813703538</v>
      </c>
      <c r="N3" t="n">
        <v>54.38138633547531</v>
      </c>
      <c r="O3" t="n">
        <v>60.0861464332554</v>
      </c>
      <c r="P3" t="n">
        <v>65.50264861683343</v>
      </c>
      <c r="Q3" t="n">
        <v>72.56117855977965</v>
      </c>
      <c r="R3" t="n">
        <v>78.85041699131388</v>
      </c>
      <c r="S3" t="n">
        <v>85.20495630142055</v>
      </c>
      <c r="T3" t="n">
        <v>90.68167540009502</v>
      </c>
      <c r="U3" t="n">
        <v>95.7264969564404</v>
      </c>
      <c r="V3" t="n">
        <v>100.1481759243035</v>
      </c>
      <c r="W3" t="n">
        <v>113.0042401464778</v>
      </c>
      <c r="X3" t="n">
        <v>118.64511710417</v>
      </c>
      <c r="Y3" t="n">
        <v>124.3335745409275</v>
      </c>
      <c r="Z3" t="n">
        <v>131.5869168268042</v>
      </c>
      <c r="AA3" t="n">
        <v>136.4621986236545</v>
      </c>
      <c r="AB3" t="n">
        <v>140.12418236924</v>
      </c>
      <c r="AC3" t="n">
        <v>142.0781036127587</v>
      </c>
      <c r="AD3" t="n">
        <v>146.6171243529922</v>
      </c>
      <c r="AE3" t="n">
        <v>147.3806309121973</v>
      </c>
      <c r="AF3" t="n">
        <v>152.6893305170984</v>
      </c>
      <c r="AG3" t="n">
        <v>157.8655409303057</v>
      </c>
      <c r="AH3" t="n">
        <v>168.6229878261804</v>
      </c>
      <c r="AI3" t="n">
        <v>166.7172938435471</v>
      </c>
      <c r="AJ3" t="n">
        <v>171.2574728320263</v>
      </c>
      <c r="AK3" t="n">
        <v>177.9146408767181</v>
      </c>
      <c r="AL3" t="n">
        <v>186.389218565105</v>
      </c>
      <c r="AM3" t="n">
        <v>198.1017924850318</v>
      </c>
      <c r="AN3" t="n">
        <v>204.5941634911821</v>
      </c>
      <c r="AO3" t="n">
        <v>215.8970389546097</v>
      </c>
      <c r="AP3" t="n">
        <v>225.2535531064915</v>
      </c>
      <c r="AQ3" t="n">
        <v>239.932699234579</v>
      </c>
      <c r="AR3" t="n">
        <v>247.3911786137172</v>
      </c>
      <c r="AS3" t="n">
        <v>252.6525123417567</v>
      </c>
      <c r="AT3" t="n">
        <v>262.0428864656831</v>
      </c>
      <c r="AU3" t="n">
        <v>260.515143880122</v>
      </c>
      <c r="AV3" t="n">
        <v>266.6283628085177</v>
      </c>
      <c r="AW3" t="n">
        <v>271.5241004752206</v>
      </c>
      <c r="AX3" t="n">
        <v>276.0594070080863</v>
      </c>
      <c r="AY3" t="n">
        <v>277.4187280542915</v>
      </c>
      <c r="AZ3" t="n">
        <v>294.3235298687175</v>
      </c>
      <c r="BA3" t="n">
        <v>299.8846112910338</v>
      </c>
      <c r="BB3" t="n">
        <v>309.8482208378222</v>
      </c>
      <c r="BC3" t="n">
        <v>316.771753307248</v>
      </c>
      <c r="BD3" t="n">
        <v>314.174926185376</v>
      </c>
      <c r="BE3" t="n">
        <v>326.1873470510723</v>
      </c>
      <c r="BF3" t="n">
        <v>333.3415445878386</v>
      </c>
    </row>
    <row r="4">
      <c r="A4" s="14" t="inlineStr">
        <is>
          <t>Privat</t>
        </is>
      </c>
      <c r="B4" t="n">
        <v>11.80167891421519</v>
      </c>
      <c r="C4" t="n">
        <v>13.21794300434022</v>
      </c>
      <c r="D4" t="n">
        <v>14.70057683948628</v>
      </c>
      <c r="E4" t="n">
        <v>16.61702151606379</v>
      </c>
      <c r="F4" t="n">
        <v>18.48059347642321</v>
      </c>
      <c r="G4" t="n">
        <v>21.02448414296104</v>
      </c>
      <c r="H4" t="n">
        <v>23.61563086976284</v>
      </c>
      <c r="I4" t="n">
        <v>27.70419760055749</v>
      </c>
      <c r="J4" t="n">
        <v>33.11281107979703</v>
      </c>
      <c r="K4" t="n">
        <v>39.60485223497052</v>
      </c>
      <c r="L4" t="n">
        <v>44.0316426299482</v>
      </c>
      <c r="M4" t="n">
        <v>49.6845751164763</v>
      </c>
      <c r="N4" t="n">
        <v>55.49853629004149</v>
      </c>
      <c r="O4" t="n">
        <v>61.56881428482248</v>
      </c>
      <c r="P4" t="n">
        <v>68.35542704035662</v>
      </c>
      <c r="Q4" t="n">
        <v>76.60154227371547</v>
      </c>
      <c r="R4" t="n">
        <v>85.07326833275573</v>
      </c>
      <c r="S4" t="n">
        <v>93.85108184138348</v>
      </c>
      <c r="T4" t="n">
        <v>100.0125574834852</v>
      </c>
      <c r="U4" t="n">
        <v>106.4241738819791</v>
      </c>
      <c r="V4" t="n">
        <v>111.9854187290626</v>
      </c>
      <c r="W4" t="n">
        <v>123.8580979043778</v>
      </c>
      <c r="X4" t="n">
        <v>131.9567900741798</v>
      </c>
      <c r="Y4" t="n">
        <v>139.4338270894685</v>
      </c>
      <c r="Z4" t="n">
        <v>147.0554749077621</v>
      </c>
      <c r="AA4" t="n">
        <v>152.7242891544281</v>
      </c>
      <c r="AB4" t="n">
        <v>156.449211464026</v>
      </c>
      <c r="AC4" t="n">
        <v>159.503684697922</v>
      </c>
      <c r="AD4" t="n">
        <v>165.1530652069737</v>
      </c>
      <c r="AE4" t="n">
        <v>169.1088971129654</v>
      </c>
      <c r="AF4" t="n">
        <v>176.234049122381</v>
      </c>
      <c r="AG4" t="n">
        <v>179.4003643989137</v>
      </c>
      <c r="AH4" t="n">
        <v>184.6981315078345</v>
      </c>
      <c r="AI4" t="n">
        <v>187.7214166617364</v>
      </c>
      <c r="AJ4" t="n">
        <v>191.7480361552694</v>
      </c>
      <c r="AK4" t="n">
        <v>199.2159789080413</v>
      </c>
      <c r="AL4" t="n">
        <v>208.5306083706456</v>
      </c>
      <c r="AM4" t="n">
        <v>217.6195548312642</v>
      </c>
      <c r="AN4" t="n">
        <v>223.2140095795314</v>
      </c>
      <c r="AO4" t="n">
        <v>232.5325152822229</v>
      </c>
      <c r="AP4" t="n">
        <v>240.3540905468783</v>
      </c>
      <c r="AQ4" t="n">
        <v>253.8624785666361</v>
      </c>
      <c r="AR4" t="n">
        <v>261.6447748768223</v>
      </c>
      <c r="AS4" t="n">
        <v>270.3698708001812</v>
      </c>
      <c r="AT4" t="n">
        <v>277.343544338683</v>
      </c>
      <c r="AU4" t="n">
        <v>278.3700269500335</v>
      </c>
      <c r="AV4" t="n">
        <v>284.6799264800711</v>
      </c>
      <c r="AW4" t="n">
        <v>286.9847419705262</v>
      </c>
      <c r="AX4" t="n">
        <v>292.9213132306705</v>
      </c>
      <c r="AY4" t="n">
        <v>300.3925941176796</v>
      </c>
      <c r="AZ4" t="n">
        <v>300.7867120362139</v>
      </c>
      <c r="BA4" t="n">
        <v>307.9325880170064</v>
      </c>
      <c r="BB4" t="n">
        <v>319.3882297307015</v>
      </c>
      <c r="BC4" t="n">
        <v>325.1949489198874</v>
      </c>
      <c r="BD4" t="n">
        <v>344.3559858287315</v>
      </c>
      <c r="BE4" t="n">
        <v>343.3346845945279</v>
      </c>
      <c r="BF4" t="n">
        <v>351.3680986367223</v>
      </c>
    </row>
    <row r="5">
      <c r="A5" s="14" t="inlineStr">
        <is>
          <t>REST</t>
        </is>
      </c>
      <c r="B5" t="n">
        <v>11.57843048945485</v>
      </c>
      <c r="C5" t="n">
        <v>12.99433211947074</v>
      </c>
      <c r="D5" t="n">
        <v>14.60446871197536</v>
      </c>
      <c r="E5" t="n">
        <v>16.5799073831593</v>
      </c>
      <c r="F5" t="n">
        <v>18.65678314569466</v>
      </c>
      <c r="G5" t="n">
        <v>21.37933917844056</v>
      </c>
      <c r="H5" t="n">
        <v>23.97037376004238</v>
      </c>
      <c r="I5" t="n">
        <v>27.73401805357857</v>
      </c>
      <c r="J5" t="n">
        <v>33.05316500151262</v>
      </c>
      <c r="K5" t="n">
        <v>39.41598996202723</v>
      </c>
      <c r="L5" t="n">
        <v>43.80047434538996</v>
      </c>
      <c r="M5" t="n">
        <v>49.32940498653837</v>
      </c>
      <c r="N5" t="n">
        <v>54.72388579988861</v>
      </c>
      <c r="O5" t="n">
        <v>60.12807462455884</v>
      </c>
      <c r="P5" t="n">
        <v>65.23713042231111</v>
      </c>
      <c r="Q5" t="n">
        <v>72.80623310288411</v>
      </c>
      <c r="R5" t="n">
        <v>81.36663875934515</v>
      </c>
      <c r="S5" t="n">
        <v>88.75650365529086</v>
      </c>
      <c r="T5" t="n">
        <v>94.01826596810464</v>
      </c>
      <c r="U5" t="n">
        <v>99.50681840527912</v>
      </c>
      <c r="V5" t="n">
        <v>103.7743111420396</v>
      </c>
      <c r="W5" t="n">
        <v>114.8677385863438</v>
      </c>
      <c r="X5" t="n">
        <v>123.0457870980697</v>
      </c>
      <c r="Y5" t="n">
        <v>129.6553979045875</v>
      </c>
      <c r="Z5" t="n">
        <v>136.0127686173775</v>
      </c>
      <c r="AA5" t="n">
        <v>142.2256729389316</v>
      </c>
      <c r="AB5" t="n">
        <v>146.134812641841</v>
      </c>
      <c r="AC5" t="n">
        <v>149.7015153603457</v>
      </c>
      <c r="AD5" t="n">
        <v>155.1416930164264</v>
      </c>
      <c r="AE5" t="n">
        <v>159.2887034440829</v>
      </c>
      <c r="AF5" t="n">
        <v>166.9252936921896</v>
      </c>
      <c r="AG5" t="n">
        <v>169.2607176224832</v>
      </c>
      <c r="AH5" t="n">
        <v>174.4424077979281</v>
      </c>
      <c r="AI5" t="n">
        <v>179.2091077764967</v>
      </c>
      <c r="AJ5" t="n">
        <v>184.5986425036837</v>
      </c>
      <c r="AK5" t="n">
        <v>191.2066043561556</v>
      </c>
      <c r="AL5" t="n">
        <v>199.7988002332321</v>
      </c>
      <c r="AM5" t="n">
        <v>207.2235606682783</v>
      </c>
      <c r="AN5" t="n">
        <v>213.5114896727991</v>
      </c>
      <c r="AO5" t="n">
        <v>220.4960153762283</v>
      </c>
      <c r="AP5" t="n">
        <v>227.055934407787</v>
      </c>
      <c r="AQ5" t="n">
        <v>238.4206629250149</v>
      </c>
      <c r="AR5" t="n">
        <v>247.3122510864669</v>
      </c>
      <c r="AS5" t="n">
        <v>256.3268478538091</v>
      </c>
      <c r="AT5" t="n">
        <v>263.3988228486777</v>
      </c>
      <c r="AU5" t="n">
        <v>264.6343520010405</v>
      </c>
      <c r="AV5" t="n">
        <v>271.6612968188251</v>
      </c>
      <c r="AW5" t="n">
        <v>275.5860224896329</v>
      </c>
      <c r="AX5" t="n">
        <v>281.9828875502604</v>
      </c>
      <c r="AY5" t="n">
        <v>288.7927416809945</v>
      </c>
      <c r="AZ5" t="n">
        <v>290.2715931322632</v>
      </c>
      <c r="BA5" t="n">
        <v>296.434179842587</v>
      </c>
      <c r="BB5" t="n">
        <v>306.3227648693988</v>
      </c>
      <c r="BC5" t="n">
        <v>311.951879002339</v>
      </c>
      <c r="BD5" t="n">
        <v>327.7311506595204</v>
      </c>
      <c r="BE5" t="n">
        <v>327.7136604764766</v>
      </c>
      <c r="BF5" t="n">
        <v>336.5978724328321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  <c r="BG1" s="14" t="n">
        <v>2023</v>
      </c>
      <c r="BH1" s="14" t="n">
        <v>2024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0.06075127845510062</v>
      </c>
      <c r="AE2" t="n">
        <v>0.06979108059879782</v>
      </c>
      <c r="AF2" t="n">
        <v>0.08502653550465021</v>
      </c>
      <c r="AG2" t="n">
        <v>0.07036896321872319</v>
      </c>
      <c r="AH2" t="n">
        <v>0.06786334189928389</v>
      </c>
      <c r="AI2" t="n">
        <v>0.08887160585153009</v>
      </c>
      <c r="AJ2" t="n">
        <v>0.0624156091372849</v>
      </c>
      <c r="AK2" t="n">
        <v>0.05608512922721279</v>
      </c>
      <c r="AL2" t="n">
        <v>0.05987537353692002</v>
      </c>
      <c r="AM2" t="n">
        <v>0.06363606750636322</v>
      </c>
      <c r="AN2" t="n">
        <v>0.07090956673943913</v>
      </c>
      <c r="AO2" t="n">
        <v>0.04563679868450381</v>
      </c>
      <c r="AP2" t="n">
        <v>0.06395583376790558</v>
      </c>
      <c r="AQ2" t="n">
        <v>0.05215034659493861</v>
      </c>
      <c r="AR2" t="n">
        <v>0.06619729289394451</v>
      </c>
      <c r="AS2" t="n">
        <v>0.07295948186737371</v>
      </c>
      <c r="AT2" t="n">
        <v>0.07474765158758047</v>
      </c>
      <c r="AU2" t="n">
        <v>0.07434565915727266</v>
      </c>
      <c r="AV2" t="n">
        <v>0.055688748115678</v>
      </c>
      <c r="AW2" t="n">
        <v>0.06165052974060092</v>
      </c>
      <c r="AX2" t="n">
        <v>0.05809535726583558</v>
      </c>
      <c r="AY2" t="n">
        <v>0.05616667499025472</v>
      </c>
      <c r="AZ2" t="n">
        <v>0.04699751225800289</v>
      </c>
      <c r="BA2" t="n">
        <v>0.06361090307951567</v>
      </c>
      <c r="BB2" t="n">
        <v>0.09395303481392898</v>
      </c>
      <c r="BC2" t="n">
        <v>0.06946861459892774</v>
      </c>
      <c r="BD2" t="n">
        <v>0.06813356760998626</v>
      </c>
      <c r="BE2" t="n">
        <v>0.1007265941214398</v>
      </c>
      <c r="BF2" t="n">
        <v>0.06587272917157451</v>
      </c>
      <c r="BG2" t="inlineStr"/>
      <c r="BH2" t="inlineStr"/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0.102035384485007</v>
      </c>
      <c r="AE3" t="n">
        <v>0.1077747853893783</v>
      </c>
      <c r="AF3" t="n">
        <v>0.118773275694326</v>
      </c>
      <c r="AG3" t="n">
        <v>0.1116450723910383</v>
      </c>
      <c r="AH3" t="n">
        <v>0.1065830842140049</v>
      </c>
      <c r="AI3" t="n">
        <v>0.09634680014017925</v>
      </c>
      <c r="AJ3" t="n">
        <v>0.1108574399228473</v>
      </c>
      <c r="AK3" t="n">
        <v>0.08669004334689977</v>
      </c>
      <c r="AL3" t="n">
        <v>0.09385783615985641</v>
      </c>
      <c r="AM3" t="n">
        <v>0.09654273032002353</v>
      </c>
      <c r="AN3" t="n">
        <v>0.1040068537917273</v>
      </c>
      <c r="AO3" t="n">
        <v>0.08336590856138601</v>
      </c>
      <c r="AP3" t="n">
        <v>0.1027803265946198</v>
      </c>
      <c r="AQ3" t="n">
        <v>0.07426519508294409</v>
      </c>
      <c r="AR3" t="n">
        <v>0.09818828054788641</v>
      </c>
      <c r="AS3" t="n">
        <v>0.1032565829165594</v>
      </c>
      <c r="AT3" t="n">
        <v>0.1076011574568646</v>
      </c>
      <c r="AU3" t="n">
        <v>0.1048953793390602</v>
      </c>
      <c r="AV3" t="n">
        <v>0.09593269822537366</v>
      </c>
      <c r="AW3" t="n">
        <v>0.09564006583360633</v>
      </c>
      <c r="AX3" t="n">
        <v>0.07855379299835906</v>
      </c>
      <c r="AY3" t="n">
        <v>0.07951903952722307</v>
      </c>
      <c r="AZ3" t="n">
        <v>0.07790811200161911</v>
      </c>
      <c r="BA3" t="n">
        <v>0.09466332388529115</v>
      </c>
      <c r="BB3" t="n">
        <v>0.09516005633794716</v>
      </c>
      <c r="BC3" t="n">
        <v>0.08301997452312941</v>
      </c>
      <c r="BD3" t="n">
        <v>0.08390417810858884</v>
      </c>
      <c r="BE3" t="n">
        <v>0.08639892236241876</v>
      </c>
      <c r="BF3" t="n">
        <v>0.08233012443934364</v>
      </c>
      <c r="BG3" t="inlineStr"/>
      <c r="BH3" t="inlineStr"/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0.08955087708996311</v>
      </c>
      <c r="AE5" t="n">
        <v>0.09556327752044948</v>
      </c>
      <c r="AF5" t="n">
        <v>0.09342214484438933</v>
      </c>
      <c r="AG5" t="n">
        <v>0.09473986162545268</v>
      </c>
      <c r="AH5" t="n">
        <v>0.09101742693012409</v>
      </c>
      <c r="AI5" t="n">
        <v>0.0876348514542488</v>
      </c>
      <c r="AJ5" t="n">
        <v>0.0831324656857996</v>
      </c>
      <c r="AK5" t="n">
        <v>0.0731823589901676</v>
      </c>
      <c r="AL5" t="n">
        <v>0.07897032963572896</v>
      </c>
      <c r="AM5" t="n">
        <v>0.08235998469924993</v>
      </c>
      <c r="AN5" t="n">
        <v>0.08536540859217946</v>
      </c>
      <c r="AO5" t="n">
        <v>0.07164768631701722</v>
      </c>
      <c r="AP5" t="n">
        <v>0.0807691198837454</v>
      </c>
      <c r="AQ5" t="n">
        <v>0.0660854036450302</v>
      </c>
      <c r="AR5" t="n">
        <v>0.08153243368236643</v>
      </c>
      <c r="AS5" t="n">
        <v>0.09886734645265989</v>
      </c>
      <c r="AT5" t="n">
        <v>0.09819307458043397</v>
      </c>
      <c r="AU5" t="n">
        <v>0.0903700479077028</v>
      </c>
      <c r="AV5" t="n">
        <v>0.08060789549652707</v>
      </c>
      <c r="AW5" t="n">
        <v>0.08551032607591136</v>
      </c>
      <c r="AX5" t="n">
        <v>0.08566151963116023</v>
      </c>
      <c r="AY5" t="n">
        <v>0.08114877490899977</v>
      </c>
      <c r="AZ5" t="n">
        <v>0.07507253804334653</v>
      </c>
      <c r="BA5" t="n">
        <v>0.08098312172726914</v>
      </c>
      <c r="BB5" t="n">
        <v>0.08266987435273389</v>
      </c>
      <c r="BC5" t="n">
        <v>0.08093253552276662</v>
      </c>
      <c r="BD5" t="n">
        <v>0.08438049730930323</v>
      </c>
      <c r="BE5" t="n">
        <v>0.0827757371052755</v>
      </c>
      <c r="BF5" t="n">
        <v>0.06325768603167772</v>
      </c>
      <c r="BG5" t="inlineStr"/>
      <c r="BH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1994</v>
      </c>
      <c r="C1" s="14" t="n">
        <v>1995</v>
      </c>
      <c r="D1" s="14" t="n">
        <v>1996</v>
      </c>
      <c r="E1" s="14" t="n">
        <v>1997</v>
      </c>
      <c r="F1" s="14" t="n">
        <v>1998</v>
      </c>
      <c r="G1" s="14" t="n">
        <v>1999</v>
      </c>
      <c r="H1" s="14" t="n">
        <v>2000</v>
      </c>
      <c r="I1" s="14" t="n">
        <v>2001</v>
      </c>
      <c r="J1" s="14" t="n">
        <v>2002</v>
      </c>
      <c r="K1" s="14" t="n">
        <v>2003</v>
      </c>
      <c r="L1" s="14" t="n">
        <v>2004</v>
      </c>
      <c r="M1" s="14" t="n">
        <v>2005</v>
      </c>
      <c r="N1" s="14" t="n">
        <v>2006</v>
      </c>
      <c r="O1" s="14" t="n">
        <v>2007</v>
      </c>
      <c r="P1" s="14" t="n">
        <v>2008</v>
      </c>
      <c r="Q1" s="14" t="n">
        <v>2009</v>
      </c>
      <c r="R1" s="14" t="n">
        <v>2010</v>
      </c>
      <c r="S1" s="14" t="n">
        <v>2011</v>
      </c>
      <c r="T1" s="14" t="n">
        <v>2012</v>
      </c>
      <c r="U1" s="14" t="n">
        <v>2013</v>
      </c>
      <c r="V1" s="14" t="n">
        <v>2014</v>
      </c>
      <c r="W1" s="14" t="n">
        <v>2015</v>
      </c>
      <c r="X1" s="14" t="n">
        <v>2016</v>
      </c>
      <c r="Y1" s="14" t="n">
        <v>2017</v>
      </c>
      <c r="Z1" s="14" t="n">
        <v>2018</v>
      </c>
      <c r="AA1" s="14" t="n">
        <v>2019</v>
      </c>
      <c r="AB1" s="14" t="n">
        <v>2020</v>
      </c>
      <c r="AC1" s="14" t="n">
        <v>2021</v>
      </c>
      <c r="AD1" s="14" t="n">
        <v>2022</v>
      </c>
    </row>
    <row r="2">
      <c r="A2" s="14" t="inlineStr">
        <is>
          <t>01000</t>
        </is>
      </c>
      <c r="B2" t="n">
        <v>52117.7942920397</v>
      </c>
      <c r="C2" t="n">
        <v>50900.44212814769</v>
      </c>
      <c r="D2" t="n">
        <v>49681.53810440915</v>
      </c>
      <c r="E2" t="n">
        <v>48143.42584614595</v>
      </c>
      <c r="F2" t="n">
        <v>47708.98096128811</v>
      </c>
      <c r="G2" t="n">
        <v>46314.40517457399</v>
      </c>
      <c r="H2" t="n">
        <v>45117.47293070092</v>
      </c>
      <c r="I2" t="n">
        <v>44432.63343472131</v>
      </c>
      <c r="J2" t="n">
        <v>44480.11115735141</v>
      </c>
      <c r="K2" t="n">
        <v>42600.84677868951</v>
      </c>
      <c r="L2" t="n">
        <v>42241.34972629409</v>
      </c>
      <c r="M2" t="n">
        <v>40925.50270728581</v>
      </c>
      <c r="N2" t="n">
        <v>39424.93775864297</v>
      </c>
      <c r="O2" t="n">
        <v>39026.410472316</v>
      </c>
      <c r="P2" t="n">
        <v>38328.71283845652</v>
      </c>
      <c r="Q2" t="n">
        <v>37355.83024252533</v>
      </c>
      <c r="R2" t="n">
        <v>36543.06679463401</v>
      </c>
      <c r="S2" t="n">
        <v>35879.71137814789</v>
      </c>
      <c r="T2" t="n">
        <v>35222.06901360519</v>
      </c>
      <c r="U2" t="n">
        <v>34756.94561624983</v>
      </c>
      <c r="V2" t="n">
        <v>34683.36572808852</v>
      </c>
      <c r="W2" t="n">
        <v>34775.85363676753</v>
      </c>
      <c r="X2" t="n">
        <v>33362.228708932</v>
      </c>
      <c r="Y2" t="n">
        <v>33300.80118341903</v>
      </c>
      <c r="Z2" t="n">
        <v>32593.13413024461</v>
      </c>
      <c r="AA2" t="n">
        <v>31418.73959721648</v>
      </c>
      <c r="AB2" t="n">
        <v>31265.50482956038</v>
      </c>
      <c r="AC2" t="n">
        <v>31288.38839371736</v>
      </c>
      <c r="AD2" t="n">
        <v>30691.03957848601</v>
      </c>
    </row>
    <row r="3">
      <c r="A3" s="14" t="inlineStr">
        <is>
          <t>10120</t>
        </is>
      </c>
      <c r="B3" t="n">
        <v>41053.80184760552</v>
      </c>
      <c r="C3" t="n">
        <v>41759.50119259139</v>
      </c>
      <c r="D3" t="n">
        <v>41128.75863196314</v>
      </c>
      <c r="E3" t="n">
        <v>40942.50252023002</v>
      </c>
      <c r="F3" t="n">
        <v>40365.29624799974</v>
      </c>
      <c r="G3" t="n">
        <v>40787.83718914897</v>
      </c>
      <c r="H3" t="n">
        <v>41003.30987635253</v>
      </c>
      <c r="I3" t="n">
        <v>41301.98614976344</v>
      </c>
      <c r="J3" t="n">
        <v>41472.7169443261</v>
      </c>
      <c r="K3" t="n">
        <v>40135.48218182085</v>
      </c>
      <c r="L3" t="n">
        <v>39397.68862925227</v>
      </c>
      <c r="M3" t="n">
        <v>37857.53355633776</v>
      </c>
      <c r="N3" t="n">
        <v>36744.0129244504</v>
      </c>
      <c r="O3" t="n">
        <v>35523.2138816103</v>
      </c>
      <c r="P3" t="n">
        <v>35229.50243624813</v>
      </c>
      <c r="Q3" t="n">
        <v>33872.47673644844</v>
      </c>
      <c r="R3" t="n">
        <v>33070.65311165658</v>
      </c>
      <c r="S3" t="n">
        <v>32127.488739262</v>
      </c>
      <c r="T3" t="n">
        <v>31029.39618838663</v>
      </c>
      <c r="U3" t="n">
        <v>30326.4304785957</v>
      </c>
      <c r="V3" t="n">
        <v>29083.17157961154</v>
      </c>
      <c r="W3" t="n">
        <v>28650.36717807409</v>
      </c>
      <c r="X3" t="n">
        <v>28823.5086975484</v>
      </c>
      <c r="Y3" t="n">
        <v>29246.82638033386</v>
      </c>
      <c r="Z3" t="n">
        <v>28738.80050365657</v>
      </c>
      <c r="AA3" t="n">
        <v>28997.10175077073</v>
      </c>
      <c r="AB3" t="n">
        <v>30557.86789764339</v>
      </c>
      <c r="AC3" t="n">
        <v>30574.4397211563</v>
      </c>
      <c r="AD3" t="n">
        <v>30523.70354215741</v>
      </c>
    </row>
    <row r="4">
      <c r="A4" s="14" t="inlineStr">
        <is>
          <t>REST</t>
        </is>
      </c>
      <c r="B4" t="n">
        <v>1527969.868793618</v>
      </c>
      <c r="C4" t="n">
        <v>1546477.3272898</v>
      </c>
      <c r="D4" t="n">
        <v>1561291.563472173</v>
      </c>
      <c r="E4" t="n">
        <v>1596610.232726423</v>
      </c>
      <c r="F4" t="n">
        <v>1630908.659550451</v>
      </c>
      <c r="G4" t="n">
        <v>1664171.916474227</v>
      </c>
      <c r="H4" t="n">
        <v>1689272.488356233</v>
      </c>
      <c r="I4" t="n">
        <v>1715552.321160046</v>
      </c>
      <c r="J4" t="n">
        <v>1720985.869705947</v>
      </c>
      <c r="K4" t="n">
        <v>1719611.22747197</v>
      </c>
      <c r="L4" t="n">
        <v>1722950.178533762</v>
      </c>
      <c r="M4" t="n">
        <v>1745689.876672641</v>
      </c>
      <c r="N4" t="n">
        <v>1789467.530318428</v>
      </c>
      <c r="O4" t="n">
        <v>1815573.745068223</v>
      </c>
      <c r="P4" t="n">
        <v>1843060.046196965</v>
      </c>
      <c r="Q4" t="n">
        <v>1805786.238989478</v>
      </c>
      <c r="R4" t="n">
        <v>1790700.519246957</v>
      </c>
      <c r="S4" t="n">
        <v>1804084.238049804</v>
      </c>
      <c r="T4" t="n">
        <v>1787836.614196785</v>
      </c>
      <c r="U4" t="n">
        <v>1794529.656488636</v>
      </c>
      <c r="V4" t="n">
        <v>1796799.133844953</v>
      </c>
      <c r="W4" t="n">
        <v>1814378.248154844</v>
      </c>
      <c r="X4" t="n">
        <v>1848027.009151155</v>
      </c>
      <c r="Y4" t="n">
        <v>1868512.583610452</v>
      </c>
      <c r="Z4" t="n">
        <v>1878314.028374679</v>
      </c>
      <c r="AA4" t="n">
        <v>1901400.209045709</v>
      </c>
      <c r="AB4" t="n">
        <v>1862622.614658504</v>
      </c>
      <c r="AC4" t="n">
        <v>1949504.539078136</v>
      </c>
      <c r="AD4" t="n">
        <v>2016873.786290842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1994</v>
      </c>
      <c r="C1" s="14" t="n">
        <v>1995</v>
      </c>
      <c r="D1" s="14" t="n">
        <v>1996</v>
      </c>
      <c r="E1" s="14" t="n">
        <v>1997</v>
      </c>
      <c r="F1" s="14" t="n">
        <v>1998</v>
      </c>
      <c r="G1" s="14" t="n">
        <v>1999</v>
      </c>
      <c r="H1" s="14" t="n">
        <v>2000</v>
      </c>
      <c r="I1" s="14" t="n">
        <v>2001</v>
      </c>
      <c r="J1" s="14" t="n">
        <v>2002</v>
      </c>
      <c r="K1" s="14" t="n">
        <v>2003</v>
      </c>
      <c r="L1" s="14" t="n">
        <v>2004</v>
      </c>
      <c r="M1" s="14" t="n">
        <v>2005</v>
      </c>
      <c r="N1" s="14" t="n">
        <v>2006</v>
      </c>
      <c r="O1" s="14" t="n">
        <v>2007</v>
      </c>
      <c r="P1" s="14" t="n">
        <v>2008</v>
      </c>
      <c r="Q1" s="14" t="n">
        <v>2009</v>
      </c>
      <c r="R1" s="14" t="n">
        <v>2010</v>
      </c>
      <c r="S1" s="14" t="n">
        <v>2011</v>
      </c>
      <c r="T1" s="14" t="n">
        <v>2012</v>
      </c>
      <c r="U1" s="14" t="n">
        <v>2013</v>
      </c>
      <c r="V1" s="14" t="n">
        <v>2014</v>
      </c>
      <c r="W1" s="14" t="n">
        <v>2015</v>
      </c>
      <c r="X1" s="14" t="n">
        <v>2016</v>
      </c>
      <c r="Y1" s="14" t="n">
        <v>2017</v>
      </c>
      <c r="Z1" s="14" t="n">
        <v>2018</v>
      </c>
      <c r="AA1" s="14" t="n">
        <v>2019</v>
      </c>
      <c r="AB1" s="14" t="n">
        <v>2020</v>
      </c>
      <c r="AC1" s="14" t="n">
        <v>2021</v>
      </c>
      <c r="AD1" s="14" t="n">
        <v>2022</v>
      </c>
    </row>
    <row r="2">
      <c r="A2" s="14" t="inlineStr">
        <is>
          <t>01000</t>
        </is>
      </c>
      <c r="B2" t="n">
        <v>39615.42263805375</v>
      </c>
      <c r="C2" t="n">
        <v>38703.35280538706</v>
      </c>
      <c r="D2" t="n">
        <v>37843.79517124431</v>
      </c>
      <c r="E2" t="n">
        <v>36756.84936736162</v>
      </c>
      <c r="F2" t="n">
        <v>36466.90001925498</v>
      </c>
      <c r="G2" t="n">
        <v>35429.09252350832</v>
      </c>
      <c r="H2" t="n">
        <v>34504.78115366236</v>
      </c>
      <c r="I2" t="n">
        <v>34006.55980704397</v>
      </c>
      <c r="J2" t="n">
        <v>34046.77575867296</v>
      </c>
      <c r="K2" t="n">
        <v>32626.19670549574</v>
      </c>
      <c r="L2" t="n">
        <v>32344.6443581478</v>
      </c>
      <c r="M2" t="n">
        <v>31282.7641106079</v>
      </c>
      <c r="N2" t="n">
        <v>29799.9498106227</v>
      </c>
      <c r="O2" t="n">
        <v>29463.37220842909</v>
      </c>
      <c r="P2" t="n">
        <v>28938.18208068245</v>
      </c>
      <c r="Q2" t="n">
        <v>28443.19981176964</v>
      </c>
      <c r="R2" t="n">
        <v>27834.98211357509</v>
      </c>
      <c r="S2" t="n">
        <v>27251.99093134951</v>
      </c>
      <c r="T2" t="n">
        <v>26664.95290491843</v>
      </c>
      <c r="U2" t="n">
        <v>26233.14870248438</v>
      </c>
      <c r="V2" t="n">
        <v>26206.61499190586</v>
      </c>
      <c r="W2" t="n">
        <v>26195.86983909899</v>
      </c>
      <c r="X2" t="n">
        <v>25089.11548181646</v>
      </c>
      <c r="Y2" t="n">
        <v>24975.35368141403</v>
      </c>
      <c r="Z2" t="n">
        <v>24306.91552663267</v>
      </c>
      <c r="AA2" t="n">
        <v>23237.5530870054</v>
      </c>
      <c r="AB2" t="n">
        <v>23089.68592356627</v>
      </c>
      <c r="AC2" t="n">
        <v>23204.74830183143</v>
      </c>
      <c r="AD2" t="n">
        <v>22673.60652705701</v>
      </c>
    </row>
    <row r="3">
      <c r="A3" s="14" t="inlineStr">
        <is>
          <t>10120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s="14" t="inlineStr">
        <is>
          <t>REST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1994</v>
      </c>
      <c r="C1" s="14" t="n">
        <v>1995</v>
      </c>
      <c r="D1" s="14" t="n">
        <v>1996</v>
      </c>
      <c r="E1" s="14" t="n">
        <v>1997</v>
      </c>
      <c r="F1" s="14" t="n">
        <v>1998</v>
      </c>
      <c r="G1" s="14" t="n">
        <v>1999</v>
      </c>
      <c r="H1" s="14" t="n">
        <v>2000</v>
      </c>
      <c r="I1" s="14" t="n">
        <v>2001</v>
      </c>
      <c r="J1" s="14" t="n">
        <v>2002</v>
      </c>
      <c r="K1" s="14" t="n">
        <v>2003</v>
      </c>
      <c r="L1" s="14" t="n">
        <v>2004</v>
      </c>
      <c r="M1" s="14" t="n">
        <v>2005</v>
      </c>
      <c r="N1" s="14" t="n">
        <v>2006</v>
      </c>
      <c r="O1" s="14" t="n">
        <v>2007</v>
      </c>
      <c r="P1" s="14" t="n">
        <v>2008</v>
      </c>
      <c r="Q1" s="14" t="n">
        <v>2009</v>
      </c>
      <c r="R1" s="14" t="n">
        <v>2010</v>
      </c>
      <c r="S1" s="14" t="n">
        <v>2011</v>
      </c>
      <c r="T1" s="14" t="n">
        <v>2012</v>
      </c>
      <c r="U1" s="14" t="n">
        <v>2013</v>
      </c>
      <c r="V1" s="14" t="n">
        <v>2014</v>
      </c>
      <c r="W1" s="14" t="n">
        <v>2015</v>
      </c>
      <c r="X1" s="14" t="n">
        <v>2016</v>
      </c>
      <c r="Y1" s="14" t="n">
        <v>2017</v>
      </c>
      <c r="Z1" s="14" t="n">
        <v>2018</v>
      </c>
      <c r="AA1" s="14" t="n">
        <v>2019</v>
      </c>
      <c r="AB1" s="14" t="n">
        <v>2020</v>
      </c>
      <c r="AC1" s="14" t="n">
        <v>2021</v>
      </c>
      <c r="AD1" s="14" t="n">
        <v>2022</v>
      </c>
    </row>
    <row r="2">
      <c r="A2" s="14" t="inlineStr">
        <is>
          <t>01000</t>
        </is>
      </c>
      <c r="B2" t="n">
        <v>0.5694120959315283</v>
      </c>
      <c r="C2" t="n">
        <v>0.6203550077443011</v>
      </c>
      <c r="D2" t="n">
        <v>0.7134677524911863</v>
      </c>
      <c r="E2" t="n">
        <v>0.6507866225210786</v>
      </c>
      <c r="F2" t="n">
        <v>0.649408838612045</v>
      </c>
      <c r="G2" t="n">
        <v>0.768881340314308</v>
      </c>
      <c r="H2" t="n">
        <v>0.6350900452763967</v>
      </c>
      <c r="I2" t="n">
        <v>0.6043450057779055</v>
      </c>
      <c r="J2" t="n">
        <v>0.6441331110491195</v>
      </c>
      <c r="K2" t="n">
        <v>0.6838603200060787</v>
      </c>
      <c r="L2" t="n">
        <v>0.7418455698970408</v>
      </c>
      <c r="M2" t="n">
        <v>0.5988069078658156</v>
      </c>
      <c r="N2" t="n">
        <v>0.7204947967960789</v>
      </c>
      <c r="O2" t="n">
        <v>0.6709370405933222</v>
      </c>
      <c r="P2" t="n">
        <v>0.7763583357535823</v>
      </c>
      <c r="Q2" t="n">
        <v>0.8359836510773638</v>
      </c>
      <c r="R2" t="n">
        <v>0.867934305260484</v>
      </c>
      <c r="S2" t="n">
        <v>0.8739833090523872</v>
      </c>
      <c r="T2" t="n">
        <v>0.7601711783897879</v>
      </c>
      <c r="U2" t="n">
        <v>0.8098461097281371</v>
      </c>
      <c r="V2" t="n">
        <v>0.8038074603702017</v>
      </c>
      <c r="W2" t="n">
        <v>0.8462145501429614</v>
      </c>
      <c r="X2" t="n">
        <v>0.7966074074519801</v>
      </c>
      <c r="Y2" t="n">
        <v>0.9094996692785136</v>
      </c>
      <c r="Z2" t="n">
        <v>1.124247766496554</v>
      </c>
      <c r="AA2" t="n">
        <v>0.9867634629065262</v>
      </c>
      <c r="AB2" t="n">
        <v>1</v>
      </c>
      <c r="AC2" t="n">
        <v>1.198400336086221</v>
      </c>
      <c r="AD2" t="n">
        <v>1.017388687344558</v>
      </c>
    </row>
    <row r="3">
      <c r="A3" s="14" t="inlineStr">
        <is>
          <t>10120</t>
        </is>
      </c>
      <c r="B3" t="n">
        <v>0.6311510304369754</v>
      </c>
      <c r="C3" t="n">
        <v>0.644436122155757</v>
      </c>
      <c r="D3" t="n">
        <v>0.6816428022880336</v>
      </c>
      <c r="E3" t="n">
        <v>0.6820298121471098</v>
      </c>
      <c r="F3" t="n">
        <v>0.7022084268958927</v>
      </c>
      <c r="G3" t="n">
        <v>0.6755453134147029</v>
      </c>
      <c r="H3" t="n">
        <v>0.7184453992831835</v>
      </c>
      <c r="I3" t="n">
        <v>0.686479910751161</v>
      </c>
      <c r="J3" t="n">
        <v>0.7256884728499822</v>
      </c>
      <c r="K3" t="n">
        <v>0.7640403546643563</v>
      </c>
      <c r="L3" t="n">
        <v>0.7992366096772727</v>
      </c>
      <c r="M3" t="n">
        <v>0.7767028742941604</v>
      </c>
      <c r="N3" t="n">
        <v>0.851607200695724</v>
      </c>
      <c r="O3" t="n">
        <v>0.8120712757254791</v>
      </c>
      <c r="P3" t="n">
        <v>0.8965922382059927</v>
      </c>
      <c r="Q3" t="n">
        <v>0.9244252360435145</v>
      </c>
      <c r="R3" t="n">
        <v>0.9603476620024052</v>
      </c>
      <c r="S3" t="n">
        <v>0.9482854815337636</v>
      </c>
      <c r="T3" t="n">
        <v>0.9342412907852248</v>
      </c>
      <c r="U3" t="n">
        <v>0.944659411541474</v>
      </c>
      <c r="V3" t="n">
        <v>0.896755896948058</v>
      </c>
      <c r="W3" t="n">
        <v>0.9031666765840176</v>
      </c>
      <c r="X3" t="n">
        <v>0.9362121167628166</v>
      </c>
      <c r="Y3" t="n">
        <v>1.005041492376351</v>
      </c>
      <c r="Z3" t="n">
        <v>1.029389210175087</v>
      </c>
      <c r="AA3" t="n">
        <v>1.003024070608212</v>
      </c>
      <c r="AB3" t="n">
        <v>1</v>
      </c>
      <c r="AC3" t="n">
        <v>1.035869408802631</v>
      </c>
      <c r="AD3" t="n">
        <v>1.038686177688313</v>
      </c>
    </row>
    <row r="4">
      <c r="A4" s="14" t="inlineStr">
        <is>
          <t>REST</t>
        </is>
      </c>
      <c r="B4" t="n">
        <v>0.6442693652949187</v>
      </c>
      <c r="C4" t="n">
        <v>0.6737343419432572</v>
      </c>
      <c r="D4" t="n">
        <v>0.6832690939777304</v>
      </c>
      <c r="E4" t="n">
        <v>0.6928643531228923</v>
      </c>
      <c r="F4" t="n">
        <v>0.6919950782729328</v>
      </c>
      <c r="G4" t="n">
        <v>0.691387563353435</v>
      </c>
      <c r="H4" t="n">
        <v>0.6884643676126717</v>
      </c>
      <c r="I4" t="n">
        <v>0.6700435916240303</v>
      </c>
      <c r="J4" t="n">
        <v>0.7085810041573789</v>
      </c>
      <c r="K4" t="n">
        <v>0.7364672080353868</v>
      </c>
      <c r="L4" t="n">
        <v>0.7605608169040057</v>
      </c>
      <c r="M4" t="n">
        <v>0.7285766945687764</v>
      </c>
      <c r="N4" t="n">
        <v>0.7740918814472948</v>
      </c>
      <c r="O4" t="n">
        <v>0.7484017164450715</v>
      </c>
      <c r="P4" t="n">
        <v>0.8212248174594626</v>
      </c>
      <c r="Q4" t="n">
        <v>0.9026545384318692</v>
      </c>
      <c r="R4" t="n">
        <v>0.9151666797273548</v>
      </c>
      <c r="S4" t="n">
        <v>0.8894296079828086</v>
      </c>
      <c r="T4" t="n">
        <v>0.8684375326824195</v>
      </c>
      <c r="U4" t="n">
        <v>0.8947087768488269</v>
      </c>
      <c r="V4" t="n">
        <v>0.908712451221763</v>
      </c>
      <c r="W4" t="n">
        <v>0.9063953602313132</v>
      </c>
      <c r="X4" t="n">
        <v>0.8872810535599707</v>
      </c>
      <c r="Y4" t="n">
        <v>0.9219824603658699</v>
      </c>
      <c r="Z4" t="n">
        <v>0.9489659119055536</v>
      </c>
      <c r="AA4" t="n">
        <v>0.9542324198789665</v>
      </c>
      <c r="AB4" t="n">
        <v>1</v>
      </c>
      <c r="AC4" t="n">
        <v>0.9939330275431468</v>
      </c>
      <c r="AD4" t="n">
        <v>0.9400706821397188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1994</v>
      </c>
      <c r="C1" s="14" t="n">
        <v>1995</v>
      </c>
      <c r="D1" s="14" t="n">
        <v>1996</v>
      </c>
      <c r="E1" s="14" t="n">
        <v>1997</v>
      </c>
      <c r="F1" s="14" t="n">
        <v>1998</v>
      </c>
      <c r="G1" s="14" t="n">
        <v>1999</v>
      </c>
      <c r="H1" s="14" t="n">
        <v>2000</v>
      </c>
      <c r="I1" s="14" t="n">
        <v>2001</v>
      </c>
      <c r="J1" s="14" t="n">
        <v>2002</v>
      </c>
      <c r="K1" s="14" t="n">
        <v>2003</v>
      </c>
      <c r="L1" s="14" t="n">
        <v>2004</v>
      </c>
      <c r="M1" s="14" t="n">
        <v>2005</v>
      </c>
      <c r="N1" s="14" t="n">
        <v>2006</v>
      </c>
      <c r="O1" s="14" t="n">
        <v>2007</v>
      </c>
      <c r="P1" s="14" t="n">
        <v>2008</v>
      </c>
      <c r="Q1" s="14" t="n">
        <v>2009</v>
      </c>
      <c r="R1" s="14" t="n">
        <v>2010</v>
      </c>
      <c r="S1" s="14" t="n">
        <v>2011</v>
      </c>
      <c r="T1" s="14" t="n">
        <v>2012</v>
      </c>
      <c r="U1" s="14" t="n">
        <v>2013</v>
      </c>
      <c r="V1" s="14" t="n">
        <v>2014</v>
      </c>
      <c r="W1" s="14" t="n">
        <v>2015</v>
      </c>
      <c r="X1" s="14" t="n">
        <v>2016</v>
      </c>
      <c r="Y1" s="14" t="n">
        <v>2017</v>
      </c>
      <c r="Z1" s="14" t="n">
        <v>2018</v>
      </c>
      <c r="AA1" s="14" t="n">
        <v>2019</v>
      </c>
      <c r="AB1" s="14" t="n">
        <v>2020</v>
      </c>
      <c r="AC1" s="14" t="n">
        <v>2021</v>
      </c>
      <c r="AD1" s="14" t="n">
        <v>2022</v>
      </c>
    </row>
    <row r="2">
      <c r="A2" s="14" t="inlineStr">
        <is>
          <t>01000</t>
        </is>
      </c>
      <c r="B2" t="n">
        <v>0.7895506480101825</v>
      </c>
      <c r="C2" t="n">
        <v>0.8660352289069596</v>
      </c>
      <c r="D2" t="n">
        <v>0.9863378765728258</v>
      </c>
      <c r="E2" t="n">
        <v>0.8907021267885591</v>
      </c>
      <c r="F2" t="n">
        <v>0.8723086569391534</v>
      </c>
      <c r="G2" t="n">
        <v>1.060214706037242</v>
      </c>
      <c r="H2" t="n">
        <v>0.8972817569267325</v>
      </c>
      <c r="I2" t="n">
        <v>0.8157336386831022</v>
      </c>
      <c r="J2" t="n">
        <v>0.8543578164785084</v>
      </c>
      <c r="K2" t="n">
        <v>0.8537823292715179</v>
      </c>
      <c r="L2" t="n">
        <v>0.9207597029731877</v>
      </c>
      <c r="M2" t="n">
        <v>0.6713106968288863</v>
      </c>
      <c r="N2" t="n">
        <v>0.8918096467143285</v>
      </c>
      <c r="O2" t="n">
        <v>0.9279661768950884</v>
      </c>
      <c r="P2" t="n">
        <v>1.17127252065956</v>
      </c>
      <c r="Q2" t="n">
        <v>1.12921707912043</v>
      </c>
      <c r="R2" t="n">
        <v>1.026624416822616</v>
      </c>
      <c r="S2" t="n">
        <v>1.020333096530182</v>
      </c>
      <c r="T2" t="n">
        <v>0.7670599844834585</v>
      </c>
      <c r="U2" t="n">
        <v>0.8145842943600929</v>
      </c>
      <c r="V2" t="n">
        <v>0.8216346270000164</v>
      </c>
      <c r="W2" t="n">
        <v>0.8656048076910883</v>
      </c>
      <c r="X2" t="n">
        <v>0.7862365260941758</v>
      </c>
      <c r="Y2" t="n">
        <v>0.935800807250539</v>
      </c>
      <c r="Z2" t="n">
        <v>1.185218234409293</v>
      </c>
      <c r="AA2" t="n">
        <v>0.99639825503532</v>
      </c>
      <c r="AB2" t="n">
        <v>1</v>
      </c>
      <c r="AC2" t="n">
        <v>1.294349694822466</v>
      </c>
      <c r="AD2" t="n">
        <v>1.194389723963708</v>
      </c>
    </row>
    <row r="3">
      <c r="A3" s="14" t="inlineStr">
        <is>
          <t>10120</t>
        </is>
      </c>
      <c r="B3" t="n">
        <v>0.9120446817897166</v>
      </c>
      <c r="C3" t="n">
        <v>0.9421497604881388</v>
      </c>
      <c r="D3" t="n">
        <v>0.990384588701434</v>
      </c>
      <c r="E3" t="n">
        <v>0.974381825141576</v>
      </c>
      <c r="F3" t="n">
        <v>0.9814297104564466</v>
      </c>
      <c r="G3" t="n">
        <v>0.982645677865026</v>
      </c>
      <c r="H3" t="n">
        <v>1.054816556318204</v>
      </c>
      <c r="I3" t="n">
        <v>0.9648255692847664</v>
      </c>
      <c r="J3" t="n">
        <v>1.003315307455758</v>
      </c>
      <c r="K3" t="n">
        <v>0.997480083605269</v>
      </c>
      <c r="L3" t="n">
        <v>1.035665037036575</v>
      </c>
      <c r="M3" t="n">
        <v>0.9345330625238985</v>
      </c>
      <c r="N3" t="n">
        <v>1.104138477049499</v>
      </c>
      <c r="O3" t="n">
        <v>1.166125510364949</v>
      </c>
      <c r="P3" t="n">
        <v>1.400469389833838</v>
      </c>
      <c r="Q3" t="n">
        <v>1.300298057058749</v>
      </c>
      <c r="R3" t="n">
        <v>1.183088062947719</v>
      </c>
      <c r="S3" t="n">
        <v>1.149931762076873</v>
      </c>
      <c r="T3" t="n">
        <v>1.008434482154517</v>
      </c>
      <c r="U3" t="n">
        <v>1.000933382651077</v>
      </c>
      <c r="V3" t="n">
        <v>0.9527053147732056</v>
      </c>
      <c r="W3" t="n">
        <v>0.9458189915014076</v>
      </c>
      <c r="X3" t="n">
        <v>0.975679676836402</v>
      </c>
      <c r="Y3" t="n">
        <v>1.070392926261865</v>
      </c>
      <c r="Z3" t="n">
        <v>1.058853863642708</v>
      </c>
      <c r="AA3" t="n">
        <v>1.018903229312391</v>
      </c>
      <c r="AB3" t="n">
        <v>1</v>
      </c>
      <c r="AC3" t="n">
        <v>1.076447743689753</v>
      </c>
      <c r="AD3" t="n">
        <v>1.226657362745335</v>
      </c>
    </row>
    <row r="4">
      <c r="A4" s="14" t="inlineStr">
        <is>
          <t>REST</t>
        </is>
      </c>
      <c r="B4" t="n">
        <v>0.6483193470939129</v>
      </c>
      <c r="C4" t="n">
        <v>0.6781613050058366</v>
      </c>
      <c r="D4" t="n">
        <v>0.6876937604740117</v>
      </c>
      <c r="E4" t="n">
        <v>0.6970211916146222</v>
      </c>
      <c r="F4" t="n">
        <v>0.6957750846982563</v>
      </c>
      <c r="G4" t="n">
        <v>0.6958433285224673</v>
      </c>
      <c r="H4" t="n">
        <v>0.693152523298655</v>
      </c>
      <c r="I4" t="n">
        <v>0.6738180937399934</v>
      </c>
      <c r="J4" t="n">
        <v>0.712277127037569</v>
      </c>
      <c r="K4" t="n">
        <v>0.7392988782140022</v>
      </c>
      <c r="L4" t="n">
        <v>0.763344333864396</v>
      </c>
      <c r="M4" t="n">
        <v>0.7300833106440688</v>
      </c>
      <c r="N4" t="n">
        <v>0.7768147841211341</v>
      </c>
      <c r="O4" t="n">
        <v>0.752660410533436</v>
      </c>
      <c r="P4" t="n">
        <v>0.8274732962570494</v>
      </c>
      <c r="Q4" t="n">
        <v>0.9073798831945404</v>
      </c>
      <c r="R4" t="n">
        <v>0.9176933927279004</v>
      </c>
      <c r="S4" t="n">
        <v>0.891619368026902</v>
      </c>
      <c r="T4" t="n">
        <v>0.86898565324898</v>
      </c>
      <c r="U4" t="n">
        <v>0.8951115159272329</v>
      </c>
      <c r="V4" t="n">
        <v>0.9094009012523988</v>
      </c>
      <c r="W4" t="n">
        <v>0.9068941740449634</v>
      </c>
      <c r="X4" t="n">
        <v>0.8875119048842374</v>
      </c>
      <c r="Y4" t="n">
        <v>0.9223543264514802</v>
      </c>
      <c r="Z4" t="n">
        <v>0.9489556876337766</v>
      </c>
      <c r="AA4" t="n">
        <v>0.9542089608115381</v>
      </c>
      <c r="AB4" t="n">
        <v>1</v>
      </c>
      <c r="AC4" t="n">
        <v>0.9942285021549002</v>
      </c>
      <c r="AD4" t="n">
        <v>0.9417869252594612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1.048170308087646</v>
      </c>
      <c r="AD2" t="n">
        <v>1.070253716046576</v>
      </c>
      <c r="AE2" t="n">
        <v>1.125554435492894</v>
      </c>
      <c r="AF2" t="n">
        <v>1.059768467700019</v>
      </c>
      <c r="AG2" t="n">
        <v>1.014597410129954</v>
      </c>
      <c r="AH2" t="n">
        <v>1.10446047235413</v>
      </c>
      <c r="AI2" t="n">
        <v>1.018572262997511</v>
      </c>
      <c r="AJ2" t="n">
        <v>0.9900193796476214</v>
      </c>
      <c r="AK2" t="n">
        <v>0.9922902359464099</v>
      </c>
      <c r="AL2" t="n">
        <v>0.9594777280907866</v>
      </c>
      <c r="AM2" t="n">
        <v>0.9841417762779968</v>
      </c>
      <c r="AN2" t="n">
        <v>0.8687625586124486</v>
      </c>
      <c r="AO2" t="n">
        <v>0.9414287698988965</v>
      </c>
      <c r="AP2" t="n">
        <v>0.9755645385705267</v>
      </c>
      <c r="AQ2" t="n">
        <v>1.234175333876587</v>
      </c>
      <c r="AR2" t="n">
        <v>1.16975218210741</v>
      </c>
      <c r="AS2" t="n">
        <v>1.062394468902459</v>
      </c>
      <c r="AT2" t="n">
        <v>1.16099661020004</v>
      </c>
      <c r="AU2" t="n">
        <v>1.055008777510487</v>
      </c>
      <c r="AV2" t="n">
        <v>1.09765465213721</v>
      </c>
      <c r="AW2" t="n">
        <v>1.018156176831059</v>
      </c>
      <c r="AX2" t="n">
        <v>1.074467100754246</v>
      </c>
      <c r="AY2" t="n">
        <v>1.043175388232009</v>
      </c>
      <c r="AZ2" t="n">
        <v>1.062316369387696</v>
      </c>
      <c r="BA2" t="n">
        <v>1.164702843530433</v>
      </c>
      <c r="BB2" t="n">
        <v>1.086337979852626</v>
      </c>
      <c r="BC2" t="n">
        <v>1.0668640647723</v>
      </c>
      <c r="BD2" t="n">
        <v>1.191631667133507</v>
      </c>
      <c r="BE2" t="n">
        <v>1.375921462894237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1.000882240277739</v>
      </c>
      <c r="AD3" t="n">
        <v>1.008501213346567</v>
      </c>
      <c r="AE3" t="n">
        <v>1.055993284539126</v>
      </c>
      <c r="AF3" t="n">
        <v>1.056687427934591</v>
      </c>
      <c r="AG3" t="n">
        <v>0.9878195798078295</v>
      </c>
      <c r="AH3" t="n">
        <v>0.9403891640828025</v>
      </c>
      <c r="AI3" t="n">
        <v>1.020470940438434</v>
      </c>
      <c r="AJ3" t="n">
        <v>1.059988506543316</v>
      </c>
      <c r="AK3" t="n">
        <v>1.044618602576088</v>
      </c>
      <c r="AL3" t="n">
        <v>1.0304986168287</v>
      </c>
      <c r="AM3" t="n">
        <v>1.045492749030713</v>
      </c>
      <c r="AN3" t="n">
        <v>1.012357059262257</v>
      </c>
      <c r="AO3" t="n">
        <v>1.060386691463016</v>
      </c>
      <c r="AP3" t="n">
        <v>1.092671227590922</v>
      </c>
      <c r="AQ3" t="n">
        <v>1.206037458635363</v>
      </c>
      <c r="AR3" t="n">
        <v>1.125786252404279</v>
      </c>
      <c r="AS3" t="n">
        <v>1.201103876294138</v>
      </c>
      <c r="AT3" t="n">
        <v>1.272679816251338</v>
      </c>
      <c r="AU3" t="n">
        <v>1.322744497580093</v>
      </c>
      <c r="AV3" t="n">
        <v>1.338496546594061</v>
      </c>
      <c r="AW3" t="n">
        <v>1.277761736170488</v>
      </c>
      <c r="AX3" t="n">
        <v>1.215067457318745</v>
      </c>
      <c r="AY3" t="n">
        <v>1.207407506563748</v>
      </c>
      <c r="AZ3" t="n">
        <v>1.276424699698506</v>
      </c>
      <c r="BA3" t="n">
        <v>1.244957960276443</v>
      </c>
      <c r="BB3" t="n">
        <v>1.274750882494203</v>
      </c>
      <c r="BC3" t="n">
        <v>1.294468252706676</v>
      </c>
      <c r="BD3" t="n">
        <v>1.28438658906446</v>
      </c>
      <c r="BE3" t="n">
        <v>1.490605273511799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0.700018943275767</v>
      </c>
      <c r="AD5" t="n">
        <v>0.7200103400362329</v>
      </c>
      <c r="AE5" t="n">
        <v>0.7197255419637243</v>
      </c>
      <c r="AF5" t="n">
        <v>0.7271797290530051</v>
      </c>
      <c r="AG5" t="n">
        <v>0.7275332879659683</v>
      </c>
      <c r="AH5" t="n">
        <v>0.7230465964732048</v>
      </c>
      <c r="AI5" t="n">
        <v>0.7150017745005052</v>
      </c>
      <c r="AJ5" t="n">
        <v>0.7120411915750665</v>
      </c>
      <c r="AK5" t="n">
        <v>0.736708251272125</v>
      </c>
      <c r="AL5" t="n">
        <v>0.7501439139658903</v>
      </c>
      <c r="AM5" t="n">
        <v>0.7598626606383849</v>
      </c>
      <c r="AN5" t="n">
        <v>0.7446542557676437</v>
      </c>
      <c r="AO5" t="n">
        <v>0.7698258006302078</v>
      </c>
      <c r="AP5" t="n">
        <v>0.7655012376857897</v>
      </c>
      <c r="AQ5" t="n">
        <v>0.8231505453373261</v>
      </c>
      <c r="AR5" t="n">
        <v>0.8751763129430641</v>
      </c>
      <c r="AS5" t="n">
        <v>0.8822327754161077</v>
      </c>
      <c r="AT5" t="n">
        <v>0.8710264780983866</v>
      </c>
      <c r="AU5" t="n">
        <v>0.8629728177223668</v>
      </c>
      <c r="AV5" t="n">
        <v>0.8742660389051816</v>
      </c>
      <c r="AW5" t="n">
        <v>0.8767434719735817</v>
      </c>
      <c r="AX5" t="n">
        <v>0.8680063658363347</v>
      </c>
      <c r="AY5" t="n">
        <v>0.8472153790912464</v>
      </c>
      <c r="AZ5" t="n">
        <v>0.8664876421791573</v>
      </c>
      <c r="BA5" t="n">
        <v>0.8817334539714357</v>
      </c>
      <c r="BB5" t="n">
        <v>0.8873298049320043</v>
      </c>
      <c r="BC5" t="n">
        <v>0.914507315841958</v>
      </c>
      <c r="BD5" t="n">
        <v>0.9252463293580856</v>
      </c>
      <c r="BE5" t="n">
        <v>0.9648461243473599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0.486084351020431</v>
      </c>
      <c r="AD2" t="n">
        <v>0.4703369422531647</v>
      </c>
      <c r="AE2" t="n">
        <v>0.4465232173184973</v>
      </c>
      <c r="AF2" t="n">
        <v>0.497151898711052</v>
      </c>
      <c r="AG2" t="n">
        <v>0.4938984016751309</v>
      </c>
      <c r="AH2" t="n">
        <v>0.4486039945279462</v>
      </c>
      <c r="AI2" t="n">
        <v>0.5186932271955901</v>
      </c>
      <c r="AJ2" t="n">
        <v>0.5530082621715419</v>
      </c>
      <c r="AK2" t="n">
        <v>0.549801350903248</v>
      </c>
      <c r="AL2" t="n">
        <v>0.5614910115427926</v>
      </c>
      <c r="AM2" t="n">
        <v>0.5501516149879759</v>
      </c>
      <c r="AN2" t="n">
        <v>0.6457406394002335</v>
      </c>
      <c r="AO2" t="n">
        <v>0.5892595002844399</v>
      </c>
      <c r="AP2" t="n">
        <v>0.6224311925021856</v>
      </c>
      <c r="AQ2" t="n">
        <v>0.5792471936640122</v>
      </c>
      <c r="AR2" t="n">
        <v>0.5775337587499432</v>
      </c>
      <c r="AS2" t="n">
        <v>0.623166700258549</v>
      </c>
      <c r="AT2" t="n">
        <v>0.6530376620642752</v>
      </c>
      <c r="AU2" t="n">
        <v>0.7446747030914481</v>
      </c>
      <c r="AV2" t="n">
        <v>0.7338833331107101</v>
      </c>
      <c r="AW2" t="n">
        <v>0.7355575610999117</v>
      </c>
      <c r="AX2" t="n">
        <v>0.7174697425907478</v>
      </c>
      <c r="AY2" t="n">
        <v>0.7364588735164246</v>
      </c>
      <c r="AZ2" t="n">
        <v>0.7082248112604175</v>
      </c>
      <c r="BA2" t="n">
        <v>0.6586191865188128</v>
      </c>
      <c r="BB2" t="n">
        <v>0.7143730545158038</v>
      </c>
      <c r="BC2" t="n">
        <v>0.7198015993548281</v>
      </c>
      <c r="BD2" t="n">
        <v>0.6759388191005296</v>
      </c>
      <c r="BE2" t="n">
        <v>0.744628346934693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0.7699230704392214</v>
      </c>
      <c r="AD3" t="n">
        <v>0.7655005238600436</v>
      </c>
      <c r="AE3" t="n">
        <v>0.7524324491988593</v>
      </c>
      <c r="AF3" t="n">
        <v>0.75887245420481</v>
      </c>
      <c r="AG3" t="n">
        <v>0.7455199898355666</v>
      </c>
      <c r="AH3" t="n">
        <v>0.7428799787383299</v>
      </c>
      <c r="AI3" t="n">
        <v>0.7459695781827512</v>
      </c>
      <c r="AJ3" t="n">
        <v>0.7690945853435612</v>
      </c>
      <c r="AK3" t="n">
        <v>0.7416895421647686</v>
      </c>
      <c r="AL3" t="n">
        <v>0.72967119063202</v>
      </c>
      <c r="AM3" t="n">
        <v>0.7330780879693217</v>
      </c>
      <c r="AN3" t="n">
        <v>0.7588789725531736</v>
      </c>
      <c r="AO3" t="n">
        <v>0.7483499469808473</v>
      </c>
      <c r="AP3" t="n">
        <v>0.7660916768064043</v>
      </c>
      <c r="AQ3" t="n">
        <v>0.764492138489082</v>
      </c>
      <c r="AR3" t="n">
        <v>0.7469017889502598</v>
      </c>
      <c r="AS3" t="n">
        <v>0.747682451634772</v>
      </c>
      <c r="AT3" t="n">
        <v>0.770083502509659</v>
      </c>
      <c r="AU3" t="n">
        <v>0.7846188879917728</v>
      </c>
      <c r="AV3" t="n">
        <v>0.7894889607006956</v>
      </c>
      <c r="AW3" t="n">
        <v>0.7974833197768483</v>
      </c>
      <c r="AX3" t="n">
        <v>0.7866555262031401</v>
      </c>
      <c r="AY3" t="n">
        <v>0.783230960329942</v>
      </c>
      <c r="AZ3" t="n">
        <v>0.7875550759242447</v>
      </c>
      <c r="BA3" t="n">
        <v>0.779509100517395</v>
      </c>
      <c r="BB3" t="n">
        <v>0.7912337739885138</v>
      </c>
      <c r="BC3" t="n">
        <v>0.7911389024164343</v>
      </c>
      <c r="BD3" t="n">
        <v>0.7922831142575329</v>
      </c>
      <c r="BE3" t="n">
        <v>0.8286316285947517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0.3599830703338753</v>
      </c>
      <c r="AD5" t="n">
        <v>0.3654792864410341</v>
      </c>
      <c r="AE5" t="n">
        <v>0.3741999100599093</v>
      </c>
      <c r="AF5" t="n">
        <v>0.3800221191667929</v>
      </c>
      <c r="AG5" t="n">
        <v>0.3879061106494589</v>
      </c>
      <c r="AH5" t="n">
        <v>0.4018232691709438</v>
      </c>
      <c r="AI5" t="n">
        <v>0.4260798479510468</v>
      </c>
      <c r="AJ5" t="n">
        <v>0.4497061651728505</v>
      </c>
      <c r="AK5" t="n">
        <v>0.438656415061522</v>
      </c>
      <c r="AL5" t="n">
        <v>0.4271346047243458</v>
      </c>
      <c r="AM5" t="n">
        <v>0.4287359109209099</v>
      </c>
      <c r="AN5" t="n">
        <v>0.4723838962295144</v>
      </c>
      <c r="AO5" t="n">
        <v>0.4737412585426117</v>
      </c>
      <c r="AP5" t="n">
        <v>0.5035253926046056</v>
      </c>
      <c r="AQ5" t="n">
        <v>0.4866514750490916</v>
      </c>
      <c r="AR5" t="n">
        <v>0.4309609249028715</v>
      </c>
      <c r="AS5" t="n">
        <v>0.4358566778135423</v>
      </c>
      <c r="AT5" t="n">
        <v>0.4620705079723026</v>
      </c>
      <c r="AU5" t="n">
        <v>0.4840961136530538</v>
      </c>
      <c r="AV5" t="n">
        <v>0.4713748589372583</v>
      </c>
      <c r="AW5" t="n">
        <v>0.4747699761834577</v>
      </c>
      <c r="AX5" t="n">
        <v>0.4795817405890442</v>
      </c>
      <c r="AY5" t="n">
        <v>0.4907677833575876</v>
      </c>
      <c r="AZ5" t="n">
        <v>0.4900190346246063</v>
      </c>
      <c r="BA5" t="n">
        <v>0.4920131815119091</v>
      </c>
      <c r="BB5" t="n">
        <v>0.4948972974022541</v>
      </c>
      <c r="BC5" t="n">
        <v>0.4779960216254978</v>
      </c>
      <c r="BD5" t="n">
        <v>0.5030613925293147</v>
      </c>
      <c r="BE5" t="n">
        <v>0.5608365327926005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0.3423989578344218</v>
      </c>
      <c r="AD2" t="n">
        <v>0.3592173533475889</v>
      </c>
      <c r="AE2" t="n">
        <v>0.3908131247006669</v>
      </c>
      <c r="AF2" t="n">
        <v>0.3538585346949055</v>
      </c>
      <c r="AG2" t="n">
        <v>0.3651143617806072</v>
      </c>
      <c r="AH2" t="n">
        <v>0.3952605666244383</v>
      </c>
      <c r="AI2" t="n">
        <v>0.3278639596849944</v>
      </c>
      <c r="AJ2" t="n">
        <v>0.3180301754350707</v>
      </c>
      <c r="AK2" t="n">
        <v>0.3400463300438674</v>
      </c>
      <c r="AL2" t="n">
        <v>0.3671127013332462</v>
      </c>
      <c r="AM2" t="n">
        <v>0.3868489570034422</v>
      </c>
      <c r="AN2" t="n">
        <v>0.3400279339214563</v>
      </c>
      <c r="AO2" t="n">
        <v>0.3682448762423415</v>
      </c>
      <c r="AP2" t="n">
        <v>0.3030449953432345</v>
      </c>
      <c r="AQ2" t="n">
        <v>0.2869069457624298</v>
      </c>
      <c r="AR2" t="n">
        <v>0.3286516874407009</v>
      </c>
      <c r="AS2" t="n">
        <v>0.3633218905271403</v>
      </c>
      <c r="AT2" t="n">
        <v>0.3269288849911671</v>
      </c>
      <c r="AU2" t="n">
        <v>0.2963515337348755</v>
      </c>
      <c r="AV2" t="n">
        <v>0.305609918129599</v>
      </c>
      <c r="AW2" t="n">
        <v>0.3173515487917662</v>
      </c>
      <c r="AX2" t="n">
        <v>0.3218608755221665</v>
      </c>
      <c r="AY2" t="n">
        <v>0.3052146553572298</v>
      </c>
      <c r="AZ2" t="n">
        <v>0.3371716952571309</v>
      </c>
      <c r="BA2" t="n">
        <v>0.3904586710960124</v>
      </c>
      <c r="BB2" t="n">
        <v>0.3536920563693471</v>
      </c>
      <c r="BC2" t="n">
        <v>0.3570333711866578</v>
      </c>
      <c r="BD2" t="n">
        <v>0.3812310664641828</v>
      </c>
      <c r="BE2" t="n">
        <v>0.2543995792112707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0.1485234313770034</v>
      </c>
      <c r="AD3" t="n">
        <v>0.1543401015943057</v>
      </c>
      <c r="AE3" t="n">
        <v>0.1610647994586253</v>
      </c>
      <c r="AF3" t="n">
        <v>0.1586737840656109</v>
      </c>
      <c r="AG3" t="n">
        <v>0.1726089480633199</v>
      </c>
      <c r="AH3" t="n">
        <v>0.177112101461104</v>
      </c>
      <c r="AI3" t="n">
        <v>0.1732567001718056</v>
      </c>
      <c r="AJ3" t="n">
        <v>0.1535591448391294</v>
      </c>
      <c r="AK3" t="n">
        <v>0.1657349623050859</v>
      </c>
      <c r="AL3" t="n">
        <v>0.1728528044270026</v>
      </c>
      <c r="AM3" t="n">
        <v>0.1737950063792454</v>
      </c>
      <c r="AN3" t="n">
        <v>0.1637599300642175</v>
      </c>
      <c r="AO3" t="n">
        <v>0.1703800228980803</v>
      </c>
      <c r="AP3" t="n">
        <v>0.1508829764052805</v>
      </c>
      <c r="AQ3" t="n">
        <v>0.1515380320329478</v>
      </c>
      <c r="AR3" t="n">
        <v>0.1737931544673867</v>
      </c>
      <c r="AS3" t="n">
        <v>0.1708575039657839</v>
      </c>
      <c r="AT3" t="n">
        <v>0.1503784391950664</v>
      </c>
      <c r="AU3" t="n">
        <v>0.138480954799686</v>
      </c>
      <c r="AV3" t="n">
        <v>0.1334343534874817</v>
      </c>
      <c r="AW3" t="n">
        <v>0.1261912662151257</v>
      </c>
      <c r="AX3" t="n">
        <v>0.1326850598452131</v>
      </c>
      <c r="AY3" t="n">
        <v>0.1398211482540802</v>
      </c>
      <c r="AZ3" t="n">
        <v>0.1396419681545323</v>
      </c>
      <c r="BA3" t="n">
        <v>0.1460718281105535</v>
      </c>
      <c r="BB3" t="n">
        <v>0.1364550653315194</v>
      </c>
      <c r="BC3" t="n">
        <v>0.1353817979943833</v>
      </c>
      <c r="BD3" t="n">
        <v>0.1398877483188729</v>
      </c>
      <c r="BE3" t="n">
        <v>0.113059534433976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0.6131777028387246</v>
      </c>
      <c r="AD5" t="n">
        <v>0.6108843035137113</v>
      </c>
      <c r="AE5" t="n">
        <v>0.6068260753250154</v>
      </c>
      <c r="AF5" t="n">
        <v>0.6037309527370439</v>
      </c>
      <c r="AG5" t="n">
        <v>0.5976754672459237</v>
      </c>
      <c r="AH5" t="n">
        <v>0.5874079377814276</v>
      </c>
      <c r="AI5" t="n">
        <v>0.5714383549284854</v>
      </c>
      <c r="AJ5" t="n">
        <v>0.5490548373591363</v>
      </c>
      <c r="AK5" t="n">
        <v>0.5604745723452889</v>
      </c>
      <c r="AL5" t="n">
        <v>0.5741709883125419</v>
      </c>
      <c r="AM5" t="n">
        <v>0.5762729070257485</v>
      </c>
      <c r="AN5" t="n">
        <v>0.5364477661010361</v>
      </c>
      <c r="AO5" t="n">
        <v>0.5387298200821579</v>
      </c>
      <c r="AP5" t="n">
        <v>0.5110137517265976</v>
      </c>
      <c r="AQ5" t="n">
        <v>0.5266290543220754</v>
      </c>
      <c r="AR5" t="n">
        <v>0.5773467722101279</v>
      </c>
      <c r="AS5" t="n">
        <v>0.5759259815149366</v>
      </c>
      <c r="AT5" t="n">
        <v>0.55343603871416</v>
      </c>
      <c r="AU5" t="n">
        <v>0.5334495122951085</v>
      </c>
      <c r="AV5" t="n">
        <v>0.5465613429817424</v>
      </c>
      <c r="AW5" t="n">
        <v>0.5449543226590016</v>
      </c>
      <c r="AX5" t="n">
        <v>0.5414282630370132</v>
      </c>
      <c r="AY5" t="n">
        <v>0.53303626711063</v>
      </c>
      <c r="AZ5" t="n">
        <v>0.5365157683045875</v>
      </c>
      <c r="BA5" t="n">
        <v>0.5367615315821476</v>
      </c>
      <c r="BB5" t="n">
        <v>0.5342183078040407</v>
      </c>
      <c r="BC5" t="n">
        <v>0.548595268724274</v>
      </c>
      <c r="BD5" t="n">
        <v>0.5264156123820164</v>
      </c>
      <c r="BE5" t="n">
        <v>0.4663827670707196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1967</v>
      </c>
      <c r="C1" s="14" t="n">
        <v>1968</v>
      </c>
      <c r="D1" s="14" t="n">
        <v>1969</v>
      </c>
      <c r="E1" s="14" t="n">
        <v>1970</v>
      </c>
      <c r="F1" s="14" t="n">
        <v>1971</v>
      </c>
      <c r="G1" s="14" t="n">
        <v>1972</v>
      </c>
      <c r="H1" s="14" t="n">
        <v>1973</v>
      </c>
      <c r="I1" s="14" t="n">
        <v>1974</v>
      </c>
      <c r="J1" s="14" t="n">
        <v>1975</v>
      </c>
      <c r="K1" s="14" t="n">
        <v>1976</v>
      </c>
      <c r="L1" s="14" t="n">
        <v>1977</v>
      </c>
      <c r="M1" s="14" t="n">
        <v>1978</v>
      </c>
      <c r="N1" s="14" t="n">
        <v>1979</v>
      </c>
      <c r="O1" s="14" t="n">
        <v>1980</v>
      </c>
      <c r="P1" s="14" t="n">
        <v>1981</v>
      </c>
      <c r="Q1" s="14" t="n">
        <v>1982</v>
      </c>
      <c r="R1" s="14" t="n">
        <v>1983</v>
      </c>
      <c r="S1" s="14" t="n">
        <v>1984</v>
      </c>
      <c r="T1" s="14" t="n">
        <v>1985</v>
      </c>
      <c r="U1" s="14" t="n">
        <v>1986</v>
      </c>
      <c r="V1" s="14" t="n">
        <v>1987</v>
      </c>
      <c r="W1" s="14" t="n">
        <v>1988</v>
      </c>
      <c r="X1" s="14" t="n">
        <v>1989</v>
      </c>
      <c r="Y1" s="14" t="n">
        <v>1990</v>
      </c>
      <c r="Z1" s="14" t="n">
        <v>1991</v>
      </c>
      <c r="AA1" s="14" t="n">
        <v>1992</v>
      </c>
      <c r="AB1" s="14" t="n">
        <v>1993</v>
      </c>
      <c r="AC1" s="14" t="n">
        <v>1994</v>
      </c>
      <c r="AD1" s="14" t="n">
        <v>1995</v>
      </c>
      <c r="AE1" s="14" t="n">
        <v>1996</v>
      </c>
      <c r="AF1" s="14" t="n">
        <v>1997</v>
      </c>
      <c r="AG1" s="14" t="n">
        <v>1998</v>
      </c>
      <c r="AH1" s="14" t="n">
        <v>1999</v>
      </c>
      <c r="AI1" s="14" t="n">
        <v>2000</v>
      </c>
      <c r="AJ1" s="14" t="n">
        <v>2001</v>
      </c>
      <c r="AK1" s="14" t="n">
        <v>2002</v>
      </c>
      <c r="AL1" s="14" t="n">
        <v>2003</v>
      </c>
      <c r="AM1" s="14" t="n">
        <v>2004</v>
      </c>
      <c r="AN1" s="14" t="n">
        <v>2005</v>
      </c>
      <c r="AO1" s="14" t="n">
        <v>2006</v>
      </c>
      <c r="AP1" s="14" t="n">
        <v>2007</v>
      </c>
      <c r="AQ1" s="14" t="n">
        <v>2008</v>
      </c>
      <c r="AR1" s="14" t="n">
        <v>2009</v>
      </c>
      <c r="AS1" s="14" t="n">
        <v>2010</v>
      </c>
      <c r="AT1" s="14" t="n">
        <v>2011</v>
      </c>
      <c r="AU1" s="14" t="n">
        <v>2012</v>
      </c>
      <c r="AV1" s="14" t="n">
        <v>2013</v>
      </c>
      <c r="AW1" s="14" t="n">
        <v>2014</v>
      </c>
      <c r="AX1" s="14" t="n">
        <v>2015</v>
      </c>
      <c r="AY1" s="14" t="n">
        <v>2016</v>
      </c>
      <c r="AZ1" s="14" t="n">
        <v>2017</v>
      </c>
      <c r="BA1" s="14" t="n">
        <v>2018</v>
      </c>
      <c r="BB1" s="14" t="n">
        <v>2019</v>
      </c>
      <c r="BC1" s="14" t="n">
        <v>2020</v>
      </c>
      <c r="BD1" s="14" t="n">
        <v>2021</v>
      </c>
      <c r="BE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0.3980613373857851</v>
      </c>
      <c r="AD2" t="n">
        <v>0.4214520680046474</v>
      </c>
      <c r="AE2" t="n">
        <v>0.4535399644319988</v>
      </c>
      <c r="AF2" t="n">
        <v>0.4062683555046654</v>
      </c>
      <c r="AG2" t="n">
        <v>0.4095672346056264</v>
      </c>
      <c r="AH2" t="n">
        <v>0.4591158436833206</v>
      </c>
      <c r="AI2" t="n">
        <v>0.3929613008056834</v>
      </c>
      <c r="AJ2" t="n">
        <v>0.3594772737798478</v>
      </c>
      <c r="AK2" t="n">
        <v>0.375760948402785</v>
      </c>
      <c r="AL2" t="n">
        <v>0.375181411419642</v>
      </c>
      <c r="AM2" t="n">
        <v>0.3922732191828358</v>
      </c>
      <c r="AN2" t="n">
        <v>0.3015459424483381</v>
      </c>
      <c r="AO2" t="n">
        <v>0.3672949364219789</v>
      </c>
      <c r="AP2" t="n">
        <v>0.3487678564704199</v>
      </c>
      <c r="AQ2" t="n">
        <v>0.3697111311940173</v>
      </c>
      <c r="AR2" t="n">
        <v>0.369921416639454</v>
      </c>
      <c r="AS2" t="n">
        <v>0.3442545392858359</v>
      </c>
      <c r="AT2" t="n">
        <v>0.3036778207064489</v>
      </c>
      <c r="AU2" t="n">
        <v>0.2270003060539327</v>
      </c>
      <c r="AV2" t="n">
        <v>0.2324180499071773</v>
      </c>
      <c r="AW2" t="n">
        <v>0.2467260618181145</v>
      </c>
      <c r="AX2" t="n">
        <v>0.2496974663632209</v>
      </c>
      <c r="AY2" t="n">
        <v>0.2256509760596996</v>
      </c>
      <c r="AZ2" t="n">
        <v>0.2624237911454106</v>
      </c>
      <c r="BA2" t="n">
        <v>0.3118860699632405</v>
      </c>
      <c r="BB2" t="n">
        <v>0.2649188184804621</v>
      </c>
      <c r="BC2" t="n">
        <v>0.2636704076864221</v>
      </c>
      <c r="BD2" t="n">
        <v>0.312511905239117</v>
      </c>
      <c r="BE2" t="n">
        <v>0.2315166849587091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0.1485234313770034</v>
      </c>
      <c r="AD3" t="n">
        <v>0.1543401015943057</v>
      </c>
      <c r="AE3" t="n">
        <v>0.1610647994586253</v>
      </c>
      <c r="AF3" t="n">
        <v>0.1586737840656109</v>
      </c>
      <c r="AG3" t="n">
        <v>0.1726089480633199</v>
      </c>
      <c r="AH3" t="n">
        <v>0.177112101461104</v>
      </c>
      <c r="AI3" t="n">
        <v>0.1732567001718056</v>
      </c>
      <c r="AJ3" t="n">
        <v>0.1535591448391294</v>
      </c>
      <c r="AK3" t="n">
        <v>0.1657349623050859</v>
      </c>
      <c r="AL3" t="n">
        <v>0.1728528044270026</v>
      </c>
      <c r="AM3" t="n">
        <v>0.1737950063792454</v>
      </c>
      <c r="AN3" t="n">
        <v>0.1637599300642175</v>
      </c>
      <c r="AO3" t="n">
        <v>0.1703800228980803</v>
      </c>
      <c r="AP3" t="n">
        <v>0.1508829764052805</v>
      </c>
      <c r="AQ3" t="n">
        <v>0.1515380320329478</v>
      </c>
      <c r="AR3" t="n">
        <v>0.1737931544673867</v>
      </c>
      <c r="AS3" t="n">
        <v>0.1708575039657839</v>
      </c>
      <c r="AT3" t="n">
        <v>0.1503784391950664</v>
      </c>
      <c r="AU3" t="n">
        <v>0.138480954799686</v>
      </c>
      <c r="AV3" t="n">
        <v>0.1334343534874817</v>
      </c>
      <c r="AW3" t="n">
        <v>0.1261912662151257</v>
      </c>
      <c r="AX3" t="n">
        <v>0.1326850598452131</v>
      </c>
      <c r="AY3" t="n">
        <v>0.1398211482540802</v>
      </c>
      <c r="AZ3" t="n">
        <v>0.1396419681545323</v>
      </c>
      <c r="BA3" t="n">
        <v>0.1460718281105535</v>
      </c>
      <c r="BB3" t="n">
        <v>0.1364550653315194</v>
      </c>
      <c r="BC3" t="n">
        <v>0.1353817979943833</v>
      </c>
      <c r="BD3" t="n">
        <v>0.1398877483188729</v>
      </c>
      <c r="BE3" t="n">
        <v>0.113059534433976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0.6131777028387246</v>
      </c>
      <c r="AD5" t="n">
        <v>0.6108843035137113</v>
      </c>
      <c r="AE5" t="n">
        <v>0.6068260753250154</v>
      </c>
      <c r="AF5" t="n">
        <v>0.6037309527370439</v>
      </c>
      <c r="AG5" t="n">
        <v>0.5976754672459237</v>
      </c>
      <c r="AH5" t="n">
        <v>0.5874079377814276</v>
      </c>
      <c r="AI5" t="n">
        <v>0.5714383549284854</v>
      </c>
      <c r="AJ5" t="n">
        <v>0.5490548373591363</v>
      </c>
      <c r="AK5" t="n">
        <v>0.5604745723452889</v>
      </c>
      <c r="AL5" t="n">
        <v>0.5741709883125419</v>
      </c>
      <c r="AM5" t="n">
        <v>0.5762729070257485</v>
      </c>
      <c r="AN5" t="n">
        <v>0.5364477661010361</v>
      </c>
      <c r="AO5" t="n">
        <v>0.5387298200821579</v>
      </c>
      <c r="AP5" t="n">
        <v>0.5110137517265976</v>
      </c>
      <c r="AQ5" t="n">
        <v>0.5266290543220754</v>
      </c>
      <c r="AR5" t="n">
        <v>0.5773467722101279</v>
      </c>
      <c r="AS5" t="n">
        <v>0.5759259815149366</v>
      </c>
      <c r="AT5" t="n">
        <v>0.55343603871416</v>
      </c>
      <c r="AU5" t="n">
        <v>0.5334495122951085</v>
      </c>
      <c r="AV5" t="n">
        <v>0.5465613429817424</v>
      </c>
      <c r="AW5" t="n">
        <v>0.5449543226590016</v>
      </c>
      <c r="AX5" t="n">
        <v>0.5414282630370132</v>
      </c>
      <c r="AY5" t="n">
        <v>0.53303626711063</v>
      </c>
      <c r="AZ5" t="n">
        <v>0.5365157683045875</v>
      </c>
      <c r="BA5" t="n">
        <v>0.5367615315821476</v>
      </c>
      <c r="BB5" t="n">
        <v>0.5342183078040407</v>
      </c>
      <c r="BC5" t="n">
        <v>0.548595268724274</v>
      </c>
      <c r="BD5" t="n">
        <v>0.5264156123820164</v>
      </c>
      <c r="BE5" t="n">
        <v>0.4663827670707196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  <c r="BG1" s="14" t="n">
        <v>2023</v>
      </c>
      <c r="BH1" s="14" t="n">
        <v>2024</v>
      </c>
      <c r="BI1" s="14" t="n">
        <v>2025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5.873553391715914e-05</v>
      </c>
      <c r="AE2" t="n">
        <v>5.910821244617289e-05</v>
      </c>
      <c r="AF2" t="n">
        <v>6.081636341137414e-05</v>
      </c>
      <c r="AG2" t="n">
        <v>6.345707099888533e-05</v>
      </c>
      <c r="AH2" t="n">
        <v>6.507309364785652e-05</v>
      </c>
      <c r="AI2" t="n">
        <v>6.700849022381092e-05</v>
      </c>
      <c r="AJ2" t="n">
        <v>6.67004665165285e-05</v>
      </c>
      <c r="AK2" t="n">
        <v>6.732239347320816e-05</v>
      </c>
      <c r="AL2" t="n">
        <v>6.755441444155261e-05</v>
      </c>
      <c r="AM2" t="n">
        <v>6.998180083967305e-05</v>
      </c>
      <c r="AN2" t="n">
        <v>7.028916363482283e-05</v>
      </c>
      <c r="AO2" t="n">
        <v>7.274900619246385e-05</v>
      </c>
      <c r="AP2" t="n">
        <v>7.847919257791296e-05</v>
      </c>
      <c r="AQ2" t="n">
        <v>7.994084938200562e-05</v>
      </c>
      <c r="AR2" t="n">
        <v>8.00373704727681e-05</v>
      </c>
      <c r="AS2" t="n">
        <v>8.48849994366996e-05</v>
      </c>
      <c r="AT2" t="n">
        <v>8.602294013446592e-05</v>
      </c>
      <c r="AU2" t="n">
        <v>8.849999275559603e-05</v>
      </c>
      <c r="AV2" t="n">
        <v>9.106470237013263e-05</v>
      </c>
      <c r="AW2" t="n">
        <v>9.22363162516915e-05</v>
      </c>
      <c r="AX2" t="n">
        <v>9.18124679873056e-05</v>
      </c>
      <c r="AY2" t="n">
        <v>9.305382928577883e-05</v>
      </c>
      <c r="AZ2" t="n">
        <v>9.373112422812846e-05</v>
      </c>
      <c r="BA2" t="n">
        <v>9.471485489954711e-05</v>
      </c>
      <c r="BB2" t="n">
        <v>9.70648043522801e-05</v>
      </c>
      <c r="BC2" t="n">
        <v>0.0001008462031792175</v>
      </c>
      <c r="BD2" t="n">
        <v>0.0001014419601788256</v>
      </c>
      <c r="BE2" t="n">
        <v>9.98009101360182e-05</v>
      </c>
      <c r="BF2" t="n">
        <v>0.0001017502882590355</v>
      </c>
      <c r="BG2" t="inlineStr"/>
      <c r="BH2" t="inlineStr"/>
      <c r="BI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1994</v>
      </c>
      <c r="C1" s="14" t="n">
        <v>1995</v>
      </c>
      <c r="D1" s="14" t="n">
        <v>1996</v>
      </c>
      <c r="E1" s="14" t="n">
        <v>1997</v>
      </c>
      <c r="F1" s="14" t="n">
        <v>1998</v>
      </c>
      <c r="G1" s="14" t="n">
        <v>1999</v>
      </c>
      <c r="H1" s="14" t="n">
        <v>2000</v>
      </c>
      <c r="I1" s="14" t="n">
        <v>2001</v>
      </c>
      <c r="J1" s="14" t="n">
        <v>2002</v>
      </c>
      <c r="K1" s="14" t="n">
        <v>2003</v>
      </c>
      <c r="L1" s="14" t="n">
        <v>2004</v>
      </c>
      <c r="M1" s="14" t="n">
        <v>2005</v>
      </c>
      <c r="N1" s="14" t="n">
        <v>2006</v>
      </c>
      <c r="O1" s="14" t="n">
        <v>2007</v>
      </c>
      <c r="P1" s="14" t="n">
        <v>2008</v>
      </c>
      <c r="Q1" s="14" t="n">
        <v>2009</v>
      </c>
      <c r="R1" s="14" t="n">
        <v>2010</v>
      </c>
      <c r="S1" s="14" t="n">
        <v>2011</v>
      </c>
      <c r="T1" s="14" t="n">
        <v>2012</v>
      </c>
      <c r="U1" s="14" t="n">
        <v>2013</v>
      </c>
      <c r="V1" s="14" t="n">
        <v>2014</v>
      </c>
      <c r="W1" s="14" t="n">
        <v>2015</v>
      </c>
      <c r="X1" s="14" t="n">
        <v>2016</v>
      </c>
      <c r="Y1" s="14" t="n">
        <v>2017</v>
      </c>
      <c r="Z1" s="14" t="n">
        <v>2018</v>
      </c>
      <c r="AA1" s="14" t="n">
        <v>2019</v>
      </c>
      <c r="AB1" s="14" t="n">
        <v>2020</v>
      </c>
      <c r="AC1" s="14" t="n">
        <v>2021</v>
      </c>
      <c r="AD1" s="14" t="n">
        <v>2022</v>
      </c>
    </row>
    <row r="2">
      <c r="A2" s="14" t="inlineStr">
        <is>
          <t>01000</t>
        </is>
      </c>
      <c r="B2" t="n">
        <v>1.31559354467107</v>
      </c>
      <c r="C2" t="n">
        <v>1.315142964075788</v>
      </c>
      <c r="D2" t="n">
        <v>1.312805385390094</v>
      </c>
      <c r="E2" t="n">
        <v>1.309781079574657</v>
      </c>
      <c r="F2" t="n">
        <v>1.308281782550674</v>
      </c>
      <c r="G2" t="n">
        <v>1.30724220903606</v>
      </c>
      <c r="H2" t="n">
        <v>1.307571629849683</v>
      </c>
      <c r="I2" t="n">
        <v>1.306590072234173</v>
      </c>
      <c r="J2" t="n">
        <v>1.306441217007772</v>
      </c>
      <c r="K2" t="n">
        <v>1.305725186519015</v>
      </c>
      <c r="L2" t="n">
        <v>1.305976632748267</v>
      </c>
      <c r="M2" t="n">
        <v>1.308244455719566</v>
      </c>
      <c r="N2" t="n">
        <v>1.322986716728941</v>
      </c>
      <c r="O2" t="n">
        <v>1.324573785927703</v>
      </c>
      <c r="P2" t="n">
        <v>1.324503133320275</v>
      </c>
      <c r="Q2" t="n">
        <v>1.31334837464622</v>
      </c>
      <c r="R2" t="n">
        <v>1.312846785585394</v>
      </c>
      <c r="S2" t="n">
        <v>1.316590463740153</v>
      </c>
      <c r="T2" t="n">
        <v>1.320912477858094</v>
      </c>
      <c r="U2" t="n">
        <v>1.324924659652397</v>
      </c>
      <c r="V2" t="n">
        <v>1.323458437451795</v>
      </c>
      <c r="W2" t="n">
        <v>1.327531929665583</v>
      </c>
      <c r="X2" t="n">
        <v>1.32974909909086</v>
      </c>
      <c r="Y2" t="n">
        <v>1.333346530671979</v>
      </c>
      <c r="Z2" t="n">
        <v>1.340899633873038</v>
      </c>
      <c r="AA2" t="n">
        <v>1.352067469392294</v>
      </c>
      <c r="AB2" t="n">
        <v>1.354089654275009</v>
      </c>
      <c r="AC2" t="n">
        <v>1.348361464073623</v>
      </c>
      <c r="AD2" t="n">
        <v>1.35360201924037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  <c r="BG1" s="14" t="n">
        <v>2023</v>
      </c>
      <c r="BH1" s="14" t="n">
        <v>2024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2.078651415736898</v>
      </c>
      <c r="AE2" t="n">
        <v>2.143159661038062</v>
      </c>
      <c r="AF2" t="n">
        <v>2.22494089915651</v>
      </c>
      <c r="AG2" t="n">
        <v>2.181765728207963</v>
      </c>
      <c r="AH2" t="n">
        <v>2.152742527168091</v>
      </c>
      <c r="AI2" t="n">
        <v>2.285342235778541</v>
      </c>
      <c r="AJ2" t="n">
        <v>2.135954167806908</v>
      </c>
      <c r="AK2" t="n">
        <v>2.105301320505258</v>
      </c>
      <c r="AL2" t="n">
        <v>2.104716357847194</v>
      </c>
      <c r="AM2" t="n">
        <v>2.180613131547023</v>
      </c>
      <c r="AN2" t="n">
        <v>2.203487774208934</v>
      </c>
      <c r="AO2" t="n">
        <v>2.060113928808753</v>
      </c>
      <c r="AP2" t="n">
        <v>2.259528083668551</v>
      </c>
      <c r="AQ2" t="n">
        <v>2.175195206721401</v>
      </c>
      <c r="AR2" t="n">
        <v>2.332298374122998</v>
      </c>
      <c r="AS2" t="n">
        <v>2.44482748142227</v>
      </c>
      <c r="AT2" t="n">
        <v>2.452905389892442</v>
      </c>
      <c r="AU2" t="n">
        <v>2.434370478634988</v>
      </c>
      <c r="AV2" t="n">
        <v>2.286432236670811</v>
      </c>
      <c r="AW2" t="n">
        <v>2.311683226355731</v>
      </c>
      <c r="AX2" t="n">
        <v>2.237993372064691</v>
      </c>
      <c r="AY2" t="n">
        <v>2.122888648978163</v>
      </c>
      <c r="AZ2" t="n">
        <v>2.079967899080732</v>
      </c>
      <c r="BA2" t="n">
        <v>2.189332661938051</v>
      </c>
      <c r="BB2" t="n">
        <v>2.367755132082876</v>
      </c>
      <c r="BC2" t="n">
        <v>2.249138993197748</v>
      </c>
      <c r="BD2" t="n">
        <v>2.192212434600087</v>
      </c>
      <c r="BE2" t="n">
        <v>2.332529755093263</v>
      </c>
      <c r="BF2" t="n">
        <v>2.119964146411991</v>
      </c>
      <c r="BG2" t="inlineStr"/>
      <c r="BH2" t="inlineStr"/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0.9335868478115299</v>
      </c>
      <c r="AE3" t="n">
        <v>0.9388163902125083</v>
      </c>
      <c r="AF3" t="n">
        <v>0.9775375400632451</v>
      </c>
      <c r="AG3" t="n">
        <v>0.9875859467618173</v>
      </c>
      <c r="AH3" t="n">
        <v>0.9763733718636125</v>
      </c>
      <c r="AI3" t="n">
        <v>0.951401677512679</v>
      </c>
      <c r="AJ3" t="n">
        <v>0.9760996165911807</v>
      </c>
      <c r="AK3" t="n">
        <v>0.9192114849287064</v>
      </c>
      <c r="AL3" t="n">
        <v>0.945307913823523</v>
      </c>
      <c r="AM3" t="n">
        <v>0.9863804251264219</v>
      </c>
      <c r="AN3" t="n">
        <v>1.044732096370343</v>
      </c>
      <c r="AO3" t="n">
        <v>1.035008995378735</v>
      </c>
      <c r="AP3" t="n">
        <v>1.120258901498178</v>
      </c>
      <c r="AQ3" t="n">
        <v>1.036663690240373</v>
      </c>
      <c r="AR3" t="n">
        <v>1.132190289151694</v>
      </c>
      <c r="AS3" t="n">
        <v>1.223845754229534</v>
      </c>
      <c r="AT3" t="n">
        <v>1.285809666705019</v>
      </c>
      <c r="AU3" t="n">
        <v>1.288927982928966</v>
      </c>
      <c r="AV3" t="n">
        <v>1.278309897721422</v>
      </c>
      <c r="AW3" t="n">
        <v>1.311960024553816</v>
      </c>
      <c r="AX3" t="n">
        <v>1.286894615060417</v>
      </c>
      <c r="AY3" t="n">
        <v>1.304916615145715</v>
      </c>
      <c r="AZ3" t="n">
        <v>1.259801268981842</v>
      </c>
      <c r="BA3" t="n">
        <v>1.300585420210336</v>
      </c>
      <c r="BB3" t="n">
        <v>1.317469964600724</v>
      </c>
      <c r="BC3" t="n">
        <v>1.277201276165911</v>
      </c>
      <c r="BD3" t="n">
        <v>1.232903714612251</v>
      </c>
      <c r="BE3" t="n">
        <v>1.227712069504217</v>
      </c>
      <c r="BF3" t="n">
        <v>1.210635116000143</v>
      </c>
      <c r="BG3" t="inlineStr"/>
      <c r="BH3" t="inlineStr"/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1.583807714015983</v>
      </c>
      <c r="AE5" t="n">
        <v>1.585298865143287</v>
      </c>
      <c r="AF5" t="n">
        <v>1.561351511768859</v>
      </c>
      <c r="AG5" t="n">
        <v>1.543636647976075</v>
      </c>
      <c r="AH5" t="n">
        <v>1.5065770751738</v>
      </c>
      <c r="AI5" t="n">
        <v>1.476194326150689</v>
      </c>
      <c r="AJ5" t="n">
        <v>1.443980997688476</v>
      </c>
      <c r="AK5" t="n">
        <v>1.387839726460214</v>
      </c>
      <c r="AL5" t="n">
        <v>1.413716115069255</v>
      </c>
      <c r="AM5" t="n">
        <v>1.432827458842302</v>
      </c>
      <c r="AN5" t="n">
        <v>1.447281988537254</v>
      </c>
      <c r="AO5" t="n">
        <v>1.369693328971916</v>
      </c>
      <c r="AP5" t="n">
        <v>1.387709017385363</v>
      </c>
      <c r="AQ5" t="n">
        <v>1.308248248463634</v>
      </c>
      <c r="AR5" t="n">
        <v>1.377364039050085</v>
      </c>
      <c r="AS5" t="n">
        <v>1.483144460530485</v>
      </c>
      <c r="AT5" t="n">
        <v>1.494045787300645</v>
      </c>
      <c r="AU5" t="n">
        <v>1.454791353904157</v>
      </c>
      <c r="AV5" t="n">
        <v>1.419717849339045</v>
      </c>
      <c r="AW5" t="n">
        <v>1.437862580128205</v>
      </c>
      <c r="AX5" t="n">
        <v>1.436425387946175</v>
      </c>
      <c r="AY5" t="n">
        <v>1.405821172153364</v>
      </c>
      <c r="AZ5" t="n">
        <v>1.363980870294685</v>
      </c>
      <c r="BA5" t="n">
        <v>1.389893750259368</v>
      </c>
      <c r="BB5" t="n">
        <v>1.401007766471884</v>
      </c>
      <c r="BC5" t="n">
        <v>1.393188569038306</v>
      </c>
      <c r="BD5" t="n">
        <v>1.439668587390989</v>
      </c>
      <c r="BE5" t="n">
        <v>1.390270543911216</v>
      </c>
      <c r="BF5" t="n">
        <v>1.261444912128945</v>
      </c>
      <c r="BG5" t="inlineStr"/>
      <c r="BH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0.02496290608690923</v>
      </c>
      <c r="AE2" t="n">
        <v>0.02401856329965381</v>
      </c>
      <c r="AF2" t="n">
        <v>0.02272875063953904</v>
      </c>
      <c r="AG2" t="n">
        <v>0.0233482678865154</v>
      </c>
      <c r="AH2" t="n">
        <v>0.02375776379039281</v>
      </c>
      <c r="AI2" t="n">
        <v>0.02183309509022015</v>
      </c>
      <c r="AJ2" t="n">
        <v>0.02397438933559773</v>
      </c>
      <c r="AK2" t="n">
        <v>0.02434228504089504</v>
      </c>
      <c r="AL2" t="n">
        <v>0.02434919237558339</v>
      </c>
      <c r="AM2" t="n">
        <v>0.02344910240199526</v>
      </c>
      <c r="AN2" t="n">
        <v>0.02317261594221102</v>
      </c>
      <c r="AO2" t="n">
        <v>0.02463227469670403</v>
      </c>
      <c r="AP2" t="n">
        <v>0.02264211355275206</v>
      </c>
      <c r="AQ2" t="n">
        <v>0.02348695433033902</v>
      </c>
      <c r="AR2" t="n">
        <v>0.02193603573517778</v>
      </c>
      <c r="AS2" t="n">
        <v>0.02072606912014673</v>
      </c>
      <c r="AT2" t="n">
        <v>0.02063537274000333</v>
      </c>
      <c r="AU2" t="n">
        <v>0.02083559231188459</v>
      </c>
      <c r="AV2" t="n">
        <v>0.0222826844088665</v>
      </c>
      <c r="AW2" t="n">
        <v>0.02205145786590546</v>
      </c>
      <c r="AX2" t="n">
        <v>0.02272276244580776</v>
      </c>
      <c r="AY2" t="n">
        <v>0.02370125490286645</v>
      </c>
      <c r="AZ2" t="n">
        <v>0.02399819640060021</v>
      </c>
      <c r="BA2" t="n">
        <v>0.02312933596104789</v>
      </c>
      <c r="BB2" t="n">
        <v>0.02147265387613288</v>
      </c>
      <c r="BC2" t="n">
        <v>0.02254385318560224</v>
      </c>
      <c r="BD2" t="n">
        <v>0.02302144381694308</v>
      </c>
      <c r="BE2" t="n">
        <v>0.02167767489049698</v>
      </c>
      <c r="BF2" t="n">
        <v>0.02355563317575126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0.0261469950679848</v>
      </c>
      <c r="AE3" t="n">
        <v>0.02607789422136676</v>
      </c>
      <c r="AF3" t="n">
        <v>0.02556534212680694</v>
      </c>
      <c r="AG3" t="n">
        <v>0.02541880415593411</v>
      </c>
      <c r="AH3" t="n">
        <v>0.02555043969484883</v>
      </c>
      <c r="AI3" t="n">
        <v>0.02584336365958883</v>
      </c>
      <c r="AJ3" t="n">
        <v>0.02554965877820603</v>
      </c>
      <c r="AK3" t="n">
        <v>0.02616869562768537</v>
      </c>
      <c r="AL3" t="n">
        <v>0.02589908986513682</v>
      </c>
      <c r="AM3" t="n">
        <v>0.02546683348180312</v>
      </c>
      <c r="AN3" t="n">
        <v>0.02486438282404576</v>
      </c>
      <c r="AO3" t="n">
        <v>0.02489859889256956</v>
      </c>
      <c r="AP3" t="n">
        <v>0.02411140525602194</v>
      </c>
      <c r="AQ3" t="n">
        <v>0.02480892191977606</v>
      </c>
      <c r="AR3" t="n">
        <v>0.02401133139228243</v>
      </c>
      <c r="AS3" t="n">
        <v>0.02317616049022688</v>
      </c>
      <c r="AT3" t="n">
        <v>0.02260204447395844</v>
      </c>
      <c r="AU3" t="n">
        <v>0.02257271001604857</v>
      </c>
      <c r="AV3" t="n">
        <v>0.02265849217649816</v>
      </c>
      <c r="AW3" t="n">
        <v>0.02236926369503232</v>
      </c>
      <c r="AX3" t="n">
        <v>0.02254171051849063</v>
      </c>
      <c r="AY3" t="n">
        <v>0.0224072946418928</v>
      </c>
      <c r="AZ3" t="n">
        <v>0.02274009124792612</v>
      </c>
      <c r="BA3" t="n">
        <v>0.02242436207145383</v>
      </c>
      <c r="BB3" t="n">
        <v>0.02228974067379552</v>
      </c>
      <c r="BC3" t="n">
        <v>0.02258326366173538</v>
      </c>
      <c r="BD3" t="n">
        <v>0.02289737077343168</v>
      </c>
      <c r="BE3" t="n">
        <v>0.02293458239796807</v>
      </c>
      <c r="BF3" t="n">
        <v>0.02305286704485719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0.01961763452966889</v>
      </c>
      <c r="AE5" t="n">
        <v>0.0195823841904478</v>
      </c>
      <c r="AF5" t="n">
        <v>0.01982463941676545</v>
      </c>
      <c r="AG5" t="n">
        <v>0.01999188172181603</v>
      </c>
      <c r="AH5" t="n">
        <v>0.02034255105777985</v>
      </c>
      <c r="AI5" t="n">
        <v>0.02061382723376286</v>
      </c>
      <c r="AJ5" t="n">
        <v>0.02090619107000971</v>
      </c>
      <c r="AK5" t="n">
        <v>0.02139406290363867</v>
      </c>
      <c r="AL5" t="n">
        <v>0.02114471760456817</v>
      </c>
      <c r="AM5" t="n">
        <v>0.02095963058414348</v>
      </c>
      <c r="AN5" t="n">
        <v>0.02081504189176402</v>
      </c>
      <c r="AO5" t="n">
        <v>0.0214706537442312</v>
      </c>
      <c r="AP5" t="n">
        <v>0.02130958132341755</v>
      </c>
      <c r="AQ5" t="n">
        <v>0.02191721533649374</v>
      </c>
      <c r="AR5" t="n">
        <v>0.02137913565173172</v>
      </c>
      <c r="AS5" t="n">
        <v>0.02048528491850741</v>
      </c>
      <c r="AT5" t="n">
        <v>0.02038327498306236</v>
      </c>
      <c r="AU5" t="n">
        <v>0.0207187867669645</v>
      </c>
      <c r="AV5" t="n">
        <v>0.02099260308622087</v>
      </c>
      <c r="AW5" t="n">
        <v>0.02085198723468186</v>
      </c>
      <c r="AX5" t="n">
        <v>0.02086134919693465</v>
      </c>
      <c r="AY5" t="n">
        <v>0.02109032433995985</v>
      </c>
      <c r="AZ5" t="n">
        <v>0.02139163284787261</v>
      </c>
      <c r="BA5" t="n">
        <v>0.02120294462935613</v>
      </c>
      <c r="BB5" t="n">
        <v>0.02111888357276699</v>
      </c>
      <c r="BC5" t="n">
        <v>0.02117145104661663</v>
      </c>
      <c r="BD5" t="n">
        <v>0.02084242126259943</v>
      </c>
      <c r="BE5" t="n">
        <v>0.02118841847845938</v>
      </c>
      <c r="BF5" t="n">
        <v>0.02201756282294852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</row>
    <row r="2">
      <c r="A2" s="14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-0.2188602240663705</v>
      </c>
      <c r="AE2" t="n">
        <v>-0.2051171808477026</v>
      </c>
      <c r="AF2" t="n">
        <v>-0.2315780848689444</v>
      </c>
      <c r="AG2" t="n">
        <v>-0.1876422245446087</v>
      </c>
      <c r="AH2" t="n">
        <v>-0.2487365388270292</v>
      </c>
      <c r="AI2" t="n">
        <v>-0.3226353452158529</v>
      </c>
      <c r="AJ2" t="n">
        <v>-0.1992469312476743</v>
      </c>
      <c r="AK2" t="n">
        <v>-0.1199392735562246</v>
      </c>
      <c r="AL2" t="n">
        <v>-0.1971481582530009</v>
      </c>
      <c r="AM2" t="n">
        <v>-0.1898521046366758</v>
      </c>
      <c r="AN2" t="n">
        <v>-0.187821708452779</v>
      </c>
      <c r="AO2" t="n">
        <v>-0.1759355617063761</v>
      </c>
      <c r="AP2" t="n">
        <v>-0.2165799123402191</v>
      </c>
      <c r="AQ2" t="n">
        <v>-0.213119053699537</v>
      </c>
      <c r="AR2" t="n">
        <v>-0.3247642304510003</v>
      </c>
      <c r="AS2" t="n">
        <v>-0.3068359496358459</v>
      </c>
      <c r="AT2" t="n">
        <v>-0.2003320132931239</v>
      </c>
      <c r="AU2" t="n">
        <v>-0.1760605635445616</v>
      </c>
      <c r="AV2" t="n">
        <v>-0.02259082165710813</v>
      </c>
      <c r="AW2" t="n">
        <v>-0.1032409001853217</v>
      </c>
      <c r="AX2" t="n">
        <v>-0.0695562251800147</v>
      </c>
      <c r="AY2" t="n">
        <v>-0.1785214143760683</v>
      </c>
      <c r="AZ2" t="n">
        <v>-0.1464983252583429</v>
      </c>
      <c r="BA2" t="n">
        <v>-0.09141201257837306</v>
      </c>
      <c r="BB2" t="n">
        <v>-0.2047372050220431</v>
      </c>
      <c r="BC2" t="n">
        <v>-0.08088923122678038</v>
      </c>
      <c r="BD2" t="n">
        <v>-0.04324515801738116</v>
      </c>
      <c r="BE2" t="n">
        <v>-0.158749734691409</v>
      </c>
      <c r="BF2" t="n">
        <v>-0.1315978004974514</v>
      </c>
    </row>
    <row r="3">
      <c r="A3" s="14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-0.2347659222401171</v>
      </c>
      <c r="AE3" t="n">
        <v>-0.2347653164258466</v>
      </c>
      <c r="AF3" t="n">
        <v>-0.2525299801365231</v>
      </c>
      <c r="AG3" t="n">
        <v>-0.242571074698296</v>
      </c>
      <c r="AH3" t="n">
        <v>-0.2357601068592639</v>
      </c>
      <c r="AI3" t="n">
        <v>-0.2226780031577023</v>
      </c>
      <c r="AJ3" t="n">
        <v>-0.2354234475009235</v>
      </c>
      <c r="AK3" t="n">
        <v>-0.226639305864059</v>
      </c>
      <c r="AL3" t="n">
        <v>-0.2151746655335395</v>
      </c>
      <c r="AM3" t="n">
        <v>-0.2189281438744618</v>
      </c>
      <c r="AN3" t="n">
        <v>-0.2240833043323947</v>
      </c>
      <c r="AO3" t="n">
        <v>-0.1915081147523389</v>
      </c>
      <c r="AP3" t="n">
        <v>-0.2159894745498114</v>
      </c>
      <c r="AQ3" t="n">
        <v>-0.2156441621953974</v>
      </c>
      <c r="AR3" t="n">
        <v>-0.2393363721934793</v>
      </c>
      <c r="AS3" t="n">
        <v>-0.2149146484680016</v>
      </c>
      <c r="AT3" t="n">
        <v>-0.2382884090239847</v>
      </c>
      <c r="AU3" t="n">
        <v>-0.2469130971306422</v>
      </c>
      <c r="AV3" t="n">
        <v>-0.2506716939463043</v>
      </c>
      <c r="AW3" t="n">
        <v>-0.2472470243925808</v>
      </c>
      <c r="AX3" t="n">
        <v>-0.2333214070302745</v>
      </c>
      <c r="AY3" t="n">
        <v>-0.2065403483481761</v>
      </c>
      <c r="AZ3" t="n">
        <v>-0.197486290292323</v>
      </c>
      <c r="BA3" t="n">
        <v>-0.2333080672270318</v>
      </c>
      <c r="BB3" t="n">
        <v>-0.2216986632844671</v>
      </c>
      <c r="BC3" t="n">
        <v>-0.220395069462717</v>
      </c>
      <c r="BD3" t="n">
        <v>-0.2280905880463757</v>
      </c>
      <c r="BE3" t="n">
        <v>-0.2298461001780433</v>
      </c>
      <c r="BF3" t="n">
        <v>-0.2325207753845316</v>
      </c>
    </row>
    <row r="4">
      <c r="A4" s="14" t="inlineStr">
        <is>
          <t>Privat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4" t="inlineStr">
        <is>
          <t>REST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-0.08635506015398708</v>
      </c>
      <c r="AE5" t="n">
        <v>-0.09640150056855357</v>
      </c>
      <c r="AF5" t="n">
        <v>-0.08193361686063183</v>
      </c>
      <c r="AG5" t="n">
        <v>-0.07100639429875788</v>
      </c>
      <c r="AH5" t="n">
        <v>-0.0628664611304709</v>
      </c>
      <c r="AI5" t="n">
        <v>-0.04417700242471068</v>
      </c>
      <c r="AJ5" t="n">
        <v>0.00548095106257529</v>
      </c>
      <c r="AK5" t="n">
        <v>0.03330222294776819</v>
      </c>
      <c r="AL5" t="n">
        <v>0.01301881123214477</v>
      </c>
      <c r="AM5" t="n">
        <v>0.004915698185351758</v>
      </c>
      <c r="AN5" t="n">
        <v>0.0121999154471335</v>
      </c>
      <c r="AO5" t="n">
        <v>0.06499103038693321</v>
      </c>
      <c r="AP5" t="n">
        <v>0.05921850557226938</v>
      </c>
      <c r="AQ5" t="n">
        <v>0.09483511502251796</v>
      </c>
      <c r="AR5" t="n">
        <v>0.06294793415085165</v>
      </c>
      <c r="AS5" t="n">
        <v>-0.01294904804342767</v>
      </c>
      <c r="AT5" t="n">
        <v>0.01461780206488728</v>
      </c>
      <c r="AU5" t="n">
        <v>0.04293940960040454</v>
      </c>
      <c r="AV5" t="n">
        <v>0.07670191524859993</v>
      </c>
      <c r="AW5" t="n">
        <v>0.06997247133021012</v>
      </c>
      <c r="AX5" t="n">
        <v>0.07024554405423777</v>
      </c>
      <c r="AY5" t="n">
        <v>0.08293431089892112</v>
      </c>
      <c r="AZ5" t="n">
        <v>0.09867814390391749</v>
      </c>
      <c r="BA5" t="n">
        <v>0.09641764566500677</v>
      </c>
      <c r="BB5" t="n">
        <v>0.09616651681346378</v>
      </c>
      <c r="BC5" t="n">
        <v>0.1028366293850711</v>
      </c>
      <c r="BD5" t="n">
        <v>0.09526614065371364</v>
      </c>
      <c r="BE5" t="n">
        <v>0.1329480708119732</v>
      </c>
      <c r="BF5" t="n">
        <v>0.2228608179536753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ANVENDELSE</t>
        </is>
      </c>
      <c r="B1" s="14" t="n">
        <v>1966</v>
      </c>
      <c r="C1" s="14" t="n">
        <v>1967</v>
      </c>
      <c r="D1" s="14" t="n">
        <v>1968</v>
      </c>
      <c r="E1" s="14" t="n">
        <v>1969</v>
      </c>
      <c r="F1" s="14" t="n">
        <v>1970</v>
      </c>
      <c r="G1" s="14" t="n">
        <v>1971</v>
      </c>
      <c r="H1" s="14" t="n">
        <v>1972</v>
      </c>
      <c r="I1" s="14" t="n">
        <v>1973</v>
      </c>
      <c r="J1" s="14" t="n">
        <v>1974</v>
      </c>
      <c r="K1" s="14" t="n">
        <v>1975</v>
      </c>
      <c r="L1" s="14" t="n">
        <v>1976</v>
      </c>
      <c r="M1" s="14" t="n">
        <v>1977</v>
      </c>
      <c r="N1" s="14" t="n">
        <v>1978</v>
      </c>
      <c r="O1" s="14" t="n">
        <v>1979</v>
      </c>
      <c r="P1" s="14" t="n">
        <v>1980</v>
      </c>
      <c r="Q1" s="14" t="n">
        <v>1981</v>
      </c>
      <c r="R1" s="14" t="n">
        <v>1982</v>
      </c>
      <c r="S1" s="14" t="n">
        <v>1983</v>
      </c>
      <c r="T1" s="14" t="n">
        <v>1984</v>
      </c>
      <c r="U1" s="14" t="n">
        <v>1985</v>
      </c>
      <c r="V1" s="14" t="n">
        <v>1986</v>
      </c>
      <c r="W1" s="14" t="n">
        <v>1987</v>
      </c>
      <c r="X1" s="14" t="n">
        <v>1988</v>
      </c>
      <c r="Y1" s="14" t="n">
        <v>1989</v>
      </c>
      <c r="Z1" s="14" t="n">
        <v>1990</v>
      </c>
      <c r="AA1" s="14" t="n">
        <v>1991</v>
      </c>
      <c r="AB1" s="14" t="n">
        <v>1992</v>
      </c>
      <c r="AC1" s="14" t="n">
        <v>1993</v>
      </c>
      <c r="AD1" s="14" t="n">
        <v>1994</v>
      </c>
      <c r="AE1" s="14" t="n">
        <v>1995</v>
      </c>
      <c r="AF1" s="14" t="n">
        <v>1996</v>
      </c>
      <c r="AG1" s="14" t="n">
        <v>1997</v>
      </c>
      <c r="AH1" s="14" t="n">
        <v>1998</v>
      </c>
      <c r="AI1" s="14" t="n">
        <v>1999</v>
      </c>
      <c r="AJ1" s="14" t="n">
        <v>2000</v>
      </c>
      <c r="AK1" s="14" t="n">
        <v>2001</v>
      </c>
      <c r="AL1" s="14" t="n">
        <v>2002</v>
      </c>
      <c r="AM1" s="14" t="n">
        <v>2003</v>
      </c>
      <c r="AN1" s="14" t="n">
        <v>2004</v>
      </c>
      <c r="AO1" s="14" t="n">
        <v>2005</v>
      </c>
      <c r="AP1" s="14" t="n">
        <v>2006</v>
      </c>
      <c r="AQ1" s="14" t="n">
        <v>2007</v>
      </c>
      <c r="AR1" s="14" t="n">
        <v>2008</v>
      </c>
      <c r="AS1" s="14" t="n">
        <v>2009</v>
      </c>
      <c r="AT1" s="14" t="n">
        <v>2010</v>
      </c>
      <c r="AU1" s="14" t="n">
        <v>2011</v>
      </c>
      <c r="AV1" s="14" t="n">
        <v>2012</v>
      </c>
      <c r="AW1" s="14" t="n">
        <v>2013</v>
      </c>
      <c r="AX1" s="14" t="n">
        <v>2014</v>
      </c>
      <c r="AY1" s="14" t="n">
        <v>2015</v>
      </c>
      <c r="AZ1" s="14" t="n">
        <v>2016</v>
      </c>
      <c r="BA1" s="14" t="n">
        <v>2017</v>
      </c>
      <c r="BB1" s="14" t="n">
        <v>2018</v>
      </c>
      <c r="BC1" s="14" t="n">
        <v>2019</v>
      </c>
      <c r="BD1" s="14" t="n">
        <v>2020</v>
      </c>
      <c r="BE1" s="14" t="n">
        <v>2021</v>
      </c>
      <c r="BF1" s="14" t="n">
        <v>2022</v>
      </c>
    </row>
    <row r="2">
      <c r="A2" s="14" t="inlineStr">
        <is>
          <t>01000</t>
        </is>
      </c>
      <c r="B2" t="n">
        <v>0.009836609815292734</v>
      </c>
      <c r="C2" t="n">
        <v>0.01101073611754138</v>
      </c>
      <c r="D2" t="n">
        <v>0.01148978396755082</v>
      </c>
      <c r="E2" t="n">
        <v>0.01067842589432592</v>
      </c>
      <c r="F2" t="n">
        <v>0.01347451647851094</v>
      </c>
      <c r="G2" t="n">
        <v>0.01408149196439263</v>
      </c>
      <c r="H2" t="n">
        <v>0.01214688022750926</v>
      </c>
      <c r="I2" t="n">
        <v>0.01007570360208073</v>
      </c>
      <c r="J2" t="n">
        <v>0.007562416684877882</v>
      </c>
      <c r="K2" t="n">
        <v>0.0107186635031349</v>
      </c>
      <c r="L2" t="n">
        <v>0.007117176490295973</v>
      </c>
      <c r="M2" t="n">
        <v>0.006769049619115314</v>
      </c>
      <c r="N2" t="n">
        <v>0.004317485708908702</v>
      </c>
      <c r="O2" t="n">
        <v>0.001778473108507525</v>
      </c>
      <c r="P2" t="n">
        <v>-0.0008590813877886196</v>
      </c>
      <c r="Q2" t="n">
        <v>-0.006465578982889667</v>
      </c>
      <c r="R2" t="n">
        <v>-0.007446839884987165</v>
      </c>
      <c r="S2" t="n">
        <v>-0.01190292825256662</v>
      </c>
      <c r="T2" t="n">
        <v>-0.009106457545066718</v>
      </c>
      <c r="U2" t="n">
        <v>-0.008861017353453087</v>
      </c>
      <c r="V2" t="n">
        <v>-0.007671288894478428</v>
      </c>
      <c r="W2" t="n">
        <v>-0.00449312098578775</v>
      </c>
      <c r="X2" t="n">
        <v>-0.01141193045631413</v>
      </c>
      <c r="Y2" t="n">
        <v>-0.01009193675646752</v>
      </c>
      <c r="Z2" t="n">
        <v>-0.009747063267662497</v>
      </c>
      <c r="AA2" t="n">
        <v>-0.009760447315117524</v>
      </c>
      <c r="AB2" t="n">
        <v>-0.0143471827654404</v>
      </c>
      <c r="AC2" t="n">
        <v>-0.01194162681390537</v>
      </c>
      <c r="AD2" t="n">
        <v>-0.02182871292925891</v>
      </c>
      <c r="AE2" t="n">
        <v>-0.01772465811244259</v>
      </c>
      <c r="AF2" t="n">
        <v>-0.02069548184817026</v>
      </c>
      <c r="AG2" t="n">
        <v>-0.01648784763689773</v>
      </c>
      <c r="AH2" t="n">
        <v>-0.0135278765697289</v>
      </c>
      <c r="AI2" t="n">
        <v>-0.01737055070450878</v>
      </c>
      <c r="AJ2" t="n">
        <v>-0.01611693817822354</v>
      </c>
      <c r="AK2" t="n">
        <v>-0.01617715670024798</v>
      </c>
      <c r="AL2" t="n">
        <v>-0.01976284844400688</v>
      </c>
      <c r="AM2" t="n">
        <v>-0.02851477222334825</v>
      </c>
      <c r="AN2" t="n">
        <v>-0.02720136916976314</v>
      </c>
      <c r="AO2" t="n">
        <v>0.003383380802023474</v>
      </c>
      <c r="AP2" t="n">
        <v>-0.00841816000517826</v>
      </c>
      <c r="AQ2" t="n">
        <v>-0.006477034996661276</v>
      </c>
      <c r="AR2" t="n">
        <v>0.003254154540096126</v>
      </c>
      <c r="AS2" t="n">
        <v>-0.01819385984930592</v>
      </c>
      <c r="AT2" t="n">
        <v>-0.005812641816774405</v>
      </c>
      <c r="AU2" t="n">
        <v>-0.008610022371137531</v>
      </c>
      <c r="AV2" t="n">
        <v>-0.001767880916475239</v>
      </c>
      <c r="AW2" t="n">
        <v>-0.006513143673197852</v>
      </c>
      <c r="AX2" t="n">
        <v>-0.009292329430104487</v>
      </c>
      <c r="AY2" t="n">
        <v>-0.0165451958951696</v>
      </c>
      <c r="AZ2" t="n">
        <v>-0.01009190182255596</v>
      </c>
      <c r="BA2" t="n">
        <v>-0.009442514974490895</v>
      </c>
      <c r="BB2" t="n">
        <v>-0.01587404705652785</v>
      </c>
      <c r="BC2" t="n">
        <v>-0.01330920422443602</v>
      </c>
      <c r="BD2" t="n">
        <v>-0.02030646039906521</v>
      </c>
      <c r="BE2" t="n">
        <v>-0.02403345559581643</v>
      </c>
      <c r="BF2" t="n">
        <v>-0.01617801987124973</v>
      </c>
    </row>
    <row r="3">
      <c r="A3" s="14" t="inlineStr">
        <is>
          <t>10120</t>
        </is>
      </c>
      <c r="B3" t="n">
        <v>0.0003697109744967445</v>
      </c>
      <c r="C3" t="n">
        <v>0.000469140549894251</v>
      </c>
      <c r="D3" t="n">
        <v>0.0005704219256906992</v>
      </c>
      <c r="E3" t="n">
        <v>0.0004992956659913878</v>
      </c>
      <c r="F3" t="n">
        <v>0.000608659578033061</v>
      </c>
      <c r="G3" t="n">
        <v>0.0006685095576258392</v>
      </c>
      <c r="H3" t="n">
        <v>0.000623004334990815</v>
      </c>
      <c r="I3" t="n">
        <v>0.0006164520800110105</v>
      </c>
      <c r="J3" t="n">
        <v>-0.00229503814817404</v>
      </c>
      <c r="K3" t="n">
        <v>0.0004867676882578286</v>
      </c>
      <c r="L3" t="n">
        <v>-0.0006983719988982981</v>
      </c>
      <c r="M3" t="n">
        <v>-0.0006717805799932151</v>
      </c>
      <c r="N3" t="n">
        <v>-0.0007728676850416549</v>
      </c>
      <c r="O3" t="n">
        <v>-0.001795696664157299</v>
      </c>
      <c r="P3" t="n">
        <v>-0.002756072864911813</v>
      </c>
      <c r="Q3" t="n">
        <v>-0.002248200910703309</v>
      </c>
      <c r="R3" t="n">
        <v>-0.002326798359021661</v>
      </c>
      <c r="S3" t="n">
        <v>-0.003207848421686254</v>
      </c>
      <c r="T3" t="n">
        <v>-0.002323728677829215</v>
      </c>
      <c r="U3" t="n">
        <v>-0.00146861855312183</v>
      </c>
      <c r="V3" t="n">
        <v>-0.001027834270447023</v>
      </c>
      <c r="W3" t="n">
        <v>-0.0003629104676841477</v>
      </c>
      <c r="X3" t="n">
        <v>-0.004358968237063686</v>
      </c>
      <c r="Y3" t="n">
        <v>-0.005399992002149707</v>
      </c>
      <c r="Z3" t="n">
        <v>-0.004884171010403102</v>
      </c>
      <c r="AA3" t="n">
        <v>-0.003663920780368678</v>
      </c>
      <c r="AB3" t="n">
        <v>-0.009883946445748883</v>
      </c>
      <c r="AC3" t="n">
        <v>-0.005224154515998379</v>
      </c>
      <c r="AD3" t="n">
        <v>-0.006221606830957727</v>
      </c>
      <c r="AE3" t="n">
        <v>-0.004118806882427393</v>
      </c>
      <c r="AF3" t="n">
        <v>-0.004647599074850251</v>
      </c>
      <c r="AG3" t="n">
        <v>-0.002910878547064311</v>
      </c>
      <c r="AH3" t="n">
        <v>-0.001203765075619433</v>
      </c>
      <c r="AI3" t="n">
        <v>-0.0003938925703171384</v>
      </c>
      <c r="AJ3" t="n">
        <v>4.434678219654373e-05</v>
      </c>
      <c r="AK3" t="n">
        <v>-6.509291948437473e-05</v>
      </c>
      <c r="AL3" t="n">
        <v>0.0004116957760756932</v>
      </c>
      <c r="AM3" t="n">
        <v>-0.0003662535232086625</v>
      </c>
      <c r="AN3" t="n">
        <v>-0.0005886254067419835</v>
      </c>
      <c r="AO3" t="n">
        <v>-0.0001777198684085362</v>
      </c>
      <c r="AP3" t="n">
        <v>0.0007809985462787848</v>
      </c>
      <c r="AQ3" t="n">
        <v>0.004050477904565399</v>
      </c>
      <c r="AR3" t="n">
        <v>0.004844843338012783</v>
      </c>
      <c r="AS3" t="n">
        <v>0.002871035395588695</v>
      </c>
      <c r="AT3" t="n">
        <v>0.001013042343311919</v>
      </c>
      <c r="AU3" t="n">
        <v>0.001383138707270598</v>
      </c>
      <c r="AV3" t="n">
        <v>0.001602717167401356</v>
      </c>
      <c r="AW3" t="n">
        <v>0.001525949533081192</v>
      </c>
      <c r="AX3" t="n">
        <v>0.002204479743370103</v>
      </c>
      <c r="AY3" t="n">
        <v>0.002929640135531582</v>
      </c>
      <c r="AZ3" t="n">
        <v>0.003262785374470744</v>
      </c>
      <c r="BA3" t="n">
        <v>0.003115715064891974</v>
      </c>
      <c r="BB3" t="n">
        <v>0.003300326464170442</v>
      </c>
      <c r="BC3" t="n">
        <v>0.003466013822202747</v>
      </c>
      <c r="BD3" t="n">
        <v>0.000788393334953543</v>
      </c>
      <c r="BE3" t="n">
        <v>0.002306127944637563</v>
      </c>
      <c r="BF3" t="n">
        <v>0.002856070605641259</v>
      </c>
    </row>
    <row r="4">
      <c r="A4" s="14" t="inlineStr">
        <is>
          <t>Privat</t>
        </is>
      </c>
      <c r="B4" t="n">
        <v>-0.1999053816254873</v>
      </c>
      <c r="C4" t="n">
        <v>-0.1431657782274486</v>
      </c>
      <c r="D4" t="n">
        <v>-0.1142270831286453</v>
      </c>
      <c r="E4" t="n">
        <v>-0.09525491707263704</v>
      </c>
      <c r="F4" t="n">
        <v>-0.09256699778388698</v>
      </c>
      <c r="G4" t="n">
        <v>-0.0871136780879482</v>
      </c>
      <c r="H4" t="n">
        <v>-0.07574486944538666</v>
      </c>
      <c r="I4" t="n">
        <v>-0.08195476273622081</v>
      </c>
      <c r="J4" t="n">
        <v>-0.02366189484883156</v>
      </c>
      <c r="K4" t="n">
        <v>-0.06135524401885865</v>
      </c>
      <c r="L4" t="n">
        <v>-0.03775844823858046</v>
      </c>
      <c r="M4" t="n">
        <v>-0.04439988395359647</v>
      </c>
      <c r="N4" t="n">
        <v>-0.04920304731424514</v>
      </c>
      <c r="O4" t="n">
        <v>-0.04129290021479077</v>
      </c>
      <c r="P4" t="n">
        <v>-0.03331229632072277</v>
      </c>
      <c r="Q4" t="n">
        <v>-0.02052745697497945</v>
      </c>
      <c r="R4" t="n">
        <v>-0.005166134332331948</v>
      </c>
      <c r="S4" t="n">
        <v>0.01124489882699927</v>
      </c>
      <c r="T4" t="n">
        <v>0.009193301599754875</v>
      </c>
      <c r="U4" t="n">
        <v>0.002719758939443684</v>
      </c>
      <c r="V4" t="n">
        <v>-0.006500004039477918</v>
      </c>
      <c r="W4" t="n">
        <v>-0.02392553809195495</v>
      </c>
      <c r="X4" t="n">
        <v>0.0009770771540443116</v>
      </c>
      <c r="Y4" t="n">
        <v>0.01291313164138236</v>
      </c>
      <c r="Z4" t="n">
        <v>0.01811638777462719</v>
      </c>
      <c r="AA4" t="n">
        <v>0.01035190845396364</v>
      </c>
      <c r="AB4" t="n">
        <v>0.03804504542855385</v>
      </c>
      <c r="AC4" t="n">
        <v>0.00727489203277681</v>
      </c>
      <c r="AD4" t="n">
        <v>0.00900898309089403</v>
      </c>
      <c r="AE4" t="n">
        <v>0.01081743496961035</v>
      </c>
      <c r="AF4" t="n">
        <v>0.0164070442100259</v>
      </c>
      <c r="AG4" t="n">
        <v>0.003354329782215054</v>
      </c>
      <c r="AH4" t="n">
        <v>-0.007438568993477395</v>
      </c>
      <c r="AI4" t="n">
        <v>-0.009748005725009719</v>
      </c>
      <c r="AJ4" t="n">
        <v>-0.01321172442794074</v>
      </c>
      <c r="AK4" t="n">
        <v>-0.01786665643166865</v>
      </c>
      <c r="AL4" t="n">
        <v>-0.01411705014371723</v>
      </c>
      <c r="AM4" t="n">
        <v>-0.01720294918166028</v>
      </c>
      <c r="AN4" t="n">
        <v>-0.01834975994875178</v>
      </c>
      <c r="AO4" t="n">
        <v>-0.008544542625165746</v>
      </c>
      <c r="AP4" t="n">
        <v>-0.007396369810259037</v>
      </c>
      <c r="AQ4" t="n">
        <v>-0.009288952601247879</v>
      </c>
      <c r="AR4" t="n">
        <v>-0.01419267602611411</v>
      </c>
      <c r="AS4" t="n">
        <v>-0.007324347014854017</v>
      </c>
      <c r="AT4" t="n">
        <v>-0.01201203599834495</v>
      </c>
      <c r="AU4" t="n">
        <v>-0.01613312866662664</v>
      </c>
      <c r="AV4" t="n">
        <v>-0.01843100195417019</v>
      </c>
      <c r="AW4" t="n">
        <v>-0.02758180168859498</v>
      </c>
      <c r="AX4" t="n">
        <v>-0.03441168871684021</v>
      </c>
      <c r="AY4" t="n">
        <v>-0.03573063343569083</v>
      </c>
      <c r="AZ4" t="n">
        <v>-0.03808935976773994</v>
      </c>
      <c r="BA4" t="n">
        <v>-0.03934325809762974</v>
      </c>
      <c r="BB4" t="n">
        <v>-0.03584868873731355</v>
      </c>
      <c r="BC4" t="n">
        <v>-0.04273213875059084</v>
      </c>
      <c r="BD4" t="n">
        <v>0.02106248151504327</v>
      </c>
      <c r="BE4" t="n">
        <v>0.001822121405315319</v>
      </c>
      <c r="BF4" t="n">
        <v>-0.04130415053038965</v>
      </c>
    </row>
    <row r="5">
      <c r="A5" s="14" t="inlineStr">
        <is>
          <t>REST</t>
        </is>
      </c>
      <c r="B5" t="n">
        <v>0.009160722827771877</v>
      </c>
      <c r="C5" t="n">
        <v>0.009169745662732503</v>
      </c>
      <c r="D5" t="n">
        <v>0.008981680474244007</v>
      </c>
      <c r="E5" t="n">
        <v>0.008048144170808617</v>
      </c>
      <c r="F5" t="n">
        <v>0.009434793210876308</v>
      </c>
      <c r="G5" t="n">
        <v>0.009994806245876946</v>
      </c>
      <c r="H5" t="n">
        <v>0.008781690444059777</v>
      </c>
      <c r="I5" t="n">
        <v>0.008343261302592081</v>
      </c>
      <c r="J5" t="n">
        <v>0.002985034680869564</v>
      </c>
      <c r="K5" t="n">
        <v>0.007972462191090133</v>
      </c>
      <c r="L5" t="n">
        <v>0.004903856139408745</v>
      </c>
      <c r="M5" t="n">
        <v>0.005648988096582378</v>
      </c>
      <c r="N5" t="n">
        <v>0.006835112118349931</v>
      </c>
      <c r="O5" t="n">
        <v>0.006375002687839002</v>
      </c>
      <c r="P5" t="n">
        <v>0.005860236851975474</v>
      </c>
      <c r="Q5" t="n">
        <v>0.004422098973630256</v>
      </c>
      <c r="R5" t="n">
        <v>0.002292923554076018</v>
      </c>
      <c r="S5" t="n">
        <v>0.0003148283883025469</v>
      </c>
      <c r="T5" t="n">
        <v>0.000361918075830026</v>
      </c>
      <c r="U5" t="n">
        <v>0.0009612166399805725</v>
      </c>
      <c r="V5" t="n">
        <v>0.001925599834935357</v>
      </c>
      <c r="W5" t="n">
        <v>0.004222859215671677</v>
      </c>
      <c r="X5" t="n">
        <v>0.001431775271151404</v>
      </c>
      <c r="Y5" t="n">
        <v>-0.000138479423667264</v>
      </c>
      <c r="Z5" t="n">
        <v>-0.0009587405553358398</v>
      </c>
      <c r="AA5" t="n">
        <v>-0.000183975730997426</v>
      </c>
      <c r="AB5" t="n">
        <v>-0.00315017078700602</v>
      </c>
      <c r="AC5" t="n">
        <v>0.0009481701277802285</v>
      </c>
      <c r="AD5" t="n">
        <v>0.0009920650411010912</v>
      </c>
      <c r="AE5" t="n">
        <v>0.0002524745864752727</v>
      </c>
      <c r="AF5" t="n">
        <v>-0.0004861348053667437</v>
      </c>
      <c r="AG5" t="n">
        <v>0.000934452175082553</v>
      </c>
      <c r="AH5" t="n">
        <v>0.002189701464157386</v>
      </c>
      <c r="AI5" t="n">
        <v>0.002387275145065738</v>
      </c>
      <c r="AJ5" t="n">
        <v>0.002744829200505666</v>
      </c>
      <c r="AK5" t="n">
        <v>0.003591412552998129</v>
      </c>
      <c r="AL5" t="n">
        <v>0.002969890937315096</v>
      </c>
      <c r="AM5" t="n">
        <v>0.00351141377203343</v>
      </c>
      <c r="AN5" t="n">
        <v>0.003531673186412237</v>
      </c>
      <c r="AO5" t="n">
        <v>0.003585563829434605</v>
      </c>
      <c r="AP5" t="n">
        <v>0.003486173033552077</v>
      </c>
      <c r="AQ5" t="n">
        <v>0.00328433024876652</v>
      </c>
      <c r="AR5" t="n">
        <v>0.00372514823170343</v>
      </c>
      <c r="AS5" t="n">
        <v>0.003225535865956439</v>
      </c>
      <c r="AT5" t="n">
        <v>0.003674305115443809</v>
      </c>
      <c r="AU5" t="n">
        <v>0.003735358566478742</v>
      </c>
      <c r="AV5" t="n">
        <v>0.003850338985694287</v>
      </c>
      <c r="AW5" t="n">
        <v>0.005553502856024204</v>
      </c>
      <c r="AX5" t="n">
        <v>0.006601968638247905</v>
      </c>
      <c r="AY5" t="n">
        <v>0.007108699317181798</v>
      </c>
      <c r="AZ5" t="n">
        <v>0.007446650533165575</v>
      </c>
      <c r="BA5" t="n">
        <v>0.007265244175468482</v>
      </c>
      <c r="BB5" t="n">
        <v>0.00715617681525033</v>
      </c>
      <c r="BC5" t="n">
        <v>0.007916168185139915</v>
      </c>
      <c r="BD5" t="n">
        <v>-0.001626249426683544</v>
      </c>
      <c r="BE5" t="n">
        <v>0.001369966740430034</v>
      </c>
      <c r="BF5" t="n">
        <v>0.006547670860400047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Hedeboe</dc:creator>
  <dcterms:created xmlns:dcterms="http://purl.org/dc/terms/" xmlns:xsi="http://www.w3.org/2001/XMLSchema-instance" xsi:type="dcterms:W3CDTF">2020-09-14T10:15:36Z</dcterms:created>
  <dcterms:modified xmlns:dcterms="http://purl.org/dc/terms/" xmlns:xsi="http://www.w3.org/2001/XMLSchema-instance" xsi:type="dcterms:W3CDTF">2026-04-28T11:53:29Z</dcterms:modified>
  <cp:lastModifiedBy>Caroline Hedeboe</cp:lastModifiedBy>
</cp:coreProperties>
</file>